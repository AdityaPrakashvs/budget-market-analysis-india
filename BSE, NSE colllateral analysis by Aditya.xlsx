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"/>
    </mc:Choice>
  </mc:AlternateContent>
  <bookViews>
    <workbookView xWindow="0" yWindow="0" windowWidth="17256" windowHeight="5640" firstSheet="4" activeTab="5"/>
  </bookViews>
  <sheets>
    <sheet name="BSE DATA AND CORRELATION" sheetId="1" r:id="rId1"/>
    <sheet name="BSE CORRELATION WITH PIVOTTABLE" sheetId="2" r:id="rId2"/>
    <sheet name="NSE DATA" sheetId="3" r:id="rId3"/>
    <sheet name="NSE CORRELATION WITH PIVOTTABLE" sheetId="4" r:id="rId4"/>
    <sheet name="NSE MONEYCONTROL DATA" sheetId="5" r:id="rId5"/>
    <sheet name="NSE MONEYCONTROL CORRELATION" sheetId="6" r:id="rId6"/>
  </sheets>
  <calcPr calcId="152511"/>
  <fileRecoveryPr repairLoad="1"/>
</workbook>
</file>

<file path=xl/calcChain.xml><?xml version="1.0" encoding="utf-8"?>
<calcChain xmlns="http://schemas.openxmlformats.org/spreadsheetml/2006/main">
  <c r="Q32" i="6" l="1"/>
  <c r="M32" i="6"/>
  <c r="I32" i="6"/>
  <c r="E31" i="6"/>
  <c r="Q23" i="6"/>
  <c r="M23" i="6"/>
  <c r="I23" i="6"/>
  <c r="E22" i="6"/>
  <c r="E15" i="6"/>
  <c r="Q14" i="6"/>
  <c r="M14" i="6"/>
  <c r="I14" i="6"/>
  <c r="E14" i="6"/>
  <c r="E13" i="6"/>
  <c r="E12" i="6"/>
  <c r="E11" i="6"/>
  <c r="E10" i="6"/>
  <c r="E9" i="6"/>
  <c r="E8" i="6"/>
  <c r="E7" i="6"/>
  <c r="E6" i="6"/>
  <c r="Q5" i="6"/>
  <c r="M5" i="6"/>
  <c r="I5" i="6"/>
  <c r="E5" i="6"/>
  <c r="E4" i="6"/>
  <c r="E3" i="6"/>
  <c r="E16" i="6" s="1"/>
  <c r="L6" i="5"/>
  <c r="O25" i="4"/>
  <c r="P25" i="4" s="1"/>
  <c r="F9" i="4" s="1"/>
  <c r="J25" i="4"/>
  <c r="K25" i="4" s="1"/>
  <c r="F6" i="4" s="1"/>
  <c r="F23" i="4"/>
  <c r="U16" i="4"/>
  <c r="T16" i="4"/>
  <c r="P16" i="4"/>
  <c r="F8" i="4" s="1"/>
  <c r="O16" i="4"/>
  <c r="J16" i="4"/>
  <c r="K16" i="4" s="1"/>
  <c r="F5" i="4" s="1"/>
  <c r="E12" i="4"/>
  <c r="F11" i="4"/>
  <c r="F10" i="4"/>
  <c r="U7" i="4"/>
  <c r="T7" i="4"/>
  <c r="P7" i="4"/>
  <c r="O7" i="4"/>
  <c r="J7" i="4"/>
  <c r="K7" i="4" s="1"/>
  <c r="F4" i="4" s="1"/>
  <c r="F7" i="4"/>
  <c r="P15" i="3"/>
  <c r="P6" i="3"/>
  <c r="V37" i="2"/>
  <c r="U37" i="2"/>
  <c r="L32" i="2"/>
  <c r="K32" i="2"/>
  <c r="U29" i="2"/>
  <c r="V29" i="2" s="1"/>
  <c r="Q29" i="2"/>
  <c r="P29" i="2"/>
  <c r="K24" i="2"/>
  <c r="L24" i="2" s="1"/>
  <c r="V21" i="2"/>
  <c r="U21" i="2"/>
  <c r="Q21" i="2"/>
  <c r="P21" i="2"/>
  <c r="F21" i="2"/>
  <c r="K15" i="2"/>
  <c r="L15" i="2" s="1"/>
  <c r="F15" i="2"/>
  <c r="V13" i="2"/>
  <c r="U13" i="2"/>
  <c r="P13" i="2"/>
  <c r="Q13" i="2" s="1"/>
  <c r="L6" i="2"/>
  <c r="K6" i="2"/>
  <c r="V5" i="2"/>
  <c r="U5" i="2"/>
  <c r="Q5" i="2"/>
  <c r="P5" i="2"/>
  <c r="M112" i="1"/>
  <c r="M104" i="1"/>
  <c r="N104" i="1" s="1"/>
  <c r="I14" i="1" s="1"/>
  <c r="M96" i="1"/>
  <c r="N96" i="1" s="1"/>
  <c r="I13" i="1" s="1"/>
  <c r="M88" i="1"/>
  <c r="N88" i="1" s="1"/>
  <c r="I12" i="1" s="1"/>
  <c r="M80" i="1"/>
  <c r="N80" i="1" s="1"/>
  <c r="I11" i="1" s="1"/>
  <c r="M72" i="1"/>
  <c r="N72" i="1" s="1"/>
  <c r="I10" i="1" s="1"/>
  <c r="M64" i="1"/>
  <c r="N64" i="1" s="1"/>
  <c r="I9" i="1" s="1"/>
  <c r="M56" i="1"/>
  <c r="N56" i="1" s="1"/>
  <c r="I8" i="1" s="1"/>
  <c r="M48" i="1"/>
  <c r="N48" i="1" s="1"/>
  <c r="I7" i="1" s="1"/>
  <c r="M40" i="1"/>
  <c r="N40" i="1" s="1"/>
  <c r="I6" i="1" s="1"/>
  <c r="M32" i="1"/>
  <c r="N32" i="1" s="1"/>
  <c r="I5" i="1" s="1"/>
  <c r="M24" i="1"/>
  <c r="N24" i="1" s="1"/>
  <c r="I4" i="1" s="1"/>
  <c r="I22" i="1"/>
  <c r="M15" i="1"/>
  <c r="N15" i="1" s="1"/>
  <c r="I3" i="1" s="1"/>
  <c r="I16" i="1" s="1"/>
  <c r="I15" i="1"/>
  <c r="R11" i="1"/>
  <c r="M6" i="1"/>
  <c r="N6" i="1" s="1"/>
  <c r="F12" i="4" l="1"/>
</calcChain>
</file>

<file path=xl/sharedStrings.xml><?xml version="1.0" encoding="utf-8"?>
<sst xmlns="http://schemas.openxmlformats.org/spreadsheetml/2006/main" count="419" uniqueCount="55">
  <si>
    <t>BSE HISTORICAL DATA</t>
  </si>
  <si>
    <t>Years</t>
  </si>
  <si>
    <t>Budget launch Date</t>
  </si>
  <si>
    <t>Correlation</t>
  </si>
  <si>
    <t>Lets find correlation of budget and BSE value</t>
  </si>
  <si>
    <t>2010 - 11</t>
  </si>
  <si>
    <t>YEAR</t>
  </si>
  <si>
    <t>Date</t>
  </si>
  <si>
    <t>Budget Launch Date</t>
  </si>
  <si>
    <t>Month</t>
  </si>
  <si>
    <t>Open</t>
  </si>
  <si>
    <t>High</t>
  </si>
  <si>
    <t>Low</t>
  </si>
  <si>
    <t>Close</t>
  </si>
  <si>
    <t>2011 - 12</t>
  </si>
  <si>
    <t>2010-11</t>
  </si>
  <si>
    <t>2016 - 17</t>
  </si>
  <si>
    <t>2012 - 13</t>
  </si>
  <si>
    <t>2017 - 18</t>
  </si>
  <si>
    <t>2013 - 14</t>
  </si>
  <si>
    <t>Months</t>
  </si>
  <si>
    <t>Value</t>
  </si>
  <si>
    <t>2018 - 19</t>
  </si>
  <si>
    <t>2014 - 15</t>
  </si>
  <si>
    <t>2019 - 20</t>
  </si>
  <si>
    <t>2015 - 16</t>
  </si>
  <si>
    <t>2020 - 21</t>
  </si>
  <si>
    <t>2021 - 22</t>
  </si>
  <si>
    <t>2022 - 23</t>
  </si>
  <si>
    <t>2023 - 24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</si>
  <si>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</si>
  <si>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</si>
  <si>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</si>
  <si>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</si>
  <si>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</si>
  <si>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</si>
  <si>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</si>
  <si>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</si>
  <si>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</si>
  <si>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</si>
  <si>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</si>
  <si>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</si>
  <si>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</si>
  <si>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(All)</t>
  </si>
  <si>
    <t>NSE HISTORICAL INDEX DATA (09-11-15 to 09-04-2024)</t>
  </si>
  <si>
    <t xml:space="preserve">Date </t>
  </si>
  <si>
    <t xml:space="preserve">Open </t>
  </si>
  <si>
    <t xml:space="preserve">High </t>
  </si>
  <si>
    <t xml:space="preserve">Low </t>
  </si>
  <si>
    <t xml:space="preserve">Close </t>
  </si>
  <si>
    <t xml:space="preserve">Shares Traded </t>
  </si>
  <si>
    <t>Turnover (â‚¹ Cr)</t>
  </si>
  <si>
    <t>Dates</t>
  </si>
  <si>
    <t>Jab-24</t>
  </si>
  <si>
    <t>NSE CORRELATION WITH BUDGET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</si>
</sst>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12">
    <font>
      <sz val="11"/>
      <name val="Calibri"/>
      <scheme val="minor"/>
    </font>
    <font>
      <b/>
      <sz val="11"/>
      <name val="Calibri"/>
    </font>
    <font>
      <sz val="11"/>
      <name val="Calibri"/>
    </font>
    <font>
      <b/>
      <sz val="11"/>
      <color rgb="FFFFFFFF"/>
      <name val="Calibri"/>
    </font>
    <font>
      <sz val="11"/>
      <color rgb="FFFFFFFF"/>
      <name val="Calibri"/>
    </font>
    <font>
      <sz val="11"/>
      <name val="Calibri"/>
    </font>
    <font>
      <sz val="11"/>
      <color rgb="FFFFFFFF"/>
      <name val="Calibri"/>
    </font>
    <font>
      <sz val="8"/>
      <color rgb="FFFFFFFF"/>
      <name val="MyFirstFont"/>
    </font>
    <font>
      <sz val="8"/>
      <color rgb="FF000000"/>
      <name val="MyFirstFont"/>
    </font>
    <font>
      <b/>
      <sz val="7"/>
      <color rgb="FF000000"/>
      <name val="Arial"/>
    </font>
    <font>
      <sz val="7"/>
      <color rgb="FF5C5C5C"/>
      <name val="Arial"/>
    </font>
    <font>
      <sz val="7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rgb="FF10486B"/>
        <bgColor rgb="FF10486B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6F6F6"/>
        <bgColor rgb="FFF6F6F6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E9E9E9"/>
      </right>
      <top/>
      <bottom style="medium">
        <color rgb="FFE9E9E9"/>
      </bottom>
      <diagonal/>
    </border>
    <border>
      <left/>
      <right/>
      <top/>
      <bottom style="medium">
        <color rgb="FFE9E9E9"/>
      </bottom>
      <diagonal/>
    </border>
    <border>
      <left/>
      <right style="medium">
        <color rgb="FFE9E9E9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 applyFont="1" applyAlignment="1"/>
    <xf numFmtId="0" fontId="3" fillId="0" borderId="2" xfId="0" applyFont="1" applyBorder="1"/>
    <xf numFmtId="15" fontId="3" fillId="0" borderId="3" xfId="0" applyNumberFormat="1" applyFont="1" applyBorder="1"/>
    <xf numFmtId="0" fontId="4" fillId="0" borderId="1" xfId="0" applyFont="1" applyBorder="1"/>
    <xf numFmtId="0" fontId="1" fillId="0" borderId="0" xfId="0" applyFont="1" applyAlignment="1">
      <alignment horizontal="center"/>
    </xf>
    <xf numFmtId="0" fontId="5" fillId="0" borderId="4" xfId="0" applyFont="1" applyBorder="1"/>
    <xf numFmtId="15" fontId="5" fillId="0" borderId="5" xfId="0" applyNumberFormat="1" applyFont="1" applyBorder="1"/>
    <xf numFmtId="0" fontId="5" fillId="0" borderId="6" xfId="0" applyFont="1" applyBorder="1"/>
    <xf numFmtId="0" fontId="6" fillId="0" borderId="0" xfId="0" applyFont="1"/>
    <xf numFmtId="0" fontId="7" fillId="2" borderId="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164" fontId="5" fillId="0" borderId="0" xfId="0" applyNumberFormat="1" applyFont="1"/>
    <xf numFmtId="0" fontId="5" fillId="0" borderId="6" xfId="0" applyFont="1" applyBorder="1"/>
    <xf numFmtId="15" fontId="5" fillId="0" borderId="6" xfId="0" applyNumberFormat="1" applyFont="1" applyBorder="1"/>
    <xf numFmtId="0" fontId="5" fillId="3" borderId="6" xfId="0" applyFont="1" applyFill="1" applyBorder="1"/>
    <xf numFmtId="15" fontId="5" fillId="3" borderId="6" xfId="0" applyNumberFormat="1" applyFont="1" applyFill="1" applyBorder="1"/>
    <xf numFmtId="164" fontId="5" fillId="3" borderId="6" xfId="0" applyNumberFormat="1" applyFont="1" applyFill="1" applyBorder="1"/>
    <xf numFmtId="17" fontId="8" fillId="4" borderId="10" xfId="0" applyNumberFormat="1" applyFont="1" applyFill="1" applyBorder="1" applyAlignment="1">
      <alignment horizontal="center" vertical="center" wrapText="1"/>
    </xf>
    <xf numFmtId="4" fontId="8" fillId="4" borderId="6" xfId="0" applyNumberFormat="1" applyFont="1" applyFill="1" applyBorder="1" applyAlignment="1">
      <alignment horizontal="center" vertical="center" wrapText="1"/>
    </xf>
    <xf numFmtId="4" fontId="8" fillId="4" borderId="11" xfId="0" applyNumberFormat="1" applyFont="1" applyFill="1" applyBorder="1" applyAlignment="1">
      <alignment horizontal="center" vertical="center" wrapText="1"/>
    </xf>
    <xf numFmtId="15" fontId="5" fillId="0" borderId="6" xfId="0" applyNumberFormat="1" applyFont="1" applyBorder="1"/>
    <xf numFmtId="164" fontId="5" fillId="0" borderId="6" xfId="0" applyNumberFormat="1" applyFont="1" applyBorder="1"/>
    <xf numFmtId="17" fontId="4" fillId="0" borderId="2" xfId="0" applyNumberFormat="1" applyFont="1" applyBorder="1"/>
    <xf numFmtId="0" fontId="4" fillId="0" borderId="3" xfId="0" applyFont="1" applyBorder="1"/>
    <xf numFmtId="0" fontId="5" fillId="0" borderId="0" xfId="0" applyFont="1"/>
    <xf numFmtId="17" fontId="8" fillId="4" borderId="12" xfId="0" applyNumberFormat="1" applyFont="1" applyFill="1" applyBorder="1" applyAlignment="1">
      <alignment horizontal="center" vertical="center" wrapText="1"/>
    </xf>
    <xf numFmtId="4" fontId="8" fillId="4" borderId="13" xfId="0" applyNumberFormat="1" applyFont="1" applyFill="1" applyBorder="1" applyAlignment="1">
      <alignment horizontal="center" vertical="center" wrapText="1"/>
    </xf>
    <xf numFmtId="0" fontId="5" fillId="0" borderId="14" xfId="0" applyFont="1" applyBorder="1"/>
    <xf numFmtId="15" fontId="5" fillId="0" borderId="14" xfId="0" applyNumberFormat="1" applyFont="1" applyBorder="1"/>
    <xf numFmtId="164" fontId="5" fillId="0" borderId="14" xfId="0" applyNumberFormat="1" applyFont="1" applyBorder="1"/>
    <xf numFmtId="0" fontId="5" fillId="0" borderId="15" xfId="0" applyFont="1" applyBorder="1"/>
    <xf numFmtId="15" fontId="5" fillId="0" borderId="16" xfId="0" applyNumberFormat="1" applyFont="1" applyBorder="1"/>
    <xf numFmtId="0" fontId="4" fillId="0" borderId="15" xfId="0" applyFont="1" applyBorder="1"/>
    <xf numFmtId="15" fontId="4" fillId="0" borderId="16" xfId="0" applyNumberFormat="1" applyFont="1" applyBorder="1"/>
    <xf numFmtId="164" fontId="4" fillId="0" borderId="0" xfId="0" applyNumberFormat="1" applyFont="1"/>
    <xf numFmtId="15" fontId="5" fillId="0" borderId="0" xfId="0" applyNumberFormat="1" applyFont="1"/>
    <xf numFmtId="0" fontId="5" fillId="0" borderId="4" xfId="0" applyFont="1" applyBorder="1"/>
    <xf numFmtId="4" fontId="8" fillId="4" borderId="17" xfId="0" applyNumberFormat="1" applyFont="1" applyFill="1" applyBorder="1" applyAlignment="1">
      <alignment horizontal="center" vertical="center" wrapText="1"/>
    </xf>
    <xf numFmtId="0" fontId="4" fillId="0" borderId="2" xfId="0" applyFont="1" applyBorder="1"/>
    <xf numFmtId="0" fontId="4" fillId="0" borderId="19" xfId="0" applyFont="1" applyBorder="1"/>
    <xf numFmtId="15" fontId="5" fillId="0" borderId="4" xfId="0" applyNumberFormat="1" applyFont="1" applyBorder="1"/>
    <xf numFmtId="0" fontId="5" fillId="0" borderId="5" xfId="0" applyFont="1" applyBorder="1"/>
    <xf numFmtId="15" fontId="5" fillId="0" borderId="15" xfId="0" applyNumberFormat="1" applyFont="1" applyBorder="1"/>
    <xf numFmtId="0" fontId="5" fillId="0" borderId="16" xfId="0" applyFont="1" applyBorder="1"/>
    <xf numFmtId="15" fontId="5" fillId="0" borderId="0" xfId="0" applyNumberFormat="1" applyFont="1" applyAlignment="1">
      <alignment horizontal="left"/>
    </xf>
    <xf numFmtId="0" fontId="5" fillId="0" borderId="0" xfId="0" applyFont="1"/>
    <xf numFmtId="0" fontId="9" fillId="5" borderId="20" xfId="0" applyFont="1" applyFill="1" applyBorder="1" applyAlignment="1">
      <alignment horizontal="left" vertical="top" wrapText="1"/>
    </xf>
    <xf numFmtId="0" fontId="9" fillId="5" borderId="20" xfId="0" applyFont="1" applyFill="1" applyBorder="1" applyAlignment="1">
      <alignment horizontal="right" vertical="top" wrapText="1"/>
    </xf>
    <xf numFmtId="0" fontId="9" fillId="5" borderId="21" xfId="0" applyFont="1" applyFill="1" applyBorder="1" applyAlignment="1">
      <alignment horizontal="right" vertical="top" wrapText="1"/>
    </xf>
    <xf numFmtId="17" fontId="10" fillId="4" borderId="20" xfId="0" applyNumberFormat="1" applyFont="1" applyFill="1" applyBorder="1" applyAlignment="1">
      <alignment horizontal="left" vertical="top" wrapText="1"/>
    </xf>
    <xf numFmtId="0" fontId="10" fillId="4" borderId="20" xfId="0" applyFont="1" applyFill="1" applyBorder="1" applyAlignment="1">
      <alignment horizontal="right" vertical="top" wrapText="1"/>
    </xf>
    <xf numFmtId="0" fontId="11" fillId="4" borderId="20" xfId="0" applyFont="1" applyFill="1" applyBorder="1" applyAlignment="1">
      <alignment horizontal="right" vertical="top" wrapText="1"/>
    </xf>
    <xf numFmtId="0" fontId="10" fillId="4" borderId="21" xfId="0" applyFont="1" applyFill="1" applyBorder="1" applyAlignment="1">
      <alignment horizontal="right" vertical="top" wrapText="1"/>
    </xf>
    <xf numFmtId="17" fontId="10" fillId="4" borderId="22" xfId="0" applyNumberFormat="1" applyFont="1" applyFill="1" applyBorder="1" applyAlignment="1">
      <alignment horizontal="left" vertical="top" wrapText="1"/>
    </xf>
    <xf numFmtId="0" fontId="10" fillId="4" borderId="22" xfId="0" applyFont="1" applyFill="1" applyBorder="1" applyAlignment="1">
      <alignment horizontal="right" vertical="top" wrapText="1"/>
    </xf>
    <xf numFmtId="0" fontId="11" fillId="4" borderId="22" xfId="0" applyFont="1" applyFill="1" applyBorder="1" applyAlignment="1">
      <alignment horizontal="right" vertical="top" wrapText="1"/>
    </xf>
    <xf numFmtId="0" fontId="10" fillId="4" borderId="23" xfId="0" applyFont="1" applyFill="1" applyBorder="1" applyAlignment="1">
      <alignment horizontal="right" vertical="top" wrapText="1"/>
    </xf>
    <xf numFmtId="17" fontId="5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5" xfId="0" applyFont="1" applyBorder="1" applyAlignment="1">
      <alignment horizontal="center"/>
    </xf>
    <xf numFmtId="0" fontId="2" fillId="0" borderId="18" xfId="0" applyFont="1" applyBorder="1"/>
    <xf numFmtId="0" fontId="2" fillId="0" borderId="4" xfId="0" applyFont="1" applyBorder="1"/>
  </cellXfs>
  <cellStyles count="1">
    <cellStyle name="Normal" xfId="0" builtinId="0"/>
  </cellStyles>
  <dxfs count="199"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548135"/>
          <bgColor rgb="FF548135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E2EFD9"/>
          <bgColor rgb="FFE2EFD9"/>
        </patternFill>
      </fill>
    </dxf>
    <dxf>
      <fill>
        <patternFill patternType="none"/>
      </fill>
    </dxf>
  </dxfs>
  <tableStyles count="65">
    <tableStyle name="BSE DATA AND CORRELATION-style" pivot="0" count="4">
      <tableStyleElement type="headerRow" dxfId="198"/>
      <tableStyleElement type="totalRow" dxfId="195"/>
      <tableStyleElement type="firstRowStripe" dxfId="197"/>
      <tableStyleElement type="secondRowStripe" dxfId="196"/>
    </tableStyle>
    <tableStyle name="BSE DATA AND CORRELATION-style 2" pivot="0" count="4">
      <tableStyleElement type="headerRow" dxfId="194"/>
      <tableStyleElement type="totalRow" dxfId="191"/>
      <tableStyleElement type="firstRowStripe" dxfId="193"/>
      <tableStyleElement type="secondRowStripe" dxfId="192"/>
    </tableStyle>
    <tableStyle name="BSE DATA AND CORRELATION-style 3" pivot="0" count="3">
      <tableStyleElement type="headerRow" dxfId="190"/>
      <tableStyleElement type="firstRowStripe" dxfId="189"/>
      <tableStyleElement type="secondRowStripe" dxfId="188"/>
    </tableStyle>
    <tableStyle name="BSE DATA AND CORRELATION-style 4" pivot="0" count="3">
      <tableStyleElement type="headerRow" dxfId="187"/>
      <tableStyleElement type="firstRowStripe" dxfId="186"/>
      <tableStyleElement type="secondRowStripe" dxfId="185"/>
    </tableStyle>
    <tableStyle name="BSE DATA AND CORRELATION-style 5" pivot="0" count="3">
      <tableStyleElement type="headerRow" dxfId="184"/>
      <tableStyleElement type="firstRowStripe" dxfId="183"/>
      <tableStyleElement type="secondRowStripe" dxfId="182"/>
    </tableStyle>
    <tableStyle name="BSE DATA AND CORRELATION-style 6" pivot="0" count="3">
      <tableStyleElement type="headerRow" dxfId="181"/>
      <tableStyleElement type="firstRowStripe" dxfId="180"/>
      <tableStyleElement type="secondRowStripe" dxfId="179"/>
    </tableStyle>
    <tableStyle name="BSE DATA AND CORRELATION-style 7" pivot="0" count="3">
      <tableStyleElement type="headerRow" dxfId="178"/>
      <tableStyleElement type="firstRowStripe" dxfId="177"/>
      <tableStyleElement type="secondRowStripe" dxfId="176"/>
    </tableStyle>
    <tableStyle name="BSE DATA AND CORRELATION-style 8" pivot="0" count="3">
      <tableStyleElement type="headerRow" dxfId="175"/>
      <tableStyleElement type="firstRowStripe" dxfId="174"/>
      <tableStyleElement type="secondRowStripe" dxfId="173"/>
    </tableStyle>
    <tableStyle name="BSE DATA AND CORRELATION-style 9" pivot="0" count="3">
      <tableStyleElement type="headerRow" dxfId="172"/>
      <tableStyleElement type="firstRowStripe" dxfId="171"/>
      <tableStyleElement type="secondRowStripe" dxfId="170"/>
    </tableStyle>
    <tableStyle name="BSE DATA AND CORRELATION-style 10" pivot="0" count="3">
      <tableStyleElement type="headerRow" dxfId="169"/>
      <tableStyleElement type="firstRowStripe" dxfId="168"/>
      <tableStyleElement type="secondRowStripe" dxfId="167"/>
    </tableStyle>
    <tableStyle name="BSE DATA AND CORRELATION-style 11" pivot="0" count="3">
      <tableStyleElement type="headerRow" dxfId="166"/>
      <tableStyleElement type="firstRowStripe" dxfId="165"/>
      <tableStyleElement type="secondRowStripe" dxfId="164"/>
    </tableStyle>
    <tableStyle name="BSE DATA AND CORRELATION-style 12" pivot="0" count="3">
      <tableStyleElement type="headerRow" dxfId="163"/>
      <tableStyleElement type="firstRowStripe" dxfId="162"/>
      <tableStyleElement type="secondRowStripe" dxfId="161"/>
    </tableStyle>
    <tableStyle name="BSE DATA AND CORRELATION-style 13" pivot="0" count="3">
      <tableStyleElement type="headerRow" dxfId="160"/>
      <tableStyleElement type="firstRowStripe" dxfId="159"/>
      <tableStyleElement type="secondRowStripe" dxfId="158"/>
    </tableStyle>
    <tableStyle name="BSE DATA AND CORRELATION-style 14" pivot="0" count="3">
      <tableStyleElement type="headerRow" dxfId="157"/>
      <tableStyleElement type="firstRowStripe" dxfId="156"/>
      <tableStyleElement type="secondRowStripe" dxfId="155"/>
    </tableStyle>
    <tableStyle name="BSE DATA AND CORRELATION-style 15" pivot="0" count="3">
      <tableStyleElement type="headerRow" dxfId="154"/>
      <tableStyleElement type="firstRowStripe" dxfId="153"/>
      <tableStyleElement type="secondRowStripe" dxfId="152"/>
    </tableStyle>
    <tableStyle name="BSE DATA AND CORRELATION-style 16" pivot="0" count="3">
      <tableStyleElement type="headerRow" dxfId="151"/>
      <tableStyleElement type="firstRowStripe" dxfId="150"/>
      <tableStyleElement type="secondRowStripe" dxfId="149"/>
    </tableStyle>
    <tableStyle name="BSE DATA AND CORRELATION-style 17" pivot="0" count="3">
      <tableStyleElement type="headerRow" dxfId="148"/>
      <tableStyleElement type="firstRowStripe" dxfId="147"/>
      <tableStyleElement type="secondRowStripe" dxfId="146"/>
    </tableStyle>
    <tableStyle name="BSE DATA AND CORRELATION-style 18" pivot="0" count="3">
      <tableStyleElement type="headerRow" dxfId="145"/>
      <tableStyleElement type="firstRowStripe" dxfId="144"/>
      <tableStyleElement type="secondRowStripe" dxfId="143"/>
    </tableStyle>
    <tableStyle name="BSE CORRELATION WITH PIVOTTABLE-style" pivot="0" count="3">
      <tableStyleElement type="headerRow" dxfId="142"/>
      <tableStyleElement type="firstRowStripe" dxfId="141"/>
      <tableStyleElement type="secondRowStripe" dxfId="140"/>
    </tableStyle>
    <tableStyle name="BSE CORRELATION WITH PIVOTTABLE-style 2" pivot="0" count="3">
      <tableStyleElement type="headerRow" dxfId="139"/>
      <tableStyleElement type="firstRowStripe" dxfId="138"/>
      <tableStyleElement type="secondRowStripe" dxfId="137"/>
    </tableStyle>
    <tableStyle name="BSE CORRELATION WITH PIVOTTABLE-style 3" pivot="0" count="3">
      <tableStyleElement type="headerRow" dxfId="136"/>
      <tableStyleElement type="firstRowStripe" dxfId="135"/>
      <tableStyleElement type="secondRowStripe" dxfId="134"/>
    </tableStyle>
    <tableStyle name="BSE CORRELATION WITH PIVOTTABLE-style 4" pivot="0" count="3">
      <tableStyleElement type="headerRow" dxfId="133"/>
      <tableStyleElement type="firstRowStripe" dxfId="132"/>
      <tableStyleElement type="secondRowStripe" dxfId="131"/>
    </tableStyle>
    <tableStyle name="BSE CORRELATION WITH PIVOTTABLE-style 5" pivot="0" count="3">
      <tableStyleElement type="headerRow" dxfId="130"/>
      <tableStyleElement type="firstRowStripe" dxfId="129"/>
      <tableStyleElement type="secondRowStripe" dxfId="128"/>
    </tableStyle>
    <tableStyle name="BSE CORRELATION WITH PIVOTTABLE-style 6" pivot="0" count="3">
      <tableStyleElement type="headerRow" dxfId="127"/>
      <tableStyleElement type="firstRowStripe" dxfId="126"/>
      <tableStyleElement type="secondRowStripe" dxfId="125"/>
    </tableStyle>
    <tableStyle name="BSE CORRELATION WITH PIVOTTABLE-style 7" pivot="0" count="3">
      <tableStyleElement type="headerRow" dxfId="124"/>
      <tableStyleElement type="firstRowStripe" dxfId="123"/>
      <tableStyleElement type="secondRowStripe" dxfId="122"/>
    </tableStyle>
    <tableStyle name="BSE CORRELATION WITH PIVOTTABLE-style 8" pivot="0" count="3">
      <tableStyleElement type="headerRow" dxfId="121"/>
      <tableStyleElement type="firstRowStripe" dxfId="120"/>
      <tableStyleElement type="secondRowStripe" dxfId="119"/>
    </tableStyle>
    <tableStyle name="BSE CORRELATION WITH PIVOTTABLE-style 9" pivot="0" count="3">
      <tableStyleElement type="headerRow" dxfId="118"/>
      <tableStyleElement type="firstRowStripe" dxfId="117"/>
      <tableStyleElement type="secondRowStripe" dxfId="116"/>
    </tableStyle>
    <tableStyle name="BSE CORRELATION WITH PIVOTTABLE-style 10" pivot="0" count="3">
      <tableStyleElement type="headerRow" dxfId="115"/>
      <tableStyleElement type="firstRowStripe" dxfId="114"/>
      <tableStyleElement type="secondRowStripe" dxfId="113"/>
    </tableStyle>
    <tableStyle name="BSE CORRELATION WITH PIVOTTABLE-style 11" pivot="0" count="3">
      <tableStyleElement type="headerRow" dxfId="112"/>
      <tableStyleElement type="firstRowStripe" dxfId="111"/>
      <tableStyleElement type="secondRowStripe" dxfId="110"/>
    </tableStyle>
    <tableStyle name="BSE CORRELATION WITH PIVOTTABLE-style 12" pivot="0" count="3">
      <tableStyleElement type="headerRow" dxfId="109"/>
      <tableStyleElement type="firstRowStripe" dxfId="108"/>
      <tableStyleElement type="secondRowStripe" dxfId="107"/>
    </tableStyle>
    <tableStyle name="BSE CORRELATION WITH PIVOTTABLE-style 13" pivot="0" count="3">
      <tableStyleElement type="headerRow" dxfId="106"/>
      <tableStyleElement type="firstRowStripe" dxfId="105"/>
      <tableStyleElement type="secondRowStripe" dxfId="104"/>
    </tableStyle>
    <tableStyle name="BSE CORRELATION WITH PIVOTTABLE-style 14" pivot="0" count="3">
      <tableStyleElement type="headerRow" dxfId="103"/>
      <tableStyleElement type="firstRowStripe" dxfId="102"/>
      <tableStyleElement type="secondRowStripe" dxfId="101"/>
    </tableStyle>
    <tableStyle name="BSE CORRELATION WITH PIVOTTABLE-style 15" pivot="0" count="3">
      <tableStyleElement type="headerRow" dxfId="100"/>
      <tableStyleElement type="firstRowStripe" dxfId="99"/>
      <tableStyleElement type="secondRowStripe" dxfId="98"/>
    </tableStyle>
    <tableStyle name="NSE DATA-style" pivot="0" count="3">
      <tableStyleElement type="headerRow" dxfId="97"/>
      <tableStyleElement type="firstRowStripe" dxfId="96"/>
      <tableStyleElement type="secondRowStripe" dxfId="95"/>
    </tableStyle>
    <tableStyle name="NSE DATA-style 2" pivot="0" count="3">
      <tableStyleElement type="headerRow" dxfId="94"/>
      <tableStyleElement type="firstRowStripe" dxfId="93"/>
      <tableStyleElement type="secondRowStripe" dxfId="92"/>
    </tableStyle>
    <tableStyle name="NSE DATA-style 3" pivot="0" count="3">
      <tableStyleElement type="headerRow" dxfId="91"/>
      <tableStyleElement type="firstRowStripe" dxfId="90"/>
      <tableStyleElement type="secondRowStripe" dxfId="89"/>
    </tableStyle>
    <tableStyle name="NSE DATA-style 4" pivot="0" count="3">
      <tableStyleElement type="headerRow" dxfId="88"/>
      <tableStyleElement type="firstRowStripe" dxfId="87"/>
      <tableStyleElement type="secondRowStripe" dxfId="86"/>
    </tableStyle>
    <tableStyle name="NSE CORRELATION WITH PIVOTTABLE-style" pivot="0" count="4">
      <tableStyleElement type="headerRow" dxfId="85"/>
      <tableStyleElement type="totalRow" dxfId="82"/>
      <tableStyleElement type="firstRowStripe" dxfId="84"/>
      <tableStyleElement type="secondRowStripe" dxfId="83"/>
    </tableStyle>
    <tableStyle name="NSE CORRELATION WITH PIVOTTABLE-style 2" pivot="0" count="3">
      <tableStyleElement type="headerRow" dxfId="81"/>
      <tableStyleElement type="firstRowStripe" dxfId="80"/>
      <tableStyleElement type="secondRowStripe" dxfId="79"/>
    </tableStyle>
    <tableStyle name="NSE CORRELATION WITH PIVOTTABLE-style 3" pivot="0" count="3">
      <tableStyleElement type="headerRow" dxfId="78"/>
      <tableStyleElement type="firstRowStripe" dxfId="77"/>
      <tableStyleElement type="secondRowStripe" dxfId="76"/>
    </tableStyle>
    <tableStyle name="NSE CORRELATION WITH PIVOTTABLE-style 4" pivot="0" count="3">
      <tableStyleElement type="headerRow" dxfId="75"/>
      <tableStyleElement type="firstRowStripe" dxfId="74"/>
      <tableStyleElement type="secondRowStripe" dxfId="73"/>
    </tableStyle>
    <tableStyle name="NSE CORRELATION WITH PIVOTTABLE-style 5" pivot="0" count="3">
      <tableStyleElement type="headerRow" dxfId="72"/>
      <tableStyleElement type="firstRowStripe" dxfId="71"/>
      <tableStyleElement type="secondRowStripe" dxfId="70"/>
    </tableStyle>
    <tableStyle name="NSE CORRELATION WITH PIVOTTABLE-style 6" pivot="0" count="3">
      <tableStyleElement type="headerRow" dxfId="69"/>
      <tableStyleElement type="firstRowStripe" dxfId="68"/>
      <tableStyleElement type="secondRowStripe" dxfId="67"/>
    </tableStyle>
    <tableStyle name="NSE CORRELATION WITH PIVOTTABLE-style 7" pivot="0" count="3">
      <tableStyleElement type="headerRow" dxfId="66"/>
      <tableStyleElement type="firstRowStripe" dxfId="65"/>
      <tableStyleElement type="secondRowStripe" dxfId="64"/>
    </tableStyle>
    <tableStyle name="NSE CORRELATION WITH PIVOTTABLE-style 8" pivot="0" count="3">
      <tableStyleElement type="headerRow" dxfId="63"/>
      <tableStyleElement type="firstRowStripe" dxfId="62"/>
      <tableStyleElement type="secondRowStripe" dxfId="61"/>
    </tableStyle>
    <tableStyle name="NSE CORRELATION WITH PIVOTTABLE-style 9" pivot="0" count="3">
      <tableStyleElement type="headerRow" dxfId="60"/>
      <tableStyleElement type="firstRowStripe" dxfId="59"/>
      <tableStyleElement type="secondRowStripe" dxfId="58"/>
    </tableStyle>
    <tableStyle name="NSE CORRELATION WITH PIVOTTABLE-style 10" pivot="0" count="3">
      <tableStyleElement type="headerRow" dxfId="57"/>
      <tableStyleElement type="firstRowStripe" dxfId="56"/>
      <tableStyleElement type="secondRowStripe" dxfId="55"/>
    </tableStyle>
    <tableStyle name="NSE MONEYCONTROL DATA-style" pivot="0" count="3">
      <tableStyleElement type="headerRow" dxfId="54"/>
      <tableStyleElement type="firstRowStripe" dxfId="53"/>
      <tableStyleElement type="secondRowStripe" dxfId="52"/>
    </tableStyle>
    <tableStyle name="NSE MONEYCONTROL DATA-style 2" pivot="0" count="3">
      <tableStyleElement type="headerRow" dxfId="51"/>
      <tableStyleElement type="firstRowStripe" dxfId="50"/>
      <tableStyleElement type="secondRowStripe" dxfId="49"/>
    </tableStyle>
    <tableStyle name="NSE MONEYCONTROL DATA-style 3" pivot="0" count="3">
      <tableStyleElement type="headerRow" dxfId="48"/>
      <tableStyleElement type="firstRowStripe" dxfId="47"/>
      <tableStyleElement type="secondRowStripe" dxfId="46"/>
    </tableStyle>
    <tableStyle name="NSE MONEYCONTROL CORRELATION-style" pivot="0" count="4">
      <tableStyleElement type="headerRow" dxfId="45"/>
      <tableStyleElement type="totalRow" dxfId="42"/>
      <tableStyleElement type="firstRowStripe" dxfId="44"/>
      <tableStyleElement type="secondRowStripe" dxfId="43"/>
    </tableStyle>
    <tableStyle name="NSE MONEYCONTROL CORRELATION-style 2" pivot="0" count="3">
      <tableStyleElement type="headerRow" dxfId="41"/>
      <tableStyleElement type="firstRowStripe" dxfId="40"/>
      <tableStyleElement type="secondRowStripe" dxfId="39"/>
    </tableStyle>
    <tableStyle name="NSE MONEYCONTROL CORRELATION-style 3" pivot="0" count="3">
      <tableStyleElement type="headerRow" dxfId="38"/>
      <tableStyleElement type="firstRowStripe" dxfId="37"/>
      <tableStyleElement type="secondRowStripe" dxfId="36"/>
    </tableStyle>
    <tableStyle name="NSE MONEYCONTROL CORRELATION-style 4" pivot="0" count="3">
      <tableStyleElement type="headerRow" dxfId="35"/>
      <tableStyleElement type="firstRowStripe" dxfId="34"/>
      <tableStyleElement type="secondRowStripe" dxfId="33"/>
    </tableStyle>
    <tableStyle name="NSE MONEYCONTROL CORRELATION-style 5" pivot="0" count="3">
      <tableStyleElement type="headerRow" dxfId="32"/>
      <tableStyleElement type="firstRowStripe" dxfId="31"/>
      <tableStyleElement type="secondRowStripe" dxfId="30"/>
    </tableStyle>
    <tableStyle name="NSE MONEYCONTROL CORRELATION-style 6" pivot="0" count="3">
      <tableStyleElement type="headerRow" dxfId="29"/>
      <tableStyleElement type="firstRowStripe" dxfId="28"/>
      <tableStyleElement type="secondRowStripe" dxfId="27"/>
    </tableStyle>
    <tableStyle name="NSE MONEYCONTROL CORRELATION-style 7" pivot="0" count="3">
      <tableStyleElement type="headerRow" dxfId="26"/>
      <tableStyleElement type="firstRowStripe" dxfId="25"/>
      <tableStyleElement type="secondRowStripe" dxfId="24"/>
    </tableStyle>
    <tableStyle name="NSE MONEYCONTROL CORRELATION-style 8" pivot="0" count="3">
      <tableStyleElement type="headerRow" dxfId="23"/>
      <tableStyleElement type="firstRowStripe" dxfId="22"/>
      <tableStyleElement type="secondRowStripe" dxfId="21"/>
    </tableStyle>
    <tableStyle name="NSE MONEYCONTROL CORRELATION-style 9" pivot="0" count="3">
      <tableStyleElement type="headerRow" dxfId="20"/>
      <tableStyleElement type="firstRowStripe" dxfId="19"/>
      <tableStyleElement type="secondRowStripe" dxfId="18"/>
    </tableStyle>
    <tableStyle name="NSE MONEYCONTROL CORRELATION-style 10" pivot="0" count="3">
      <tableStyleElement type="headerRow" dxfId="17"/>
      <tableStyleElement type="firstRowStripe" dxfId="16"/>
      <tableStyleElement type="secondRowStripe" dxfId="15"/>
    </tableStyle>
    <tableStyle name="NSE MONEYCONTROL CORRELATION-style 11" pivot="0" count="3">
      <tableStyleElement type="headerRow" dxfId="14"/>
      <tableStyleElement type="firstRowStripe" dxfId="13"/>
      <tableStyleElement type="secondRowStripe" dxfId="12"/>
    </tableStyle>
    <tableStyle name="NSE MONEYCONTROL CORRELATION-style 12" pivot="0" count="3">
      <tableStyleElement type="headerRow" dxfId="11"/>
      <tableStyleElement type="firstRowStripe" dxfId="10"/>
      <tableStyleElement type="secondRowStripe" dxfId="9"/>
    </tableStyle>
    <tableStyle name="NSE MONEYCONTROL CORRELATION-style 13" pivot="0" count="3">
      <tableStyleElement type="headerRow" dxfId="8"/>
      <tableStyleElement type="firstRowStripe" dxfId="7"/>
      <tableStyleElement type="secondRowStripe" dxfId="6"/>
    </tableStyle>
    <tableStyle name="NSE MONEYCONTROL CORRELATION-style 14" pivot="0" count="3">
      <tableStyleElement type="headerRow" dxfId="5"/>
      <tableStyleElement type="firstRowStripe" dxfId="4"/>
      <tableStyleElement type="secondRowStripe" dxfId="3"/>
    </tableStyle>
    <tableStyle name="NSE MONEYCONTROL CORRELATION-style 15" pivot="0" count="3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_1" displayName="Table_1" ref="G1:I16" totalsRowCount="1">
  <tableColumns count="3">
    <tableColumn id="1" name="Years"/>
    <tableColumn id="2" name="Budget launch Date"/>
    <tableColumn id="3" name="Correlation" totalsRowFunction="custom">
      <totalsRowFormula>SUBTOTAL(104,'BSE DATA AND CORRELATION'!$I$2:$I$15)</totalsRowFormula>
    </tableColumn>
  </tableColumns>
  <tableStyleInfo name="BSE DATA AND CORRELATION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P2:R11" totalsRowCount="1">
  <tableColumns count="3">
    <tableColumn id="1" name="Years"/>
    <tableColumn id="2" name="Budget Launch Date"/>
    <tableColumn id="3" name="Correlation" totalsRowFunction="custom">
      <totalsRowFormula>AVERAGE('BSE DATA AND CORRELATION'!$R$3:$R$10)</totalsRowFormula>
    </tableColumn>
  </tableColumns>
  <tableStyleInfo name="BSE DATA AND CORRELATION-style 2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3:E174">
  <tableColumns count="5">
    <tableColumn id="1" name="Month"/>
    <tableColumn id="2" name="Open"/>
    <tableColumn id="3" name="High"/>
    <tableColumn id="4" name="Low"/>
    <tableColumn id="5" name="Close"/>
  </tableColumns>
  <tableStyleInfo name="BSE DATA AND CORRELATION-style 3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K5:L9">
  <tableColumns count="2">
    <tableColumn id="1" name="Months"/>
    <tableColumn id="2" name="Close"/>
  </tableColumns>
  <tableStyleInfo name="BSE DATA AND CORRELATION-style 4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K14:L18">
  <tableColumns count="2">
    <tableColumn id="1" name="Months"/>
    <tableColumn id="2" name="Close"/>
  </tableColumns>
  <tableStyleInfo name="BSE DATA AND CORRELATION-style 5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G21:H25">
  <tableColumns count="2">
    <tableColumn id="1" name="Months"/>
    <tableColumn id="2" name="Close"/>
  </tableColumns>
  <tableStyleInfo name="BSE DATA AND CORRELATION-style 6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K23:L27">
  <tableColumns count="2">
    <tableColumn id="1" name="Months"/>
    <tableColumn id="2" name="Close"/>
  </tableColumns>
  <tableStyleInfo name="BSE DATA AND CORRELATION-style 7" showFirstColumn="1" showLastColumn="1" showRowStripes="1" showColumnStripes="0"/>
</table>
</file>

<file path=xl/tables/table8.xml><?xml version="1.0" encoding="utf-8"?>
<table xmlns="http://schemas.openxmlformats.org/spreadsheetml/2006/main" id="8" name="Table_8" displayName="Table_8" ref="K31:L35">
  <tableColumns count="2">
    <tableColumn id="1" name="Months"/>
    <tableColumn id="2" name="Close"/>
  </tableColumns>
  <tableStyleInfo name="BSE DATA AND CORRELATION-style 8" showFirstColumn="1" showLastColumn="1" showRowStripes="1" showColumnStripes="0"/>
</table>
</file>

<file path=xl/tables/table9.xml><?xml version="1.0" encoding="utf-8"?>
<table xmlns="http://schemas.openxmlformats.org/spreadsheetml/2006/main" id="9" name="Table_9" displayName="Table_9" ref="K39:L43">
  <tableColumns count="2">
    <tableColumn id="1" name="Months"/>
    <tableColumn id="2" name="Close"/>
  </tableColumns>
  <tableStyleInfo name="BSE DATA AND CORRELATION-style 9" showFirstColumn="1" showLastColumn="1" showRowStripes="1" showColumnStripes="0"/>
</table>
</file>

<file path=xl/tables/table10.xml><?xml version="1.0" encoding="utf-8"?>
<table xmlns="http://schemas.openxmlformats.org/spreadsheetml/2006/main" id="10" name="Table_10" displayName="Table_10" ref="K47:L51">
  <tableColumns count="2">
    <tableColumn id="1" name="Months"/>
    <tableColumn id="2" name="Close"/>
  </tableColumns>
  <tableStyleInfo name="BSE DATA AND CORRELATION-style 10" showFirstColumn="1" showLastColumn="1" showRowStripes="1" showColumnStripes="0"/>
</table>
</file>

<file path=xl/tables/table11.xml><?xml version="1.0" encoding="utf-8"?>
<table xmlns="http://schemas.openxmlformats.org/spreadsheetml/2006/main" id="11" name="Table_11" displayName="Table_11" ref="K55:L59">
  <tableColumns count="2">
    <tableColumn id="1" name="Months"/>
    <tableColumn id="2" name="Close"/>
  </tableColumns>
  <tableStyleInfo name="BSE DATA AND CORRELATION-style 11" showFirstColumn="1" showLastColumn="1" showRowStripes="1" showColumnStripes="0"/>
</table>
</file>

<file path=xl/tables/table12.xml><?xml version="1.0" encoding="utf-8"?>
<table xmlns="http://schemas.openxmlformats.org/spreadsheetml/2006/main" id="12" name="Table_12" displayName="Table_12" ref="K63:L67">
  <tableColumns count="2">
    <tableColumn id="1" name="Months"/>
    <tableColumn id="2" name="Close"/>
  </tableColumns>
  <tableStyleInfo name="BSE DATA AND CORRELATION-style 12" showFirstColumn="1" showLastColumn="1" showRowStripes="1" showColumnStripes="0"/>
</table>
</file>

<file path=xl/tables/table13.xml><?xml version="1.0" encoding="utf-8"?>
<table xmlns="http://schemas.openxmlformats.org/spreadsheetml/2006/main" id="13" name="Table_13" displayName="Table_13" ref="K71:L75">
  <tableColumns count="2">
    <tableColumn id="1" name="Months"/>
    <tableColumn id="2" name="Close"/>
  </tableColumns>
  <tableStyleInfo name="BSE DATA AND CORRELATION-style 13" showFirstColumn="1" showLastColumn="1" showRowStripes="1" showColumnStripes="0"/>
</table>
</file>

<file path=xl/tables/table14.xml><?xml version="1.0" encoding="utf-8"?>
<table xmlns="http://schemas.openxmlformats.org/spreadsheetml/2006/main" id="14" name="Table_14" displayName="Table_14" ref="K79:L83">
  <tableColumns count="2">
    <tableColumn id="1" name="Months"/>
    <tableColumn id="2" name="Close"/>
  </tableColumns>
  <tableStyleInfo name="BSE DATA AND CORRELATION-style 14" showFirstColumn="1" showLastColumn="1" showRowStripes="1" showColumnStripes="0"/>
</table>
</file>

<file path=xl/tables/table15.xml><?xml version="1.0" encoding="utf-8"?>
<table xmlns="http://schemas.openxmlformats.org/spreadsheetml/2006/main" id="15" name="Table_15" displayName="Table_15" ref="K87:L91">
  <tableColumns count="2">
    <tableColumn id="1" name="Months"/>
    <tableColumn id="2" name="Close"/>
  </tableColumns>
  <tableStyleInfo name="BSE DATA AND CORRELATION-style 15" showFirstColumn="1" showLastColumn="1" showRowStripes="1" showColumnStripes="0"/>
</table>
</file>

<file path=xl/tables/table16.xml><?xml version="1.0" encoding="utf-8"?>
<table xmlns="http://schemas.openxmlformats.org/spreadsheetml/2006/main" id="16" name="Table_16" displayName="Table_16" ref="K95:L99">
  <tableColumns count="2">
    <tableColumn id="1" name="Months"/>
    <tableColumn id="2" name="Close"/>
  </tableColumns>
  <tableStyleInfo name="BSE DATA AND CORRELATION-style 16" showFirstColumn="1" showLastColumn="1" showRowStripes="1" showColumnStripes="0"/>
</table>
</file>

<file path=xl/tables/table17.xml><?xml version="1.0" encoding="utf-8"?>
<table xmlns="http://schemas.openxmlformats.org/spreadsheetml/2006/main" id="17" name="Table_17" displayName="Table_17" ref="K103:L107">
  <tableColumns count="2">
    <tableColumn id="1" name="Months"/>
    <tableColumn id="2" name="Close"/>
  </tableColumns>
  <tableStyleInfo name="BSE DATA AND CORRELATION-style 17" showFirstColumn="1" showLastColumn="1" showRowStripes="1" showColumnStripes="0"/>
</table>
</file>

<file path=xl/tables/table18.xml><?xml version="1.0" encoding="utf-8"?>
<table xmlns="http://schemas.openxmlformats.org/spreadsheetml/2006/main" id="18" name="Table_18" displayName="Table_18" ref="K111:L115">
  <tableColumns count="2">
    <tableColumn id="1" name="Months"/>
    <tableColumn id="2" name="Close"/>
  </tableColumns>
  <tableStyleInfo name="BSE DATA AND CORRELATION-style 18" showFirstColumn="1" showLastColumn="1" showRowStripes="1" showColumnStripes="0"/>
</table>
</file>

<file path=xl/tables/table19.xml><?xml version="1.0" encoding="utf-8"?>
<table xmlns="http://schemas.openxmlformats.org/spreadsheetml/2006/main" id="19" name="Table_19" displayName="Table_19" ref="D1:F15">
  <tableColumns count="3">
    <tableColumn id="1" name="Years"/>
    <tableColumn id="2" name="Budget launch Date"/>
    <tableColumn id="3" name="Correlation"/>
  </tableColumns>
  <tableStyleInfo name="BSE CORRELATION WITH PIVOTTABLE-style" showFirstColumn="1" showLastColumn="1" showRowStripes="1" showColumnStripes="0"/>
</table>
</file>

<file path=xl/tables/table20.xml><?xml version="1.0" encoding="utf-8"?>
<table xmlns="http://schemas.openxmlformats.org/spreadsheetml/2006/main" id="20" name="Table_20" displayName="Table_20" ref="N4:O8">
  <tableColumns count="2">
    <tableColumn id="1" name="Months"/>
    <tableColumn id="2" name="Close"/>
  </tableColumns>
  <tableStyleInfo name="BSE CORRELATION WITH PIVOTTABLE-style 2" showFirstColumn="1" showLastColumn="1" showRowStripes="1" showColumnStripes="0"/>
</table>
</file>

<file path=xl/tables/table21.xml><?xml version="1.0" encoding="utf-8"?>
<table xmlns="http://schemas.openxmlformats.org/spreadsheetml/2006/main" id="21" name="Table_21" displayName="Table_21" ref="S4:T8">
  <tableColumns count="2">
    <tableColumn id="1" name="Months"/>
    <tableColumn id="2" name="Close"/>
  </tableColumns>
  <tableStyleInfo name="BSE CORRELATION WITH PIVOTTABLE-style 3" showFirstColumn="1" showLastColumn="1" showRowStripes="1" showColumnStripes="0"/>
</table>
</file>

<file path=xl/tables/table22.xml><?xml version="1.0" encoding="utf-8"?>
<table xmlns="http://schemas.openxmlformats.org/spreadsheetml/2006/main" id="22" name="Table_22" displayName="Table_22" ref="I5:J9">
  <tableColumns count="2">
    <tableColumn id="1" name="Months"/>
    <tableColumn id="2" name="Close"/>
  </tableColumns>
  <tableStyleInfo name="BSE CORRELATION WITH PIVOTTABLE-style 4" showFirstColumn="1" showLastColumn="1" showRowStripes="1" showColumnStripes="0"/>
</table>
</file>

<file path=xl/tables/table23.xml><?xml version="1.0" encoding="utf-8"?>
<table xmlns="http://schemas.openxmlformats.org/spreadsheetml/2006/main" id="23" name="Table_23" displayName="Table_23" ref="N12:O16">
  <tableColumns count="2">
    <tableColumn id="1" name="Months"/>
    <tableColumn id="2" name="Close"/>
  </tableColumns>
  <tableStyleInfo name="BSE CORRELATION WITH PIVOTTABLE-style 5" showFirstColumn="1" showLastColumn="1" showRowStripes="1" showColumnStripes="0"/>
</table>
</file>

<file path=xl/tables/table24.xml><?xml version="1.0" encoding="utf-8"?>
<table xmlns="http://schemas.openxmlformats.org/spreadsheetml/2006/main" id="24" name="Table_24" displayName="Table_24" ref="S12:T16">
  <tableColumns count="2">
    <tableColumn id="1" name="Months"/>
    <tableColumn id="2" name="Close"/>
  </tableColumns>
  <tableStyleInfo name="BSE CORRELATION WITH PIVOTTABLE-style 6" showFirstColumn="1" showLastColumn="1" showRowStripes="1" showColumnStripes="0"/>
</table>
</file>

<file path=xl/tables/table25.xml><?xml version="1.0" encoding="utf-8"?>
<table xmlns="http://schemas.openxmlformats.org/spreadsheetml/2006/main" id="25" name="Table_25" displayName="Table_25" ref="I14:J18">
  <tableColumns count="2">
    <tableColumn id="1" name="Months"/>
    <tableColumn id="2" name="Close"/>
  </tableColumns>
  <tableStyleInfo name="BSE CORRELATION WITH PIVOTTABLE-style 7" showFirstColumn="1" showLastColumn="1" showRowStripes="1" showColumnStripes="0"/>
</table>
</file>

<file path=xl/tables/table26.xml><?xml version="1.0" encoding="utf-8"?>
<table xmlns="http://schemas.openxmlformats.org/spreadsheetml/2006/main" id="26" name="Table_26" displayName="Table_26" ref="D20:E24">
  <tableColumns count="2">
    <tableColumn id="1" name="Months"/>
    <tableColumn id="2" name="Close"/>
  </tableColumns>
  <tableStyleInfo name="BSE CORRELATION WITH PIVOTTABLE-style 8" showFirstColumn="1" showLastColumn="1" showRowStripes="1" showColumnStripes="0"/>
</table>
</file>

<file path=xl/tables/table27.xml><?xml version="1.0" encoding="utf-8"?>
<table xmlns="http://schemas.openxmlformats.org/spreadsheetml/2006/main" id="27" name="Table_27" displayName="Table_27" ref="N20:O24">
  <tableColumns count="2">
    <tableColumn id="1" name="Months"/>
    <tableColumn id="2" name="Close"/>
  </tableColumns>
  <tableStyleInfo name="BSE CORRELATION WITH PIVOTTABLE-style 9" showFirstColumn="1" showLastColumn="1" showRowStripes="1" showColumnStripes="0"/>
</table>
</file>

<file path=xl/tables/table28.xml><?xml version="1.0" encoding="utf-8"?>
<table xmlns="http://schemas.openxmlformats.org/spreadsheetml/2006/main" id="28" name="Table_28" displayName="Table_28" ref="S20:T24">
  <tableColumns count="2">
    <tableColumn id="1" name="Months"/>
    <tableColumn id="2" name="Close"/>
  </tableColumns>
  <tableStyleInfo name="BSE CORRELATION WITH PIVOTTABLE-style 10" showFirstColumn="1" showLastColumn="1" showRowStripes="1" showColumnStripes="0"/>
</table>
</file>

<file path=xl/tables/table29.xml><?xml version="1.0" encoding="utf-8"?>
<table xmlns="http://schemas.openxmlformats.org/spreadsheetml/2006/main" id="29" name="Table_29" displayName="Table_29" ref="I23:J27">
  <tableColumns count="2">
    <tableColumn id="1" name="Months"/>
    <tableColumn id="2" name="Close"/>
  </tableColumns>
  <tableStyleInfo name="BSE CORRELATION WITH PIVOTTABLE-style 11" showFirstColumn="1" showLastColumn="1" showRowStripes="1" showColumnStripes="0"/>
</table>
</file>

<file path=xl/tables/table30.xml><?xml version="1.0" encoding="utf-8"?>
<table xmlns="http://schemas.openxmlformats.org/spreadsheetml/2006/main" id="30" name="Table_30" displayName="Table_30" ref="N28:O32">
  <tableColumns count="2">
    <tableColumn id="1" name="Months"/>
    <tableColumn id="2" name="Close"/>
  </tableColumns>
  <tableStyleInfo name="BSE CORRELATION WITH PIVOTTABLE-style 12" showFirstColumn="1" showLastColumn="1" showRowStripes="1" showColumnStripes="0"/>
</table>
</file>

<file path=xl/tables/table31.xml><?xml version="1.0" encoding="utf-8"?>
<table xmlns="http://schemas.openxmlformats.org/spreadsheetml/2006/main" id="31" name="Table_31" displayName="Table_31" ref="S28:T32">
  <tableColumns count="2">
    <tableColumn id="1" name="Months"/>
    <tableColumn id="2" name="Close"/>
  </tableColumns>
  <tableStyleInfo name="BSE CORRELATION WITH PIVOTTABLE-style 13" showFirstColumn="1" showLastColumn="1" showRowStripes="1" showColumnStripes="0"/>
</table>
</file>

<file path=xl/tables/table32.xml><?xml version="1.0" encoding="utf-8"?>
<table xmlns="http://schemas.openxmlformats.org/spreadsheetml/2006/main" id="32" name="Table_32" displayName="Table_32" ref="I31:J35">
  <tableColumns count="2">
    <tableColumn id="1" name="Months"/>
    <tableColumn id="2" name="Close"/>
  </tableColumns>
  <tableStyleInfo name="BSE CORRELATION WITH PIVOTTABLE-style 14" showFirstColumn="1" showLastColumn="1" showRowStripes="1" showColumnStripes="0"/>
</table>
</file>

<file path=xl/tables/table33.xml><?xml version="1.0" encoding="utf-8"?>
<table xmlns="http://schemas.openxmlformats.org/spreadsheetml/2006/main" id="33" name="Table_33" displayName="Table_33" ref="S36:T40">
  <tableColumns count="2">
    <tableColumn id="1" name="Months"/>
    <tableColumn id="2" name="Close"/>
  </tableColumns>
  <tableStyleInfo name="BSE CORRELATION WITH PIVOTTABLE-style 15" showFirstColumn="1" showLastColumn="1" showRowStripes="1" showColumnStripes="0"/>
</table>
</file>

<file path=xl/tables/table34.xml><?xml version="1.0" encoding="utf-8"?>
<table xmlns="http://schemas.openxmlformats.org/spreadsheetml/2006/main" id="34" name="Table_34" displayName="Table_34" ref="J2:K16">
  <tableColumns count="2">
    <tableColumn id="1" name="Years"/>
    <tableColumn id="2" name="Budget launch Date"/>
  </tableColumns>
  <tableStyleInfo name="NSE DATA-style" showFirstColumn="1" showLastColumn="1" showRowStripes="1" showColumnStripes="0"/>
</table>
</file>

<file path=xl/tables/table35.xml><?xml version="1.0" encoding="utf-8"?>
<table xmlns="http://schemas.openxmlformats.org/spreadsheetml/2006/main" id="35" name="Table_35" displayName="Table_35" ref="A3:G2084">
  <tableColumns count="7">
    <tableColumn id="1" name="Date "/>
    <tableColumn id="2" name="Open "/>
    <tableColumn id="3" name="High "/>
    <tableColumn id="4" name="Low "/>
    <tableColumn id="5" name="Close "/>
    <tableColumn id="6" name="Shares Traded "/>
    <tableColumn id="7" name="Turnover (â‚¹ Cr)"/>
  </tableColumns>
  <tableStyleInfo name="NSE DATA-style 2" showFirstColumn="1" showLastColumn="1" showRowStripes="1" showColumnStripes="0"/>
</table>
</file>

<file path=xl/tables/table36.xml><?xml version="1.0" encoding="utf-8"?>
<table xmlns="http://schemas.openxmlformats.org/spreadsheetml/2006/main" id="36" name="Table_36" displayName="Table_36" ref="N5:O9">
  <tableColumns count="2">
    <tableColumn id="1" name="Dates"/>
    <tableColumn id="2" name="Close"/>
  </tableColumns>
  <tableStyleInfo name="NSE DATA-style 3" showFirstColumn="1" showLastColumn="1" showRowStripes="1" showColumnStripes="0"/>
</table>
</file>

<file path=xl/tables/table37.xml><?xml version="1.0" encoding="utf-8"?>
<table xmlns="http://schemas.openxmlformats.org/spreadsheetml/2006/main" id="37" name="Table_37" displayName="Table_37" ref="N14:O18">
  <tableColumns count="2">
    <tableColumn id="1" name="Dates"/>
    <tableColumn id="2" name="Close"/>
  </tableColumns>
  <tableStyleInfo name="NSE DATA-style 4" showFirstColumn="1" showLastColumn="1" showRowStripes="1" showColumnStripes="0"/>
</table>
</file>

<file path=xl/tables/table38.xml><?xml version="1.0" encoding="utf-8"?>
<table xmlns="http://schemas.openxmlformats.org/spreadsheetml/2006/main" id="38" name="Table_38" displayName="Table_38" ref="D3:F12" totalsRowCount="1">
  <tableColumns count="3">
    <tableColumn id="1" name="Years"/>
    <tableColumn id="2" name="Budget launch Date" totalsRowFunction="custom">
      <totalsRowFormula>SUBTOTAL(103,'NSE CORRELATION WITH PIVOTTABLE'!$E$4:$E$11)</totalsRowFormula>
    </tableColumn>
    <tableColumn id="3" name="Correlation" totalsRowFunction="custom">
      <totalsRowFormula>SUBTOTAL(101,'NSE CORRELATION WITH PIVOTTABLE'!$F$4:$F$11)</totalsRowFormula>
    </tableColumn>
  </tableColumns>
  <tableStyleInfo name="NSE CORRELATION WITH PIVOTTABLE-style" showFirstColumn="1" showLastColumn="1" showRowStripes="1" showColumnStripes="0"/>
</table>
</file>

<file path=xl/tables/table39.xml><?xml version="1.0" encoding="utf-8"?>
<table xmlns="http://schemas.openxmlformats.org/spreadsheetml/2006/main" id="39" name="Table_39" displayName="Table_39" ref="H6:I10">
  <tableColumns count="2">
    <tableColumn id="1" name="Dates"/>
    <tableColumn id="2" name="Close"/>
  </tableColumns>
  <tableStyleInfo name="NSE CORRELATION WITH PIVOTTABLE-style 2" showFirstColumn="1" showLastColumn="1" showRowStripes="1" showColumnStripes="0"/>
</table>
</file>

<file path=xl/tables/table40.xml><?xml version="1.0" encoding="utf-8"?>
<table xmlns="http://schemas.openxmlformats.org/spreadsheetml/2006/main" id="40" name="Table_40" displayName="Table_40" ref="M6:N10">
  <tableColumns count="2">
    <tableColumn id="1" name="Dates"/>
    <tableColumn id="2" name="Close"/>
  </tableColumns>
  <tableStyleInfo name="NSE CORRELATION WITH PIVOTTABLE-style 3" showFirstColumn="1" showLastColumn="1" showRowStripes="1" showColumnStripes="0"/>
</table>
</file>

<file path=xl/tables/table41.xml><?xml version="1.0" encoding="utf-8"?>
<table xmlns="http://schemas.openxmlformats.org/spreadsheetml/2006/main" id="41" name="Table_41" displayName="Table_41" ref="R6:S10">
  <tableColumns count="2">
    <tableColumn id="1" name="Dates"/>
    <tableColumn id="2" name="Close"/>
  </tableColumns>
  <tableStyleInfo name="NSE CORRELATION WITH PIVOTTABLE-style 4" showFirstColumn="1" showLastColumn="1" showRowStripes="1" showColumnStripes="0"/>
</table>
</file>

<file path=xl/tables/table42.xml><?xml version="1.0" encoding="utf-8"?>
<table xmlns="http://schemas.openxmlformats.org/spreadsheetml/2006/main" id="42" name="Table_42" displayName="Table_42" ref="H15:I19">
  <tableColumns count="2">
    <tableColumn id="1" name="Dates"/>
    <tableColumn id="2" name="Close"/>
  </tableColumns>
  <tableStyleInfo name="NSE CORRELATION WITH PIVOTTABLE-style 5" showFirstColumn="1" showLastColumn="1" showRowStripes="1" showColumnStripes="0"/>
</table>
</file>

<file path=xl/tables/table43.xml><?xml version="1.0" encoding="utf-8"?>
<table xmlns="http://schemas.openxmlformats.org/spreadsheetml/2006/main" id="43" name="Table_43" displayName="Table_43" ref="M15:N19">
  <tableColumns count="2">
    <tableColumn id="1" name="Dates"/>
    <tableColumn id="2" name="Close"/>
  </tableColumns>
  <tableStyleInfo name="NSE CORRELATION WITH PIVOTTABLE-style 6" showFirstColumn="1" showLastColumn="1" showRowStripes="1" showColumnStripes="0"/>
</table>
</file>

<file path=xl/tables/table44.xml><?xml version="1.0" encoding="utf-8"?>
<table xmlns="http://schemas.openxmlformats.org/spreadsheetml/2006/main" id="44" name="Table_44" displayName="Table_44" ref="R15:S19">
  <tableColumns count="2">
    <tableColumn id="1" name="Dates"/>
    <tableColumn id="2" name="Close"/>
  </tableColumns>
  <tableStyleInfo name="NSE CORRELATION WITH PIVOTTABLE-style 7" showFirstColumn="1" showLastColumn="1" showRowStripes="1" showColumnStripes="0"/>
</table>
</file>

<file path=xl/tables/table45.xml><?xml version="1.0" encoding="utf-8"?>
<table xmlns="http://schemas.openxmlformats.org/spreadsheetml/2006/main" id="45" name="Table_45" displayName="Table_45" ref="D22:E26">
  <tableColumns count="2">
    <tableColumn id="1" name="Dates"/>
    <tableColumn id="2" name="Close"/>
  </tableColumns>
  <tableStyleInfo name="NSE CORRELATION WITH PIVOTTABLE-style 8" showFirstColumn="1" showLastColumn="1" showRowStripes="1" showColumnStripes="0"/>
</table>
</file>

<file path=xl/tables/table46.xml><?xml version="1.0" encoding="utf-8"?>
<table xmlns="http://schemas.openxmlformats.org/spreadsheetml/2006/main" id="46" name="Table_46" displayName="Table_46" ref="H24:I28">
  <tableColumns count="2">
    <tableColumn id="1" name="Dates"/>
    <tableColumn id="2" name="Close"/>
  </tableColumns>
  <tableStyleInfo name="NSE CORRELATION WITH PIVOTTABLE-style 9" showFirstColumn="1" showLastColumn="1" showRowStripes="1" showColumnStripes="0"/>
</table>
</file>

<file path=xl/tables/table47.xml><?xml version="1.0" encoding="utf-8"?>
<table xmlns="http://schemas.openxmlformats.org/spreadsheetml/2006/main" id="47" name="Table_47" displayName="Table_47" ref="M24:N28">
  <tableColumns count="2">
    <tableColumn id="1" name="Dates"/>
    <tableColumn id="2" name="Close"/>
  </tableColumns>
  <tableStyleInfo name="NSE CORRELATION WITH PIVOTTABLE-style 10" showFirstColumn="1" showLastColumn="1" showRowStripes="1" showColumnStripes="0"/>
</table>
</file>

<file path=xl/tables/table48.xml><?xml version="1.0" encoding="utf-8"?>
<table xmlns="http://schemas.openxmlformats.org/spreadsheetml/2006/main" id="48" name="Table_48" displayName="Table_48" ref="A1:E173">
  <tableColumns count="5">
    <tableColumn id="1" name="Date"/>
    <tableColumn id="2" name="Open"/>
    <tableColumn id="3" name="High"/>
    <tableColumn id="4" name="Low"/>
    <tableColumn id="5" name="Close"/>
  </tableColumns>
  <tableStyleInfo name="NSE MONEYCONTROL DATA-style" showFirstColumn="1" showLastColumn="1" showRowStripes="1" showColumnStripes="0"/>
</table>
</file>

<file path=xl/tables/table49.xml><?xml version="1.0" encoding="utf-8"?>
<table xmlns="http://schemas.openxmlformats.org/spreadsheetml/2006/main" id="49" name="Table_49" displayName="Table_49" ref="G1:H15">
  <tableColumns count="2">
    <tableColumn id="1" name="Years"/>
    <tableColumn id="2" name="Budget launch Date"/>
  </tableColumns>
  <tableStyleInfo name="NSE MONEYCONTROL DATA-style 2" showFirstColumn="1" showLastColumn="1" showRowStripes="1" showColumnStripes="0"/>
</table>
</file>

<file path=xl/tables/table50.xml><?xml version="1.0" encoding="utf-8"?>
<table xmlns="http://schemas.openxmlformats.org/spreadsheetml/2006/main" id="50" name="Table_50" displayName="Table_50" ref="J5:K9">
  <tableColumns count="2">
    <tableColumn id="1" name="Months"/>
    <tableColumn id="2" name="Close"/>
  </tableColumns>
  <tableStyleInfo name="NSE MONEYCONTROL DATA-style 3" showFirstColumn="1" showLastColumn="1" showRowStripes="1" showColumnStripes="0"/>
</table>
</file>

<file path=xl/tables/table51.xml><?xml version="1.0" encoding="utf-8"?>
<table xmlns="http://schemas.openxmlformats.org/spreadsheetml/2006/main" id="51" name="Table_51" displayName="Table_51" ref="C2:E16" totalsRowCount="1">
  <tableColumns count="3">
    <tableColumn id="1" name="Years"/>
    <tableColumn id="2" name="Budget launch Date"/>
    <tableColumn id="3" name="Correlation" totalsRowFunction="custom">
      <totalsRowFormula>SUBTOTAL(101,'NSE MONEYCONTROL CORRELATION'!$E$3:$E$15)</totalsRowFormula>
    </tableColumn>
  </tableColumns>
  <tableStyleInfo name="NSE MONEYCONTROL CORRELATION-style" showFirstColumn="1" showLastColumn="1" showRowStripes="1" showColumnStripes="0"/>
</table>
</file>

<file path=xl/tables/table52.xml><?xml version="1.0" encoding="utf-8"?>
<table xmlns="http://schemas.openxmlformats.org/spreadsheetml/2006/main" id="52" name="Table_52" displayName="Table_52" ref="G4:H8">
  <tableColumns count="2">
    <tableColumn id="1" name="Months"/>
    <tableColumn id="2" name="Close"/>
  </tableColumns>
  <tableStyleInfo name="NSE MONEYCONTROL CORRELATION-style 2" showFirstColumn="1" showLastColumn="1" showRowStripes="1" showColumnStripes="0"/>
</table>
</file>

<file path=xl/tables/table53.xml><?xml version="1.0" encoding="utf-8"?>
<table xmlns="http://schemas.openxmlformats.org/spreadsheetml/2006/main" id="53" name="Table_53" displayName="Table_53" ref="K4:L8">
  <tableColumns count="2">
    <tableColumn id="1" name="Months"/>
    <tableColumn id="2" name="Close"/>
  </tableColumns>
  <tableStyleInfo name="NSE MONEYCONTROL CORRELATION-style 3" showFirstColumn="1" showLastColumn="1" showRowStripes="1" showColumnStripes="0"/>
</table>
</file>

<file path=xl/tables/table54.xml><?xml version="1.0" encoding="utf-8"?>
<table xmlns="http://schemas.openxmlformats.org/spreadsheetml/2006/main" id="54" name="Table_54" displayName="Table_54" ref="O4:P8">
  <tableColumns count="2">
    <tableColumn id="1" name="Months"/>
    <tableColumn id="2" name="Close"/>
  </tableColumns>
  <tableStyleInfo name="NSE MONEYCONTROL CORRELATION-style 4" showFirstColumn="1" showLastColumn="1" showRowStripes="1" showColumnStripes="0"/>
</table>
</file>

<file path=xl/tables/table55.xml><?xml version="1.0" encoding="utf-8"?>
<table xmlns="http://schemas.openxmlformats.org/spreadsheetml/2006/main" id="55" name="Table_55" displayName="Table_55" ref="G13:H17">
  <tableColumns count="2">
    <tableColumn id="1" name="Months"/>
    <tableColumn id="2" name="Close"/>
  </tableColumns>
  <tableStyleInfo name="NSE MONEYCONTROL CORRELATION-style 5" showFirstColumn="1" showLastColumn="1" showRowStripes="1" showColumnStripes="0"/>
</table>
</file>

<file path=xl/tables/table56.xml><?xml version="1.0" encoding="utf-8"?>
<table xmlns="http://schemas.openxmlformats.org/spreadsheetml/2006/main" id="56" name="Table_56" displayName="Table_56" ref="K13:L17">
  <tableColumns count="2">
    <tableColumn id="1" name="Months"/>
    <tableColumn id="2" name="Close"/>
  </tableColumns>
  <tableStyleInfo name="NSE MONEYCONTROL CORRELATION-style 6" showFirstColumn="1" showLastColumn="1" showRowStripes="1" showColumnStripes="0"/>
</table>
</file>

<file path=xl/tables/table57.xml><?xml version="1.0" encoding="utf-8"?>
<table xmlns="http://schemas.openxmlformats.org/spreadsheetml/2006/main" id="57" name="Table_57" displayName="Table_57" ref="O13:P17">
  <tableColumns count="2">
    <tableColumn id="1" name="Months"/>
    <tableColumn id="2" name="Close"/>
  </tableColumns>
  <tableStyleInfo name="NSE MONEYCONTROL CORRELATION-style 7" showFirstColumn="1" showLastColumn="1" showRowStripes="1" showColumnStripes="0"/>
</table>
</file>

<file path=xl/tables/table58.xml><?xml version="1.0" encoding="utf-8"?>
<table xmlns="http://schemas.openxmlformats.org/spreadsheetml/2006/main" id="58" name="Table_58" displayName="Table_58" ref="C21:D25">
  <tableColumns count="2">
    <tableColumn id="1" name="Months"/>
    <tableColumn id="2" name="Close"/>
  </tableColumns>
  <tableStyleInfo name="NSE MONEYCONTROL CORRELATION-style 8" showFirstColumn="1" showLastColumn="1" showRowStripes="1" showColumnStripes="0"/>
</table>
</file>

<file path=xl/tables/table59.xml><?xml version="1.0" encoding="utf-8"?>
<table xmlns="http://schemas.openxmlformats.org/spreadsheetml/2006/main" id="59" name="Table_59" displayName="Table_59" ref="G22:H26">
  <tableColumns count="2">
    <tableColumn id="1" name="Months"/>
    <tableColumn id="2" name="Close"/>
  </tableColumns>
  <tableStyleInfo name="NSE MONEYCONTROL CORRELATION-style 9" showFirstColumn="1" showLastColumn="1" showRowStripes="1" showColumnStripes="0"/>
</table>
</file>

<file path=xl/tables/table60.xml><?xml version="1.0" encoding="utf-8"?>
<table xmlns="http://schemas.openxmlformats.org/spreadsheetml/2006/main" id="60" name="Table_60" displayName="Table_60" ref="K22:L26">
  <tableColumns count="2">
    <tableColumn id="1" name="Months"/>
    <tableColumn id="2" name="Close"/>
  </tableColumns>
  <tableStyleInfo name="NSE MONEYCONTROL CORRELATION-style 10" showFirstColumn="1" showLastColumn="1" showRowStripes="1" showColumnStripes="0"/>
</table>
</file>

<file path=xl/tables/table61.xml><?xml version="1.0" encoding="utf-8"?>
<table xmlns="http://schemas.openxmlformats.org/spreadsheetml/2006/main" id="61" name="Table_61" displayName="Table_61" ref="O22:P26">
  <tableColumns count="2">
    <tableColumn id="1" name="Months"/>
    <tableColumn id="2" name="Close"/>
  </tableColumns>
  <tableStyleInfo name="NSE MONEYCONTROL CORRELATION-style 11" showFirstColumn="1" showLastColumn="1" showRowStripes="1" showColumnStripes="0"/>
</table>
</file>

<file path=xl/tables/table62.xml><?xml version="1.0" encoding="utf-8"?>
<table xmlns="http://schemas.openxmlformats.org/spreadsheetml/2006/main" id="62" name="Table_62" displayName="Table_62" ref="C30:D34">
  <tableColumns count="2">
    <tableColumn id="1" name="Months"/>
    <tableColumn id="2" name="Close"/>
  </tableColumns>
  <tableStyleInfo name="NSE MONEYCONTROL CORRELATION-style 12" showFirstColumn="1" showLastColumn="1" showRowStripes="1" showColumnStripes="0"/>
</table>
</file>

<file path=xl/tables/table63.xml><?xml version="1.0" encoding="utf-8"?>
<table xmlns="http://schemas.openxmlformats.org/spreadsheetml/2006/main" id="63" name="Table_63" displayName="Table_63" ref="G31:H35">
  <tableColumns count="2">
    <tableColumn id="1" name="Months"/>
    <tableColumn id="2" name="Close"/>
  </tableColumns>
  <tableStyleInfo name="NSE MONEYCONTROL CORRELATION-style 13" showFirstColumn="1" showLastColumn="1" showRowStripes="1" showColumnStripes="0"/>
</table>
</file>

<file path=xl/tables/table64.xml><?xml version="1.0" encoding="utf-8"?>
<table xmlns="http://schemas.openxmlformats.org/spreadsheetml/2006/main" id="64" name="Table_64" displayName="Table_64" ref="K31:L35">
  <tableColumns count="2">
    <tableColumn id="1" name="Months"/>
    <tableColumn id="2" name="Close"/>
  </tableColumns>
  <tableStyleInfo name="NSE MONEYCONTROL CORRELATION-style 14" showFirstColumn="1" showLastColumn="1" showRowStripes="1" showColumnStripes="0"/>
</table>
</file>

<file path=xl/tables/table65.xml><?xml version="1.0" encoding="utf-8"?>
<table xmlns="http://schemas.openxmlformats.org/spreadsheetml/2006/main" id="65" name="Table_65" displayName="Table_65" ref="O31:P35">
  <tableColumns count="2">
    <tableColumn id="1" name="Months"/>
    <tableColumn id="2" name="Close"/>
  </tableColumns>
  <tableStyleInfo name="NSE MONEYCONTROL CORRELATION-style 15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18" Type="http://schemas.openxmlformats.org/officeDocument/2006/relationships/table" Target="../tables/table1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17" Type="http://schemas.openxmlformats.org/officeDocument/2006/relationships/table" Target="../tables/table17.xml"/><Relationship Id="rId2" Type="http://schemas.openxmlformats.org/officeDocument/2006/relationships/table" Target="../tables/table2.xml"/><Relationship Id="rId16" Type="http://schemas.openxmlformats.org/officeDocument/2006/relationships/table" Target="../tables/table16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5" Type="http://schemas.openxmlformats.org/officeDocument/2006/relationships/table" Target="../tables/table1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13" Type="http://schemas.openxmlformats.org/officeDocument/2006/relationships/table" Target="../tables/table31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12" Type="http://schemas.openxmlformats.org/officeDocument/2006/relationships/table" Target="../tables/table30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11" Type="http://schemas.openxmlformats.org/officeDocument/2006/relationships/table" Target="../tables/table29.xml"/><Relationship Id="rId5" Type="http://schemas.openxmlformats.org/officeDocument/2006/relationships/table" Target="../tables/table23.xml"/><Relationship Id="rId15" Type="http://schemas.openxmlformats.org/officeDocument/2006/relationships/table" Target="../tables/table33.xml"/><Relationship Id="rId10" Type="http://schemas.openxmlformats.org/officeDocument/2006/relationships/table" Target="../tables/table28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Relationship Id="rId14" Type="http://schemas.openxmlformats.org/officeDocument/2006/relationships/table" Target="../tables/table3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Relationship Id="rId4" Type="http://schemas.openxmlformats.org/officeDocument/2006/relationships/table" Target="../tables/table37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45.xml"/><Relationship Id="rId3" Type="http://schemas.openxmlformats.org/officeDocument/2006/relationships/table" Target="../tables/table40.xml"/><Relationship Id="rId7" Type="http://schemas.openxmlformats.org/officeDocument/2006/relationships/table" Target="../tables/table44.xml"/><Relationship Id="rId2" Type="http://schemas.openxmlformats.org/officeDocument/2006/relationships/table" Target="../tables/table39.xml"/><Relationship Id="rId1" Type="http://schemas.openxmlformats.org/officeDocument/2006/relationships/table" Target="../tables/table38.xml"/><Relationship Id="rId6" Type="http://schemas.openxmlformats.org/officeDocument/2006/relationships/table" Target="../tables/table43.xml"/><Relationship Id="rId5" Type="http://schemas.openxmlformats.org/officeDocument/2006/relationships/table" Target="../tables/table42.xml"/><Relationship Id="rId10" Type="http://schemas.openxmlformats.org/officeDocument/2006/relationships/table" Target="../tables/table47.xml"/><Relationship Id="rId4" Type="http://schemas.openxmlformats.org/officeDocument/2006/relationships/table" Target="../tables/table41.xml"/><Relationship Id="rId9" Type="http://schemas.openxmlformats.org/officeDocument/2006/relationships/table" Target="../tables/table4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8.xml"/><Relationship Id="rId13" Type="http://schemas.openxmlformats.org/officeDocument/2006/relationships/table" Target="../tables/table63.xml"/><Relationship Id="rId3" Type="http://schemas.openxmlformats.org/officeDocument/2006/relationships/table" Target="../tables/table53.xml"/><Relationship Id="rId7" Type="http://schemas.openxmlformats.org/officeDocument/2006/relationships/table" Target="../tables/table57.xml"/><Relationship Id="rId12" Type="http://schemas.openxmlformats.org/officeDocument/2006/relationships/table" Target="../tables/table62.xml"/><Relationship Id="rId2" Type="http://schemas.openxmlformats.org/officeDocument/2006/relationships/table" Target="../tables/table52.xml"/><Relationship Id="rId1" Type="http://schemas.openxmlformats.org/officeDocument/2006/relationships/table" Target="../tables/table51.xml"/><Relationship Id="rId6" Type="http://schemas.openxmlformats.org/officeDocument/2006/relationships/table" Target="../tables/table56.xml"/><Relationship Id="rId11" Type="http://schemas.openxmlformats.org/officeDocument/2006/relationships/table" Target="../tables/table61.xml"/><Relationship Id="rId5" Type="http://schemas.openxmlformats.org/officeDocument/2006/relationships/table" Target="../tables/table55.xml"/><Relationship Id="rId15" Type="http://schemas.openxmlformats.org/officeDocument/2006/relationships/table" Target="../tables/table65.xml"/><Relationship Id="rId10" Type="http://schemas.openxmlformats.org/officeDocument/2006/relationships/table" Target="../tables/table60.xml"/><Relationship Id="rId4" Type="http://schemas.openxmlformats.org/officeDocument/2006/relationships/table" Target="../tables/table54.xml"/><Relationship Id="rId9" Type="http://schemas.openxmlformats.org/officeDocument/2006/relationships/table" Target="../tables/table59.xml"/><Relationship Id="rId14" Type="http://schemas.openxmlformats.org/officeDocument/2006/relationships/table" Target="../tables/table6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74"/>
  <sheetViews>
    <sheetView topLeftCell="A124" workbookViewId="0">
      <selection sqref="A1:E1"/>
    </sheetView>
  </sheetViews>
  <sheetFormatPr defaultColWidth="14.44140625" defaultRowHeight="15" customHeight="1"/>
  <cols>
    <col min="1" max="6" width="8.6640625" customWidth="1"/>
    <col min="7" max="7" width="18.44140625" customWidth="1"/>
    <col min="8" max="8" width="19.33203125" customWidth="1"/>
    <col min="9" max="9" width="17.109375" customWidth="1"/>
    <col min="10" max="10" width="11.5546875" customWidth="1"/>
    <col min="11" max="12" width="15.6640625" customWidth="1"/>
    <col min="13" max="13" width="16.6640625" customWidth="1"/>
    <col min="14" max="16" width="8.6640625" customWidth="1"/>
    <col min="17" max="17" width="20" customWidth="1"/>
    <col min="18" max="18" width="12.33203125" customWidth="1"/>
  </cols>
  <sheetData>
    <row r="1" spans="1:18" ht="14.25" customHeight="1">
      <c r="A1" s="59" t="s">
        <v>0</v>
      </c>
      <c r="B1" s="60"/>
      <c r="C1" s="60"/>
      <c r="D1" s="60"/>
      <c r="E1" s="60"/>
      <c r="G1" s="1" t="s">
        <v>1</v>
      </c>
      <c r="H1" s="2" t="s">
        <v>2</v>
      </c>
      <c r="I1" s="3" t="s">
        <v>3</v>
      </c>
      <c r="J1" s="61" t="s">
        <v>4</v>
      </c>
      <c r="K1" s="62"/>
      <c r="L1" s="62"/>
      <c r="M1" s="4"/>
      <c r="N1" s="4"/>
    </row>
    <row r="2" spans="1:18" ht="14.25" customHeight="1">
      <c r="G2" s="5" t="s">
        <v>5</v>
      </c>
      <c r="H2" s="6">
        <v>40235</v>
      </c>
      <c r="I2" s="7">
        <v>0.90493999999999997</v>
      </c>
      <c r="K2" s="4" t="s">
        <v>6</v>
      </c>
      <c r="L2" s="4" t="s">
        <v>7</v>
      </c>
      <c r="M2" s="4"/>
      <c r="N2" s="4"/>
      <c r="P2" s="8" t="s">
        <v>1</v>
      </c>
      <c r="Q2" s="8" t="s">
        <v>8</v>
      </c>
      <c r="R2" s="8" t="s">
        <v>3</v>
      </c>
    </row>
    <row r="3" spans="1:18" ht="14.25" customHeight="1">
      <c r="A3" s="9" t="s">
        <v>9</v>
      </c>
      <c r="B3" s="10" t="s">
        <v>10</v>
      </c>
      <c r="C3" s="10" t="s">
        <v>11</v>
      </c>
      <c r="D3" s="10" t="s">
        <v>12</v>
      </c>
      <c r="E3" s="11" t="s">
        <v>13</v>
      </c>
      <c r="G3" s="5" t="s">
        <v>14</v>
      </c>
      <c r="H3" s="6">
        <v>40602</v>
      </c>
      <c r="I3" s="12">
        <f>N15</f>
        <v>0.68976784074149711</v>
      </c>
      <c r="K3" s="13" t="s">
        <v>15</v>
      </c>
      <c r="L3" s="14">
        <v>40235</v>
      </c>
      <c r="P3" s="15" t="s">
        <v>16</v>
      </c>
      <c r="Q3" s="16">
        <v>42429</v>
      </c>
      <c r="R3" s="17">
        <v>0.4902172871128454</v>
      </c>
    </row>
    <row r="4" spans="1:18" ht="15" customHeight="1">
      <c r="A4" s="18">
        <v>40179</v>
      </c>
      <c r="B4" s="19">
        <v>17473.45</v>
      </c>
      <c r="C4" s="19">
        <v>17790.330000000002</v>
      </c>
      <c r="D4" s="19">
        <v>15982.08</v>
      </c>
      <c r="E4" s="20">
        <v>16357.96</v>
      </c>
      <c r="G4" s="5" t="s">
        <v>17</v>
      </c>
      <c r="H4" s="6">
        <v>40984</v>
      </c>
      <c r="I4" s="12">
        <f>N24</f>
        <v>2.304956611335195E-2</v>
      </c>
      <c r="P4" s="7" t="s">
        <v>18</v>
      </c>
      <c r="Q4" s="21">
        <v>42767</v>
      </c>
      <c r="R4" s="22">
        <v>0.97227490099289393</v>
      </c>
    </row>
    <row r="5" spans="1:18" ht="14.25" customHeight="1">
      <c r="A5" s="18">
        <v>40210</v>
      </c>
      <c r="B5" s="19">
        <v>16339.32</v>
      </c>
      <c r="C5" s="19">
        <v>16669.25</v>
      </c>
      <c r="D5" s="19">
        <v>15651.99</v>
      </c>
      <c r="E5" s="20">
        <v>16429.55</v>
      </c>
      <c r="G5" s="5" t="s">
        <v>19</v>
      </c>
      <c r="H5" s="6">
        <v>41333</v>
      </c>
      <c r="I5" s="12">
        <f>N32</f>
        <v>-0.3009151008110425</v>
      </c>
      <c r="K5" s="23" t="s">
        <v>20</v>
      </c>
      <c r="L5" s="24" t="s">
        <v>13</v>
      </c>
      <c r="M5" s="13" t="s">
        <v>3</v>
      </c>
      <c r="N5" s="13" t="s">
        <v>21</v>
      </c>
      <c r="P5" s="15" t="s">
        <v>22</v>
      </c>
      <c r="Q5" s="16">
        <v>43132</v>
      </c>
      <c r="R5" s="17">
        <v>-0.35686254667868239</v>
      </c>
    </row>
    <row r="6" spans="1:18" ht="15" customHeight="1">
      <c r="A6" s="18">
        <v>40238</v>
      </c>
      <c r="B6" s="19">
        <v>16438.45</v>
      </c>
      <c r="C6" s="19">
        <v>17793.009999999998</v>
      </c>
      <c r="D6" s="19">
        <v>16438.45</v>
      </c>
      <c r="E6" s="20">
        <v>17527.77</v>
      </c>
      <c r="G6" s="5" t="s">
        <v>23</v>
      </c>
      <c r="H6" s="6">
        <v>41830</v>
      </c>
      <c r="I6" s="12">
        <f>N40</f>
        <v>0.94598217238081972</v>
      </c>
      <c r="K6" s="18">
        <v>40179</v>
      </c>
      <c r="L6" s="20">
        <v>16357.96</v>
      </c>
      <c r="M6" s="13">
        <f>CORREL(K6:K9,L6:L9)</f>
        <v>0.90494652287515054</v>
      </c>
      <c r="N6" s="13">
        <f>M6</f>
        <v>0.90494652287515054</v>
      </c>
      <c r="P6" s="7" t="s">
        <v>24</v>
      </c>
      <c r="Q6" s="21">
        <v>43651</v>
      </c>
      <c r="R6" s="22">
        <v>-0.2982358750110885</v>
      </c>
    </row>
    <row r="7" spans="1:18" ht="14.25" customHeight="1">
      <c r="A7" s="18">
        <v>40269</v>
      </c>
      <c r="B7" s="19">
        <v>17555.04</v>
      </c>
      <c r="C7" s="19">
        <v>18047.86</v>
      </c>
      <c r="D7" s="19">
        <v>17276.8</v>
      </c>
      <c r="E7" s="20">
        <v>17558.71</v>
      </c>
      <c r="G7" s="5" t="s">
        <v>25</v>
      </c>
      <c r="H7" s="6">
        <v>42063</v>
      </c>
      <c r="I7" s="12">
        <f>N48</f>
        <v>-0.92059962317408928</v>
      </c>
      <c r="K7" s="18">
        <v>40210</v>
      </c>
      <c r="L7" s="20">
        <v>16429.55</v>
      </c>
      <c r="M7" s="25"/>
      <c r="P7" s="15" t="s">
        <v>26</v>
      </c>
      <c r="Q7" s="16">
        <v>43862</v>
      </c>
      <c r="R7" s="17">
        <v>-0.76566515006691416</v>
      </c>
    </row>
    <row r="8" spans="1:18" ht="14.25" customHeight="1">
      <c r="A8" s="18">
        <v>40299</v>
      </c>
      <c r="B8" s="19">
        <v>17536.86</v>
      </c>
      <c r="C8" s="19">
        <v>17536.86</v>
      </c>
      <c r="D8" s="19">
        <v>15960.15</v>
      </c>
      <c r="E8" s="20">
        <v>16944.63</v>
      </c>
      <c r="G8" s="5" t="s">
        <v>16</v>
      </c>
      <c r="H8" s="6">
        <v>42429</v>
      </c>
      <c r="I8" s="12">
        <f>N56</f>
        <v>0.4902172871128454</v>
      </c>
      <c r="K8" s="18">
        <v>40238</v>
      </c>
      <c r="L8" s="20">
        <v>17527.77</v>
      </c>
      <c r="M8" s="25"/>
      <c r="P8" s="7" t="s">
        <v>27</v>
      </c>
      <c r="Q8" s="21">
        <v>44228</v>
      </c>
      <c r="R8" s="22">
        <v>0.70388042789501581</v>
      </c>
    </row>
    <row r="9" spans="1:18" ht="14.25" customHeight="1">
      <c r="A9" s="18">
        <v>40330</v>
      </c>
      <c r="B9" s="19">
        <v>16942.82</v>
      </c>
      <c r="C9" s="19">
        <v>17919.62</v>
      </c>
      <c r="D9" s="19">
        <v>16318.39</v>
      </c>
      <c r="E9" s="20">
        <v>17700.900000000001</v>
      </c>
      <c r="G9" s="5" t="s">
        <v>18</v>
      </c>
      <c r="H9" s="6">
        <v>42767</v>
      </c>
      <c r="I9" s="12">
        <f>N64</f>
        <v>0.97227490099289393</v>
      </c>
      <c r="K9" s="26">
        <v>40269</v>
      </c>
      <c r="L9" s="27">
        <v>17558.71</v>
      </c>
      <c r="M9" s="25"/>
      <c r="P9" s="15" t="s">
        <v>28</v>
      </c>
      <c r="Q9" s="16">
        <v>44593</v>
      </c>
      <c r="R9" s="17">
        <v>-8.7719001055328968E-2</v>
      </c>
    </row>
    <row r="10" spans="1:18" ht="14.25" customHeight="1">
      <c r="A10" s="18">
        <v>40360</v>
      </c>
      <c r="B10" s="19">
        <v>17679.34</v>
      </c>
      <c r="C10" s="19">
        <v>18237.560000000001</v>
      </c>
      <c r="D10" s="19">
        <v>17395.580000000002</v>
      </c>
      <c r="E10" s="20">
        <v>17868.29</v>
      </c>
      <c r="G10" s="5" t="s">
        <v>22</v>
      </c>
      <c r="H10" s="6">
        <v>43132</v>
      </c>
      <c r="I10" s="12">
        <f>N72</f>
        <v>-0.35686254667868239</v>
      </c>
      <c r="P10" s="28" t="s">
        <v>29</v>
      </c>
      <c r="Q10" s="29">
        <v>44958</v>
      </c>
      <c r="R10" s="30">
        <v>0.60708678794082094</v>
      </c>
    </row>
    <row r="11" spans="1:18" ht="14.25" customHeight="1">
      <c r="A11" s="18">
        <v>40391</v>
      </c>
      <c r="B11" s="19">
        <v>17911.310000000001</v>
      </c>
      <c r="C11" s="19">
        <v>18475.27</v>
      </c>
      <c r="D11" s="19">
        <v>17819.990000000002</v>
      </c>
      <c r="E11" s="20">
        <v>17971.12</v>
      </c>
      <c r="G11" s="5" t="s">
        <v>24</v>
      </c>
      <c r="H11" s="6">
        <v>43651</v>
      </c>
      <c r="I11" s="12">
        <f>N80</f>
        <v>-0.2982358750110885</v>
      </c>
      <c r="P11" s="28"/>
      <c r="Q11" s="29"/>
      <c r="R11" s="30">
        <f>AVERAGE('BSE DATA AND CORRELATION'!$R$3:$R$10)</f>
        <v>0.15812210389119527</v>
      </c>
    </row>
    <row r="12" spans="1:18" ht="15" customHeight="1">
      <c r="A12" s="18">
        <v>40422</v>
      </c>
      <c r="B12" s="19">
        <v>18027.12</v>
      </c>
      <c r="C12" s="19">
        <v>20267.98</v>
      </c>
      <c r="D12" s="19">
        <v>18027.12</v>
      </c>
      <c r="E12" s="20">
        <v>20069.12</v>
      </c>
      <c r="G12" s="5" t="s">
        <v>26</v>
      </c>
      <c r="H12" s="6">
        <v>43862</v>
      </c>
      <c r="I12" s="12">
        <f>N88</f>
        <v>-0.76566515006691416</v>
      </c>
      <c r="K12" s="13" t="s">
        <v>30</v>
      </c>
      <c r="L12" s="14">
        <v>40602</v>
      </c>
    </row>
    <row r="13" spans="1:18" ht="14.25" customHeight="1">
      <c r="A13" s="18">
        <v>40452</v>
      </c>
      <c r="B13" s="19">
        <v>20094.099999999999</v>
      </c>
      <c r="C13" s="19">
        <v>20854.55</v>
      </c>
      <c r="D13" s="19">
        <v>19768.96</v>
      </c>
      <c r="E13" s="20">
        <v>20032.34</v>
      </c>
      <c r="G13" s="5" t="s">
        <v>27</v>
      </c>
      <c r="H13" s="6">
        <v>44228</v>
      </c>
      <c r="I13" s="12">
        <f>N96</f>
        <v>0.70388042789501581</v>
      </c>
    </row>
    <row r="14" spans="1:18" ht="14.25" customHeight="1">
      <c r="A14" s="18">
        <v>40483</v>
      </c>
      <c r="B14" s="19">
        <v>20272.490000000002</v>
      </c>
      <c r="C14" s="19">
        <v>21108.639999999999</v>
      </c>
      <c r="D14" s="19">
        <v>18954.82</v>
      </c>
      <c r="E14" s="20">
        <v>19521.25</v>
      </c>
      <c r="G14" s="5" t="s">
        <v>28</v>
      </c>
      <c r="H14" s="6">
        <v>44593</v>
      </c>
      <c r="I14" s="12">
        <f>N104</f>
        <v>-8.7719001055328968E-2</v>
      </c>
      <c r="K14" s="23" t="s">
        <v>20</v>
      </c>
      <c r="L14" s="24" t="s">
        <v>13</v>
      </c>
      <c r="M14" s="13" t="s">
        <v>3</v>
      </c>
      <c r="N14" s="13" t="s">
        <v>21</v>
      </c>
    </row>
    <row r="15" spans="1:18" ht="14.25" customHeight="1">
      <c r="A15" s="18">
        <v>40513</v>
      </c>
      <c r="B15" s="19">
        <v>19529.990000000002</v>
      </c>
      <c r="C15" s="19">
        <v>20552.03</v>
      </c>
      <c r="D15" s="19">
        <v>19074.57</v>
      </c>
      <c r="E15" s="20">
        <v>20509.09</v>
      </c>
      <c r="G15" s="31" t="s">
        <v>29</v>
      </c>
      <c r="H15" s="32">
        <v>44958</v>
      </c>
      <c r="I15" s="12">
        <f>M112</f>
        <v>0.60708678794082094</v>
      </c>
      <c r="K15" s="18">
        <v>40544</v>
      </c>
      <c r="L15" s="20">
        <v>18327.759999999998</v>
      </c>
      <c r="M15" s="13">
        <f>CORREL(K15:K18,L15:L18)</f>
        <v>0.68976784074149711</v>
      </c>
      <c r="N15" s="13">
        <f>M15</f>
        <v>0.68976784074149711</v>
      </c>
    </row>
    <row r="16" spans="1:18" ht="14.25" customHeight="1">
      <c r="A16" s="18">
        <v>40544</v>
      </c>
      <c r="B16" s="19">
        <v>20621.61</v>
      </c>
      <c r="C16" s="19">
        <v>20664.8</v>
      </c>
      <c r="D16" s="19">
        <v>18038.48</v>
      </c>
      <c r="E16" s="20">
        <v>18327.759999999998</v>
      </c>
      <c r="G16" s="33"/>
      <c r="H16" s="34"/>
      <c r="I16" s="35">
        <f>SUBTOTAL(104,'BSE DATA AND CORRELATION'!$I$2:$I$15)</f>
        <v>0.97227490099289393</v>
      </c>
      <c r="J16" s="36"/>
      <c r="K16" s="18">
        <v>40575</v>
      </c>
      <c r="L16" s="20">
        <v>17823.400000000001</v>
      </c>
      <c r="M16" s="25"/>
    </row>
    <row r="17" spans="1:14" ht="14.25" customHeight="1">
      <c r="A17" s="18">
        <v>40575</v>
      </c>
      <c r="B17" s="19">
        <v>18425.18</v>
      </c>
      <c r="C17" s="19">
        <v>18690.97</v>
      </c>
      <c r="D17" s="19">
        <v>17295.62</v>
      </c>
      <c r="E17" s="20">
        <v>17823.400000000001</v>
      </c>
      <c r="H17" s="36"/>
      <c r="K17" s="18">
        <v>40603</v>
      </c>
      <c r="L17" s="20">
        <v>19445.22</v>
      </c>
      <c r="M17" s="25"/>
    </row>
    <row r="18" spans="1:14" ht="14.25" customHeight="1">
      <c r="A18" s="18">
        <v>40603</v>
      </c>
      <c r="B18" s="19">
        <v>17982.28</v>
      </c>
      <c r="C18" s="19">
        <v>19575.16</v>
      </c>
      <c r="D18" s="19">
        <v>17792.169999999998</v>
      </c>
      <c r="E18" s="20">
        <v>19445.22</v>
      </c>
      <c r="G18" s="4" t="s">
        <v>6</v>
      </c>
      <c r="H18" s="4" t="s">
        <v>7</v>
      </c>
      <c r="I18" s="4"/>
      <c r="K18" s="26">
        <v>40634</v>
      </c>
      <c r="L18" s="27">
        <v>19135.96</v>
      </c>
      <c r="M18" s="25"/>
    </row>
    <row r="19" spans="1:14" ht="14.25" customHeight="1">
      <c r="A19" s="18">
        <v>40634</v>
      </c>
      <c r="B19" s="19">
        <v>19463.11</v>
      </c>
      <c r="C19" s="19">
        <v>19811.14</v>
      </c>
      <c r="D19" s="19">
        <v>18976.189999999999</v>
      </c>
      <c r="E19" s="20">
        <v>19135.96</v>
      </c>
      <c r="G19" s="13"/>
      <c r="H19" s="14"/>
    </row>
    <row r="20" spans="1:14" ht="14.25" customHeight="1">
      <c r="A20" s="18">
        <v>40664</v>
      </c>
      <c r="B20" s="19">
        <v>19224.05</v>
      </c>
      <c r="C20" s="19">
        <v>19253.87</v>
      </c>
      <c r="D20" s="19">
        <v>17786.13</v>
      </c>
      <c r="E20" s="20">
        <v>18503.28</v>
      </c>
    </row>
    <row r="21" spans="1:14" ht="14.25" customHeight="1">
      <c r="A21" s="18">
        <v>40695</v>
      </c>
      <c r="B21" s="19">
        <v>18527.12</v>
      </c>
      <c r="C21" s="19">
        <v>18873.39</v>
      </c>
      <c r="D21" s="19">
        <v>17314.38</v>
      </c>
      <c r="E21" s="20">
        <v>18845.87</v>
      </c>
      <c r="G21" s="23" t="s">
        <v>20</v>
      </c>
      <c r="H21" s="24" t="s">
        <v>13</v>
      </c>
      <c r="I21" s="13" t="s">
        <v>3</v>
      </c>
      <c r="K21" s="13" t="s">
        <v>31</v>
      </c>
      <c r="L21" s="14">
        <v>40984</v>
      </c>
    </row>
    <row r="22" spans="1:14" ht="14.25" customHeight="1">
      <c r="A22" s="18">
        <v>40725</v>
      </c>
      <c r="B22" s="19">
        <v>18974.96</v>
      </c>
      <c r="C22" s="19">
        <v>19131.7</v>
      </c>
      <c r="D22" s="19">
        <v>18131.86</v>
      </c>
      <c r="E22" s="20">
        <v>18197.2</v>
      </c>
      <c r="G22" s="18"/>
      <c r="H22" s="20"/>
      <c r="I22" s="13" t="e">
        <f>CORREL(G22:G25,H22:H25)</f>
        <v>#DIV/0!</v>
      </c>
    </row>
    <row r="23" spans="1:14" ht="14.25" customHeight="1">
      <c r="A23" s="18">
        <v>40756</v>
      </c>
      <c r="B23" s="19">
        <v>18352.23</v>
      </c>
      <c r="C23" s="19">
        <v>18440.07</v>
      </c>
      <c r="D23" s="19">
        <v>15765.53</v>
      </c>
      <c r="E23" s="20">
        <v>16676.75</v>
      </c>
      <c r="G23" s="18"/>
      <c r="H23" s="20"/>
      <c r="I23" s="25"/>
      <c r="K23" s="23" t="s">
        <v>20</v>
      </c>
      <c r="L23" s="24" t="s">
        <v>13</v>
      </c>
      <c r="M23" s="13" t="s">
        <v>3</v>
      </c>
      <c r="N23" s="13" t="s">
        <v>21</v>
      </c>
    </row>
    <row r="24" spans="1:14" ht="14.25" customHeight="1">
      <c r="A24" s="18">
        <v>40787</v>
      </c>
      <c r="B24" s="19">
        <v>16963.669999999998</v>
      </c>
      <c r="C24" s="19">
        <v>17211.8</v>
      </c>
      <c r="D24" s="19">
        <v>15801.01</v>
      </c>
      <c r="E24" s="20">
        <v>16453.759999999998</v>
      </c>
      <c r="G24" s="18"/>
      <c r="H24" s="20"/>
      <c r="I24" s="25"/>
      <c r="K24" s="18">
        <v>40909</v>
      </c>
      <c r="L24" s="20">
        <v>17193.55</v>
      </c>
      <c r="M24" s="13">
        <f>CORREL(K24:K27,L24:L27)</f>
        <v>2.304956611335195E-2</v>
      </c>
      <c r="N24" s="13">
        <f>M24</f>
        <v>2.304956611335195E-2</v>
      </c>
    </row>
    <row r="25" spans="1:14" ht="14.25" customHeight="1">
      <c r="A25" s="18">
        <v>40817</v>
      </c>
      <c r="B25" s="19">
        <v>16255.97</v>
      </c>
      <c r="C25" s="19">
        <v>17908.13</v>
      </c>
      <c r="D25" s="19">
        <v>15745.43</v>
      </c>
      <c r="E25" s="20">
        <v>17705.009999999998</v>
      </c>
      <c r="G25" s="26"/>
      <c r="H25" s="27"/>
      <c r="I25" s="25"/>
      <c r="K25" s="18">
        <v>40940</v>
      </c>
      <c r="L25" s="20">
        <v>17752.68</v>
      </c>
      <c r="M25" s="25"/>
    </row>
    <row r="26" spans="1:14" ht="14.25" customHeight="1">
      <c r="A26" s="18">
        <v>40848</v>
      </c>
      <c r="B26" s="19">
        <v>17540.55</v>
      </c>
      <c r="C26" s="19">
        <v>17702.259999999998</v>
      </c>
      <c r="D26" s="19">
        <v>15478.69</v>
      </c>
      <c r="E26" s="20">
        <v>16123.46</v>
      </c>
      <c r="K26" s="18">
        <v>40969</v>
      </c>
      <c r="L26" s="20">
        <v>17404.2</v>
      </c>
      <c r="M26" s="25"/>
    </row>
    <row r="27" spans="1:14" ht="14.25" customHeight="1">
      <c r="A27" s="18">
        <v>40878</v>
      </c>
      <c r="B27" s="19">
        <v>16555.93</v>
      </c>
      <c r="C27" s="19">
        <v>17003.71</v>
      </c>
      <c r="D27" s="19">
        <v>15135.86</v>
      </c>
      <c r="E27" s="20">
        <v>15454.92</v>
      </c>
      <c r="K27" s="26">
        <v>41000</v>
      </c>
      <c r="L27" s="27">
        <v>17318.810000000001</v>
      </c>
      <c r="M27" s="25"/>
    </row>
    <row r="28" spans="1:14" ht="14.25" customHeight="1">
      <c r="A28" s="18">
        <v>40909</v>
      </c>
      <c r="B28" s="19">
        <v>15534.67</v>
      </c>
      <c r="C28" s="19">
        <v>17258.97</v>
      </c>
      <c r="D28" s="19">
        <v>15358.02</v>
      </c>
      <c r="E28" s="20">
        <v>17193.55</v>
      </c>
    </row>
    <row r="29" spans="1:14" ht="14.25" customHeight="1">
      <c r="A29" s="18">
        <v>40940</v>
      </c>
      <c r="B29" s="19">
        <v>17179.64</v>
      </c>
      <c r="C29" s="19">
        <v>18523.78</v>
      </c>
      <c r="D29" s="19">
        <v>17061.55</v>
      </c>
      <c r="E29" s="20">
        <v>17752.68</v>
      </c>
      <c r="K29" s="13" t="s">
        <v>32</v>
      </c>
      <c r="L29" s="14">
        <v>41333</v>
      </c>
    </row>
    <row r="30" spans="1:14" ht="14.25" customHeight="1">
      <c r="A30" s="18">
        <v>40969</v>
      </c>
      <c r="B30" s="19">
        <v>17714.62</v>
      </c>
      <c r="C30" s="19">
        <v>18040.689999999999</v>
      </c>
      <c r="D30" s="19">
        <v>16920.61</v>
      </c>
      <c r="E30" s="20">
        <v>17404.2</v>
      </c>
    </row>
    <row r="31" spans="1:14" ht="14.25" customHeight="1">
      <c r="A31" s="18">
        <v>41000</v>
      </c>
      <c r="B31" s="19">
        <v>17429.96</v>
      </c>
      <c r="C31" s="19">
        <v>17664.099999999999</v>
      </c>
      <c r="D31" s="19">
        <v>17010.16</v>
      </c>
      <c r="E31" s="20">
        <v>17318.810000000001</v>
      </c>
      <c r="K31" s="23" t="s">
        <v>20</v>
      </c>
      <c r="L31" s="24" t="s">
        <v>13</v>
      </c>
      <c r="M31" s="13" t="s">
        <v>3</v>
      </c>
      <c r="N31" s="13" t="s">
        <v>21</v>
      </c>
    </row>
    <row r="32" spans="1:14" ht="14.25" customHeight="1">
      <c r="A32" s="18">
        <v>41030</v>
      </c>
      <c r="B32" s="19">
        <v>17370.93</v>
      </c>
      <c r="C32" s="19">
        <v>17432.330000000002</v>
      </c>
      <c r="D32" s="19">
        <v>15809.71</v>
      </c>
      <c r="E32" s="20">
        <v>16218.53</v>
      </c>
      <c r="K32" s="18">
        <v>41275</v>
      </c>
      <c r="L32" s="20">
        <v>19894.98</v>
      </c>
      <c r="M32" s="13">
        <f>CORREL(K32:K35,L32:L35)</f>
        <v>-0.3009151008110425</v>
      </c>
      <c r="N32" s="13">
        <f>M32</f>
        <v>-0.3009151008110425</v>
      </c>
    </row>
    <row r="33" spans="1:14" ht="14.25" customHeight="1">
      <c r="A33" s="18">
        <v>41061</v>
      </c>
      <c r="B33" s="19">
        <v>16217.48</v>
      </c>
      <c r="C33" s="19">
        <v>17448.48</v>
      </c>
      <c r="D33" s="19">
        <v>15748.98</v>
      </c>
      <c r="E33" s="20">
        <v>17429.98</v>
      </c>
      <c r="K33" s="18">
        <v>41306</v>
      </c>
      <c r="L33" s="20">
        <v>18861.54</v>
      </c>
      <c r="M33" s="25"/>
    </row>
    <row r="34" spans="1:14" ht="14.25" customHeight="1">
      <c r="A34" s="18">
        <v>41091</v>
      </c>
      <c r="B34" s="19">
        <v>17438.68</v>
      </c>
      <c r="C34" s="19">
        <v>17631.189999999999</v>
      </c>
      <c r="D34" s="19">
        <v>16598.48</v>
      </c>
      <c r="E34" s="20">
        <v>17236.18</v>
      </c>
      <c r="K34" s="18">
        <v>41334</v>
      </c>
      <c r="L34" s="20">
        <v>18835.77</v>
      </c>
      <c r="M34" s="25"/>
    </row>
    <row r="35" spans="1:14" ht="14.25" customHeight="1">
      <c r="A35" s="18">
        <v>41122</v>
      </c>
      <c r="B35" s="19">
        <v>17244.439999999999</v>
      </c>
      <c r="C35" s="19">
        <v>17972.54</v>
      </c>
      <c r="D35" s="19">
        <v>17026.97</v>
      </c>
      <c r="E35" s="20">
        <v>17429.560000000001</v>
      </c>
      <c r="K35" s="26">
        <v>41365</v>
      </c>
      <c r="L35" s="27">
        <v>19504.18</v>
      </c>
      <c r="M35" s="25"/>
    </row>
    <row r="36" spans="1:14" ht="14.25" customHeight="1">
      <c r="A36" s="18">
        <v>41153</v>
      </c>
      <c r="B36" s="19">
        <v>17465.599999999999</v>
      </c>
      <c r="C36" s="19">
        <v>18869.939999999999</v>
      </c>
      <c r="D36" s="19">
        <v>17250.8</v>
      </c>
      <c r="E36" s="20">
        <v>18762.740000000002</v>
      </c>
    </row>
    <row r="37" spans="1:14" ht="14.25" customHeight="1">
      <c r="A37" s="18">
        <v>41183</v>
      </c>
      <c r="B37" s="19">
        <v>18784.64</v>
      </c>
      <c r="C37" s="19">
        <v>19137.29</v>
      </c>
      <c r="D37" s="19">
        <v>18393.419999999998</v>
      </c>
      <c r="E37" s="20">
        <v>18505.38</v>
      </c>
      <c r="K37" s="13" t="s">
        <v>33</v>
      </c>
      <c r="L37" s="14">
        <v>41830</v>
      </c>
    </row>
    <row r="38" spans="1:14" ht="14.25" customHeight="1">
      <c r="A38" s="18">
        <v>41214</v>
      </c>
      <c r="B38" s="19">
        <v>18487.900000000001</v>
      </c>
      <c r="C38" s="19">
        <v>19372.7</v>
      </c>
      <c r="D38" s="19">
        <v>18255.689999999999</v>
      </c>
      <c r="E38" s="20">
        <v>19339.900000000001</v>
      </c>
    </row>
    <row r="39" spans="1:14" ht="14.25" customHeight="1">
      <c r="A39" s="18">
        <v>41244</v>
      </c>
      <c r="B39" s="19">
        <v>19342.830000000002</v>
      </c>
      <c r="C39" s="19">
        <v>19612.18</v>
      </c>
      <c r="D39" s="19">
        <v>19149.03</v>
      </c>
      <c r="E39" s="20">
        <v>19426.71</v>
      </c>
      <c r="K39" s="23" t="s">
        <v>20</v>
      </c>
      <c r="L39" s="24" t="s">
        <v>13</v>
      </c>
      <c r="M39" s="13" t="s">
        <v>3</v>
      </c>
      <c r="N39" s="13" t="s">
        <v>21</v>
      </c>
    </row>
    <row r="40" spans="1:14" ht="14.25" customHeight="1">
      <c r="A40" s="18">
        <v>41275</v>
      </c>
      <c r="B40" s="19">
        <v>19513.45</v>
      </c>
      <c r="C40" s="19">
        <v>20203.66</v>
      </c>
      <c r="D40" s="19">
        <v>19508.93</v>
      </c>
      <c r="E40" s="20">
        <v>19894.98</v>
      </c>
      <c r="K40" s="18">
        <v>41791</v>
      </c>
      <c r="L40" s="20">
        <v>25413.78</v>
      </c>
      <c r="M40" s="13">
        <f>CORREL(K40:K43,L40:L43)</f>
        <v>0.94598217238081972</v>
      </c>
      <c r="N40" s="13">
        <f>M40</f>
        <v>0.94598217238081972</v>
      </c>
    </row>
    <row r="41" spans="1:14" ht="14.25" customHeight="1">
      <c r="A41" s="18">
        <v>41306</v>
      </c>
      <c r="B41" s="19">
        <v>19907.21</v>
      </c>
      <c r="C41" s="19">
        <v>19966.689999999999</v>
      </c>
      <c r="D41" s="19">
        <v>18793.97</v>
      </c>
      <c r="E41" s="20">
        <v>18861.54</v>
      </c>
      <c r="K41" s="18">
        <v>41821</v>
      </c>
      <c r="L41" s="20">
        <v>25894.97</v>
      </c>
      <c r="M41" s="25"/>
    </row>
    <row r="42" spans="1:14" ht="14.25" customHeight="1">
      <c r="A42" s="18">
        <v>41334</v>
      </c>
      <c r="B42" s="19">
        <v>18876.68</v>
      </c>
      <c r="C42" s="19">
        <v>19754.66</v>
      </c>
      <c r="D42" s="19">
        <v>18568.43</v>
      </c>
      <c r="E42" s="20">
        <v>18835.77</v>
      </c>
      <c r="K42" s="18">
        <v>41852</v>
      </c>
      <c r="L42" s="20">
        <v>26638.11</v>
      </c>
      <c r="M42" s="25"/>
    </row>
    <row r="43" spans="1:14" ht="14.25" customHeight="1">
      <c r="A43" s="18">
        <v>41365</v>
      </c>
      <c r="B43" s="19">
        <v>18890.810000000001</v>
      </c>
      <c r="C43" s="19">
        <v>19622.68</v>
      </c>
      <c r="D43" s="19">
        <v>18144.22</v>
      </c>
      <c r="E43" s="20">
        <v>19504.18</v>
      </c>
      <c r="K43" s="26">
        <v>41883</v>
      </c>
      <c r="L43" s="27">
        <v>26630.51</v>
      </c>
      <c r="M43" s="25"/>
    </row>
    <row r="44" spans="1:14" ht="14.25" customHeight="1">
      <c r="A44" s="18">
        <v>41395</v>
      </c>
      <c r="B44" s="19">
        <v>19459.330000000002</v>
      </c>
      <c r="C44" s="19">
        <v>20443.62</v>
      </c>
      <c r="D44" s="19">
        <v>19451.259999999998</v>
      </c>
      <c r="E44" s="20">
        <v>19760.3</v>
      </c>
    </row>
    <row r="45" spans="1:14" ht="14.25" customHeight="1">
      <c r="A45" s="18">
        <v>41426</v>
      </c>
      <c r="B45" s="19">
        <v>19859.22</v>
      </c>
      <c r="C45" s="19">
        <v>19860.189999999999</v>
      </c>
      <c r="D45" s="19">
        <v>18467.16</v>
      </c>
      <c r="E45" s="20">
        <v>19395.810000000001</v>
      </c>
      <c r="K45" s="13" t="s">
        <v>34</v>
      </c>
      <c r="L45" s="14">
        <v>42063</v>
      </c>
    </row>
    <row r="46" spans="1:14" ht="14.25" customHeight="1">
      <c r="A46" s="18">
        <v>41456</v>
      </c>
      <c r="B46" s="19">
        <v>19352.48</v>
      </c>
      <c r="C46" s="19">
        <v>20351.060000000001</v>
      </c>
      <c r="D46" s="19">
        <v>19126.82</v>
      </c>
      <c r="E46" s="20">
        <v>19345.7</v>
      </c>
    </row>
    <row r="47" spans="1:14" ht="14.25" customHeight="1">
      <c r="A47" s="18">
        <v>41487</v>
      </c>
      <c r="B47" s="19">
        <v>19443.29</v>
      </c>
      <c r="C47" s="19">
        <v>19569.2</v>
      </c>
      <c r="D47" s="19">
        <v>17448.71</v>
      </c>
      <c r="E47" s="20">
        <v>18619.72</v>
      </c>
      <c r="K47" s="23" t="s">
        <v>20</v>
      </c>
      <c r="L47" s="24" t="s">
        <v>13</v>
      </c>
      <c r="M47" s="13" t="s">
        <v>3</v>
      </c>
      <c r="N47" s="13" t="s">
        <v>21</v>
      </c>
    </row>
    <row r="48" spans="1:14" ht="14.25" customHeight="1">
      <c r="A48" s="18">
        <v>41518</v>
      </c>
      <c r="B48" s="19">
        <v>18691.830000000002</v>
      </c>
      <c r="C48" s="19">
        <v>72998.070000000007</v>
      </c>
      <c r="D48" s="19">
        <v>18166.169999999998</v>
      </c>
      <c r="E48" s="20">
        <v>19379.77</v>
      </c>
      <c r="K48" s="18">
        <v>42005</v>
      </c>
      <c r="L48" s="20">
        <v>29182.95</v>
      </c>
      <c r="M48" s="37">
        <f>CORREL(K48:K51,L48:L51)</f>
        <v>-0.92059962317408928</v>
      </c>
      <c r="N48" s="13">
        <f>M48</f>
        <v>-0.92059962317408928</v>
      </c>
    </row>
    <row r="49" spans="1:14" ht="14.25" customHeight="1">
      <c r="A49" s="18">
        <v>41548</v>
      </c>
      <c r="B49" s="19">
        <v>19452.05</v>
      </c>
      <c r="C49" s="19">
        <v>21205.439999999999</v>
      </c>
      <c r="D49" s="19">
        <v>19264.72</v>
      </c>
      <c r="E49" s="20">
        <v>21164.52</v>
      </c>
      <c r="K49" s="18">
        <v>42036</v>
      </c>
      <c r="L49" s="20">
        <v>29361.5</v>
      </c>
      <c r="M49" s="25"/>
    </row>
    <row r="50" spans="1:14" ht="14.25" customHeight="1">
      <c r="A50" s="18">
        <v>41579</v>
      </c>
      <c r="B50" s="19">
        <v>21158.81</v>
      </c>
      <c r="C50" s="19">
        <v>21321.53</v>
      </c>
      <c r="D50" s="19">
        <v>20137.669999999998</v>
      </c>
      <c r="E50" s="20">
        <v>20791.93</v>
      </c>
      <c r="K50" s="18">
        <v>42064</v>
      </c>
      <c r="L50" s="20">
        <v>27957.49</v>
      </c>
      <c r="M50" s="25"/>
    </row>
    <row r="51" spans="1:14" ht="14.25" customHeight="1">
      <c r="A51" s="18">
        <v>41609</v>
      </c>
      <c r="B51" s="19">
        <v>20771.27</v>
      </c>
      <c r="C51" s="19">
        <v>21483.74</v>
      </c>
      <c r="D51" s="19">
        <v>20568.7</v>
      </c>
      <c r="E51" s="20">
        <v>21170.68</v>
      </c>
      <c r="K51" s="26">
        <v>42095</v>
      </c>
      <c r="L51" s="27">
        <v>27011.31</v>
      </c>
      <c r="M51" s="25"/>
    </row>
    <row r="52" spans="1:14" ht="14.25" customHeight="1">
      <c r="A52" s="18">
        <v>41640</v>
      </c>
      <c r="B52" s="19">
        <v>21222.19</v>
      </c>
      <c r="C52" s="19">
        <v>21409.66</v>
      </c>
      <c r="D52" s="19">
        <v>20343.78</v>
      </c>
      <c r="E52" s="20">
        <v>20513.849999999999</v>
      </c>
    </row>
    <row r="53" spans="1:14" ht="14.25" customHeight="1">
      <c r="A53" s="18">
        <v>41671</v>
      </c>
      <c r="B53" s="19">
        <v>20479.03</v>
      </c>
      <c r="C53" s="19">
        <v>21140.51</v>
      </c>
      <c r="D53" s="19">
        <v>19963.12</v>
      </c>
      <c r="E53" s="20">
        <v>21120.12</v>
      </c>
      <c r="K53" s="13" t="s">
        <v>35</v>
      </c>
      <c r="L53" s="14">
        <v>42429</v>
      </c>
    </row>
    <row r="54" spans="1:14" ht="14.25" customHeight="1">
      <c r="A54" s="18">
        <v>41699</v>
      </c>
      <c r="B54" s="19">
        <v>21079.27</v>
      </c>
      <c r="C54" s="19">
        <v>22467.21</v>
      </c>
      <c r="D54" s="19">
        <v>20920.98</v>
      </c>
      <c r="E54" s="20">
        <v>22386.27</v>
      </c>
    </row>
    <row r="55" spans="1:14" ht="14.25" customHeight="1">
      <c r="A55" s="18">
        <v>41730</v>
      </c>
      <c r="B55" s="19">
        <v>22455.23</v>
      </c>
      <c r="C55" s="19">
        <v>22939.31</v>
      </c>
      <c r="D55" s="19">
        <v>22197.51</v>
      </c>
      <c r="E55" s="20">
        <v>22417.8</v>
      </c>
      <c r="K55" s="23" t="s">
        <v>20</v>
      </c>
      <c r="L55" s="24" t="s">
        <v>13</v>
      </c>
      <c r="M55" s="13" t="s">
        <v>3</v>
      </c>
      <c r="N55" s="13" t="s">
        <v>21</v>
      </c>
    </row>
    <row r="56" spans="1:14" ht="14.25" customHeight="1">
      <c r="A56" s="18">
        <v>41760</v>
      </c>
      <c r="B56" s="19">
        <v>22493.59</v>
      </c>
      <c r="C56" s="19">
        <v>25375.63</v>
      </c>
      <c r="D56" s="19">
        <v>22277.040000000001</v>
      </c>
      <c r="E56" s="20">
        <v>24217.34</v>
      </c>
      <c r="K56" s="18">
        <v>42370</v>
      </c>
      <c r="L56" s="20">
        <v>24870.69</v>
      </c>
      <c r="M56" s="37">
        <f>CORREL(K56:K59,L56:L59)</f>
        <v>0.4902172871128454</v>
      </c>
      <c r="N56" s="13">
        <f>M56</f>
        <v>0.4902172871128454</v>
      </c>
    </row>
    <row r="57" spans="1:14" ht="14.25" customHeight="1">
      <c r="A57" s="18">
        <v>41791</v>
      </c>
      <c r="B57" s="19">
        <v>24368.959999999999</v>
      </c>
      <c r="C57" s="19">
        <v>25725.119999999999</v>
      </c>
      <c r="D57" s="19">
        <v>24270.2</v>
      </c>
      <c r="E57" s="20">
        <v>25413.78</v>
      </c>
      <c r="K57" s="18">
        <v>42401</v>
      </c>
      <c r="L57" s="20">
        <v>23002</v>
      </c>
      <c r="M57" s="25"/>
    </row>
    <row r="58" spans="1:14" ht="14.25" customHeight="1">
      <c r="A58" s="18">
        <v>41821</v>
      </c>
      <c r="B58" s="19">
        <v>25469.94</v>
      </c>
      <c r="C58" s="19">
        <v>26300.17</v>
      </c>
      <c r="D58" s="19">
        <v>24892</v>
      </c>
      <c r="E58" s="20">
        <v>25894.97</v>
      </c>
      <c r="K58" s="18">
        <v>42430</v>
      </c>
      <c r="L58" s="20">
        <v>25341.86</v>
      </c>
      <c r="M58" s="25"/>
    </row>
    <row r="59" spans="1:14" ht="14.25" customHeight="1">
      <c r="A59" s="18">
        <v>41852</v>
      </c>
      <c r="B59" s="19">
        <v>25753.919999999998</v>
      </c>
      <c r="C59" s="19">
        <v>26674.38</v>
      </c>
      <c r="D59" s="19">
        <v>25232.82</v>
      </c>
      <c r="E59" s="20">
        <v>26638.11</v>
      </c>
      <c r="K59" s="26">
        <v>42461</v>
      </c>
      <c r="L59" s="27">
        <v>25606.62</v>
      </c>
      <c r="M59" s="25"/>
    </row>
    <row r="60" spans="1:14" ht="14.25" customHeight="1">
      <c r="A60" s="18">
        <v>41883</v>
      </c>
      <c r="B60" s="19">
        <v>26733.18</v>
      </c>
      <c r="C60" s="19">
        <v>27354.99</v>
      </c>
      <c r="D60" s="19">
        <v>26220.49</v>
      </c>
      <c r="E60" s="20">
        <v>26630.51</v>
      </c>
    </row>
    <row r="61" spans="1:14" ht="14.25" customHeight="1">
      <c r="A61" s="18">
        <v>41913</v>
      </c>
      <c r="B61" s="19">
        <v>26681.47</v>
      </c>
      <c r="C61" s="19">
        <v>27894.32</v>
      </c>
      <c r="D61" s="19">
        <v>25910.77</v>
      </c>
      <c r="E61" s="20">
        <v>27865.83</v>
      </c>
      <c r="K61" s="13" t="s">
        <v>36</v>
      </c>
      <c r="L61" s="14">
        <v>42767</v>
      </c>
    </row>
    <row r="62" spans="1:14" ht="14.25" customHeight="1">
      <c r="A62" s="18">
        <v>41944</v>
      </c>
      <c r="B62" s="19">
        <v>27943.040000000001</v>
      </c>
      <c r="C62" s="19">
        <v>28822.37</v>
      </c>
      <c r="D62" s="19">
        <v>27739.56</v>
      </c>
      <c r="E62" s="20">
        <v>28693.99</v>
      </c>
    </row>
    <row r="63" spans="1:14" ht="14.25" customHeight="1">
      <c r="A63" s="18">
        <v>41974</v>
      </c>
      <c r="B63" s="19">
        <v>28748.22</v>
      </c>
      <c r="C63" s="19">
        <v>28809.64</v>
      </c>
      <c r="D63" s="19">
        <v>26469.42</v>
      </c>
      <c r="E63" s="20">
        <v>27499.42</v>
      </c>
      <c r="K63" s="23" t="s">
        <v>20</v>
      </c>
      <c r="L63" s="24" t="s">
        <v>13</v>
      </c>
      <c r="M63" s="13" t="s">
        <v>3</v>
      </c>
      <c r="N63" s="13" t="s">
        <v>21</v>
      </c>
    </row>
    <row r="64" spans="1:14" ht="14.25" customHeight="1">
      <c r="A64" s="18">
        <v>42036</v>
      </c>
      <c r="B64" s="19">
        <v>29143.63</v>
      </c>
      <c r="C64" s="19">
        <v>29560.32</v>
      </c>
      <c r="D64" s="19">
        <v>28044.49</v>
      </c>
      <c r="E64" s="20">
        <v>29361.5</v>
      </c>
      <c r="K64" s="18">
        <v>42736</v>
      </c>
      <c r="L64" s="20">
        <v>27655.96</v>
      </c>
      <c r="M64" s="37">
        <f>CORREL(K64:K67,L64:L67)</f>
        <v>0.97227490099289393</v>
      </c>
      <c r="N64" s="13">
        <f>M64</f>
        <v>0.97227490099289393</v>
      </c>
    </row>
    <row r="65" spans="1:14" ht="14.25" customHeight="1">
      <c r="A65" s="18">
        <v>42064</v>
      </c>
      <c r="B65" s="19">
        <v>29533.42</v>
      </c>
      <c r="C65" s="19">
        <v>30024.74</v>
      </c>
      <c r="D65" s="19">
        <v>27248.45</v>
      </c>
      <c r="E65" s="20">
        <v>27957.49</v>
      </c>
      <c r="K65" s="18">
        <v>42767</v>
      </c>
      <c r="L65" s="20">
        <v>28743.32</v>
      </c>
      <c r="M65" s="25"/>
    </row>
    <row r="66" spans="1:14" ht="14.25" customHeight="1">
      <c r="A66" s="18">
        <v>42095</v>
      </c>
      <c r="B66" s="19">
        <v>27954.86</v>
      </c>
      <c r="C66" s="19">
        <v>29094.61</v>
      </c>
      <c r="D66" s="19">
        <v>26897.54</v>
      </c>
      <c r="E66" s="20">
        <v>27011.31</v>
      </c>
      <c r="K66" s="18">
        <v>42795</v>
      </c>
      <c r="L66" s="20">
        <v>29620.5</v>
      </c>
      <c r="M66" s="25"/>
    </row>
    <row r="67" spans="1:14" ht="14.25" customHeight="1">
      <c r="A67" s="18">
        <v>42125</v>
      </c>
      <c r="B67" s="19">
        <v>27204.63</v>
      </c>
      <c r="C67" s="19">
        <v>28071.16</v>
      </c>
      <c r="D67" s="19">
        <v>26423.99</v>
      </c>
      <c r="E67" s="20">
        <v>27828.44</v>
      </c>
      <c r="K67" s="26">
        <v>42826</v>
      </c>
      <c r="L67" s="27">
        <v>29918.400000000001</v>
      </c>
      <c r="M67" s="25"/>
    </row>
    <row r="68" spans="1:14" ht="14.25" customHeight="1">
      <c r="A68" s="18">
        <v>42156</v>
      </c>
      <c r="B68" s="19">
        <v>27770.79</v>
      </c>
      <c r="C68" s="19">
        <v>27968.75</v>
      </c>
      <c r="D68" s="19">
        <v>26307.07</v>
      </c>
      <c r="E68" s="20">
        <v>27780.83</v>
      </c>
    </row>
    <row r="69" spans="1:14" ht="14.25" customHeight="1">
      <c r="A69" s="18">
        <v>42186</v>
      </c>
      <c r="B69" s="19">
        <v>27823.65</v>
      </c>
      <c r="C69" s="19">
        <v>28578.33</v>
      </c>
      <c r="D69" s="19">
        <v>27416.39</v>
      </c>
      <c r="E69" s="20">
        <v>28114.560000000001</v>
      </c>
      <c r="K69" s="13" t="s">
        <v>37</v>
      </c>
      <c r="L69" s="14">
        <v>43132</v>
      </c>
    </row>
    <row r="70" spans="1:14" ht="14.25" customHeight="1">
      <c r="A70" s="18">
        <v>42217</v>
      </c>
      <c r="B70" s="19">
        <v>28089.09</v>
      </c>
      <c r="C70" s="19">
        <v>28417.59</v>
      </c>
      <c r="D70" s="19">
        <v>25298.42</v>
      </c>
      <c r="E70" s="20">
        <v>26283.09</v>
      </c>
    </row>
    <row r="71" spans="1:14" ht="14.25" customHeight="1">
      <c r="A71" s="18">
        <v>42248</v>
      </c>
      <c r="B71" s="19">
        <v>26127.040000000001</v>
      </c>
      <c r="C71" s="19">
        <v>26471.82</v>
      </c>
      <c r="D71" s="19">
        <v>24833.54</v>
      </c>
      <c r="E71" s="20">
        <v>26154.83</v>
      </c>
      <c r="K71" s="23" t="s">
        <v>20</v>
      </c>
      <c r="L71" s="24" t="s">
        <v>13</v>
      </c>
      <c r="M71" s="13" t="s">
        <v>3</v>
      </c>
      <c r="N71" s="13" t="s">
        <v>21</v>
      </c>
    </row>
    <row r="72" spans="1:14" ht="14.25" customHeight="1">
      <c r="A72" s="18">
        <v>42278</v>
      </c>
      <c r="B72" s="19">
        <v>26344.19</v>
      </c>
      <c r="C72" s="19">
        <v>27618.14</v>
      </c>
      <c r="D72" s="19">
        <v>26168.71</v>
      </c>
      <c r="E72" s="20">
        <v>26656.83</v>
      </c>
      <c r="K72" s="18">
        <v>43101</v>
      </c>
      <c r="L72" s="20">
        <v>35965.019999999997</v>
      </c>
      <c r="M72" s="37">
        <f>CORREL(K72:K75,L72:L75)</f>
        <v>-0.35686254667868239</v>
      </c>
      <c r="N72" s="13">
        <f>M72</f>
        <v>-0.35686254667868239</v>
      </c>
    </row>
    <row r="73" spans="1:14" ht="14.25" customHeight="1">
      <c r="A73" s="18">
        <v>42309</v>
      </c>
      <c r="B73" s="19">
        <v>26641.69</v>
      </c>
      <c r="C73" s="19">
        <v>26824.3</v>
      </c>
      <c r="D73" s="19">
        <v>25451.42</v>
      </c>
      <c r="E73" s="20">
        <v>26145.67</v>
      </c>
      <c r="K73" s="18">
        <v>43132</v>
      </c>
      <c r="L73" s="20">
        <v>34184.04</v>
      </c>
      <c r="M73" s="25"/>
    </row>
    <row r="74" spans="1:14" ht="14.25" customHeight="1">
      <c r="A74" s="18">
        <v>42339</v>
      </c>
      <c r="B74" s="19">
        <v>26201.27</v>
      </c>
      <c r="C74" s="19">
        <v>26256.42</v>
      </c>
      <c r="D74" s="19">
        <v>24867.73</v>
      </c>
      <c r="E74" s="20">
        <v>26117.54</v>
      </c>
      <c r="K74" s="18">
        <v>43160</v>
      </c>
      <c r="L74" s="20">
        <v>32968.68</v>
      </c>
      <c r="M74" s="25"/>
    </row>
    <row r="75" spans="1:14" ht="14.25" customHeight="1">
      <c r="A75" s="18">
        <v>42370</v>
      </c>
      <c r="B75" s="19">
        <v>26101.5</v>
      </c>
      <c r="C75" s="19">
        <v>26197.27</v>
      </c>
      <c r="D75" s="19">
        <v>23839.759999999998</v>
      </c>
      <c r="E75" s="20">
        <v>24870.69</v>
      </c>
      <c r="K75" s="26">
        <v>43191</v>
      </c>
      <c r="L75" s="27">
        <v>35160.36</v>
      </c>
      <c r="M75" s="25"/>
    </row>
    <row r="76" spans="1:14" ht="14.25" customHeight="1">
      <c r="A76" s="18">
        <v>42401</v>
      </c>
      <c r="B76" s="19">
        <v>24982.22</v>
      </c>
      <c r="C76" s="19">
        <v>25002.32</v>
      </c>
      <c r="D76" s="19">
        <v>22494.61</v>
      </c>
      <c r="E76" s="20">
        <v>23002</v>
      </c>
    </row>
    <row r="77" spans="1:14" ht="14.25" customHeight="1">
      <c r="A77" s="18">
        <v>42430</v>
      </c>
      <c r="B77" s="19">
        <v>23153.32</v>
      </c>
      <c r="C77" s="19">
        <v>25479.62</v>
      </c>
      <c r="D77" s="19">
        <v>23133.18</v>
      </c>
      <c r="E77" s="20">
        <v>25341.86</v>
      </c>
      <c r="K77" s="13" t="s">
        <v>38</v>
      </c>
      <c r="L77" s="14">
        <v>43651</v>
      </c>
    </row>
    <row r="78" spans="1:14" ht="14.25" customHeight="1">
      <c r="A78" s="18">
        <v>42461</v>
      </c>
      <c r="B78" s="19">
        <v>25301.7</v>
      </c>
      <c r="C78" s="19">
        <v>26100.54</v>
      </c>
      <c r="D78" s="19">
        <v>24523.200000000001</v>
      </c>
      <c r="E78" s="20">
        <v>25606.62</v>
      </c>
    </row>
    <row r="79" spans="1:14" ht="14.25" customHeight="1">
      <c r="A79" s="18">
        <v>42491</v>
      </c>
      <c r="B79" s="19">
        <v>25565.439999999999</v>
      </c>
      <c r="C79" s="19">
        <v>26837.200000000001</v>
      </c>
      <c r="D79" s="19">
        <v>25057.93</v>
      </c>
      <c r="E79" s="20">
        <v>26667.96</v>
      </c>
      <c r="K79" s="23" t="s">
        <v>20</v>
      </c>
      <c r="L79" s="24" t="s">
        <v>13</v>
      </c>
      <c r="M79" s="13" t="s">
        <v>3</v>
      </c>
      <c r="N79" s="13" t="s">
        <v>21</v>
      </c>
    </row>
    <row r="80" spans="1:14" ht="14.25" customHeight="1">
      <c r="A80" s="18">
        <v>42522</v>
      </c>
      <c r="B80" s="19">
        <v>26684.46</v>
      </c>
      <c r="C80" s="19">
        <v>27105.41</v>
      </c>
      <c r="D80" s="19">
        <v>25911.33</v>
      </c>
      <c r="E80" s="20">
        <v>26999.72</v>
      </c>
      <c r="K80" s="18">
        <v>43617</v>
      </c>
      <c r="L80" s="20">
        <v>39394.639999999999</v>
      </c>
      <c r="M80" s="37">
        <f>CORREL(K80:K83,L80:L83)</f>
        <v>-0.2982358750110885</v>
      </c>
      <c r="N80" s="13">
        <f>M80</f>
        <v>-0.2982358750110885</v>
      </c>
    </row>
    <row r="81" spans="1:14" ht="14.25" customHeight="1">
      <c r="A81" s="18">
        <v>42552</v>
      </c>
      <c r="B81" s="19">
        <v>27064.33</v>
      </c>
      <c r="C81" s="19">
        <v>28240.2</v>
      </c>
      <c r="D81" s="19">
        <v>27034.14</v>
      </c>
      <c r="E81" s="20">
        <v>28051.86</v>
      </c>
      <c r="K81" s="18">
        <v>43647</v>
      </c>
      <c r="L81" s="20">
        <v>37481.120000000003</v>
      </c>
      <c r="M81" s="25"/>
    </row>
    <row r="82" spans="1:14" ht="14.25" customHeight="1">
      <c r="A82" s="18">
        <v>42583</v>
      </c>
      <c r="B82" s="19">
        <v>28083.08</v>
      </c>
      <c r="C82" s="19">
        <v>28532.25</v>
      </c>
      <c r="D82" s="19">
        <v>27627.97</v>
      </c>
      <c r="E82" s="20">
        <v>28452.17</v>
      </c>
      <c r="K82" s="18">
        <v>43678</v>
      </c>
      <c r="L82" s="20">
        <v>37332.79</v>
      </c>
      <c r="M82" s="25"/>
    </row>
    <row r="83" spans="1:14" ht="14.25" customHeight="1">
      <c r="A83" s="18">
        <v>42614</v>
      </c>
      <c r="B83" s="19">
        <v>28459.09</v>
      </c>
      <c r="C83" s="19">
        <v>29077.279999999999</v>
      </c>
      <c r="D83" s="19">
        <v>27716.78</v>
      </c>
      <c r="E83" s="20">
        <v>27865.96</v>
      </c>
      <c r="K83" s="26">
        <v>43709</v>
      </c>
      <c r="L83" s="27">
        <v>38667.33</v>
      </c>
      <c r="M83" s="25"/>
    </row>
    <row r="84" spans="1:14" ht="14.25" customHeight="1">
      <c r="A84" s="18">
        <v>42644</v>
      </c>
      <c r="B84" s="19">
        <v>27997.29</v>
      </c>
      <c r="C84" s="19">
        <v>28477.65</v>
      </c>
      <c r="D84" s="19">
        <v>27488.3</v>
      </c>
      <c r="E84" s="20">
        <v>27930.21</v>
      </c>
    </row>
    <row r="85" spans="1:14" ht="14.25" customHeight="1">
      <c r="A85" s="18">
        <v>42675</v>
      </c>
      <c r="B85" s="19">
        <v>27966.18</v>
      </c>
      <c r="C85" s="19">
        <v>28029.8</v>
      </c>
      <c r="D85" s="19">
        <v>25717.93</v>
      </c>
      <c r="E85" s="20">
        <v>26652.81</v>
      </c>
      <c r="K85" s="13" t="s">
        <v>39</v>
      </c>
      <c r="L85" s="14">
        <v>43862</v>
      </c>
    </row>
    <row r="86" spans="1:14" ht="14.25" customHeight="1">
      <c r="A86" s="18">
        <v>42705</v>
      </c>
      <c r="B86" s="19">
        <v>26756.66</v>
      </c>
      <c r="C86" s="19">
        <v>26803.759999999998</v>
      </c>
      <c r="D86" s="19">
        <v>25753.74</v>
      </c>
      <c r="E86" s="20">
        <v>26626.46</v>
      </c>
    </row>
    <row r="87" spans="1:14" ht="14.25" customHeight="1">
      <c r="A87" s="18">
        <v>42736</v>
      </c>
      <c r="B87" s="19">
        <v>26711.15</v>
      </c>
      <c r="C87" s="19">
        <v>27980.39</v>
      </c>
      <c r="D87" s="19">
        <v>26447.06</v>
      </c>
      <c r="E87" s="20">
        <v>27655.96</v>
      </c>
      <c r="K87" s="23" t="s">
        <v>20</v>
      </c>
      <c r="L87" s="24" t="s">
        <v>13</v>
      </c>
      <c r="M87" s="13" t="s">
        <v>3</v>
      </c>
      <c r="N87" s="13" t="s">
        <v>21</v>
      </c>
    </row>
    <row r="88" spans="1:14" ht="14.25" customHeight="1">
      <c r="A88" s="18">
        <v>42767</v>
      </c>
      <c r="B88" s="19">
        <v>27669.08</v>
      </c>
      <c r="C88" s="19">
        <v>29065.31</v>
      </c>
      <c r="D88" s="19">
        <v>27590.1</v>
      </c>
      <c r="E88" s="20">
        <v>28743.32</v>
      </c>
      <c r="K88" s="18">
        <v>43831</v>
      </c>
      <c r="L88" s="20">
        <v>40723.49</v>
      </c>
      <c r="M88" s="37">
        <f>CORREL(K88:K91,L88:L91)</f>
        <v>-0.76566515006691416</v>
      </c>
      <c r="N88" s="13">
        <f>M88</f>
        <v>-0.76566515006691416</v>
      </c>
    </row>
    <row r="89" spans="1:14" ht="14.25" customHeight="1">
      <c r="A89" s="18">
        <v>42795</v>
      </c>
      <c r="B89" s="19">
        <v>28849.040000000001</v>
      </c>
      <c r="C89" s="19">
        <v>29824.62</v>
      </c>
      <c r="D89" s="19">
        <v>28716.21</v>
      </c>
      <c r="E89" s="20">
        <v>29620.5</v>
      </c>
      <c r="K89" s="18">
        <v>43862</v>
      </c>
      <c r="L89" s="20">
        <v>38297.29</v>
      </c>
      <c r="M89" s="25"/>
    </row>
    <row r="90" spans="1:14" ht="14.25" customHeight="1">
      <c r="A90" s="18">
        <v>42826</v>
      </c>
      <c r="B90" s="19">
        <v>29737.73</v>
      </c>
      <c r="C90" s="19">
        <v>30184.22</v>
      </c>
      <c r="D90" s="19">
        <v>29241.48</v>
      </c>
      <c r="E90" s="20">
        <v>29918.400000000001</v>
      </c>
      <c r="K90" s="18">
        <v>43891</v>
      </c>
      <c r="L90" s="20">
        <v>29468.49</v>
      </c>
      <c r="M90" s="25"/>
    </row>
    <row r="91" spans="1:14" ht="14.25" customHeight="1">
      <c r="A91" s="18">
        <v>42856</v>
      </c>
      <c r="B91" s="19">
        <v>30021.49</v>
      </c>
      <c r="C91" s="19">
        <v>31255.279999999999</v>
      </c>
      <c r="D91" s="19">
        <v>29804.12</v>
      </c>
      <c r="E91" s="20">
        <v>31145.8</v>
      </c>
      <c r="K91" s="26">
        <v>43922</v>
      </c>
      <c r="L91" s="27">
        <v>33717.620000000003</v>
      </c>
      <c r="M91" s="25"/>
    </row>
    <row r="92" spans="1:14" ht="14.25" customHeight="1">
      <c r="A92" s="18">
        <v>42887</v>
      </c>
      <c r="B92" s="19">
        <v>31117.09</v>
      </c>
      <c r="C92" s="19">
        <v>31522.87</v>
      </c>
      <c r="D92" s="19">
        <v>30680.66</v>
      </c>
      <c r="E92" s="20">
        <v>30921.61</v>
      </c>
    </row>
    <row r="93" spans="1:14" ht="14.25" customHeight="1">
      <c r="A93" s="18">
        <v>42917</v>
      </c>
      <c r="B93" s="19">
        <v>31156.04</v>
      </c>
      <c r="C93" s="19">
        <v>32672.66</v>
      </c>
      <c r="D93" s="19">
        <v>31017.11</v>
      </c>
      <c r="E93" s="20">
        <v>32514.94</v>
      </c>
      <c r="K93" s="13" t="s">
        <v>40</v>
      </c>
      <c r="L93" s="14">
        <v>44228</v>
      </c>
    </row>
    <row r="94" spans="1:14" ht="14.25" customHeight="1">
      <c r="A94" s="18">
        <v>42948</v>
      </c>
      <c r="B94" s="19">
        <v>32579.8</v>
      </c>
      <c r="C94" s="19">
        <v>32686.48</v>
      </c>
      <c r="D94" s="19">
        <v>31128.02</v>
      </c>
      <c r="E94" s="20">
        <v>31730.49</v>
      </c>
    </row>
    <row r="95" spans="1:14" ht="14.25" customHeight="1">
      <c r="A95" s="18">
        <v>42979</v>
      </c>
      <c r="B95" s="19">
        <v>31769.34</v>
      </c>
      <c r="C95" s="19">
        <v>32524.11</v>
      </c>
      <c r="D95" s="19">
        <v>31081.83</v>
      </c>
      <c r="E95" s="20">
        <v>31283.72</v>
      </c>
      <c r="K95" s="23" t="s">
        <v>20</v>
      </c>
      <c r="L95" s="24" t="s">
        <v>13</v>
      </c>
      <c r="M95" s="13" t="s">
        <v>3</v>
      </c>
      <c r="N95" s="13" t="s">
        <v>21</v>
      </c>
    </row>
    <row r="96" spans="1:14" ht="14.25" customHeight="1">
      <c r="A96" s="18">
        <v>43009</v>
      </c>
      <c r="B96" s="19">
        <v>31537.81</v>
      </c>
      <c r="C96" s="19">
        <v>33340.17</v>
      </c>
      <c r="D96" s="19">
        <v>31440.48</v>
      </c>
      <c r="E96" s="20">
        <v>33213.129999999997</v>
      </c>
      <c r="K96" s="18">
        <v>44197</v>
      </c>
      <c r="L96" s="20">
        <v>46285.77</v>
      </c>
      <c r="M96" s="37">
        <f>CORREL(K96:K99,L96:L99)</f>
        <v>0.70388042789501581</v>
      </c>
      <c r="N96" s="13">
        <f>M96</f>
        <v>0.70388042789501581</v>
      </c>
    </row>
    <row r="97" spans="1:14" ht="14.25" customHeight="1">
      <c r="A97" s="18">
        <v>43040</v>
      </c>
      <c r="B97" s="19">
        <v>33344.230000000003</v>
      </c>
      <c r="C97" s="19">
        <v>33865.949999999997</v>
      </c>
      <c r="D97" s="19">
        <v>32683.59</v>
      </c>
      <c r="E97" s="20">
        <v>33149.35</v>
      </c>
      <c r="K97" s="18">
        <v>44228</v>
      </c>
      <c r="L97" s="20">
        <v>49099.99</v>
      </c>
      <c r="M97" s="25"/>
    </row>
    <row r="98" spans="1:14" ht="14.25" customHeight="1">
      <c r="A98" s="18">
        <v>43070</v>
      </c>
      <c r="B98" s="19">
        <v>33247.660000000003</v>
      </c>
      <c r="C98" s="19">
        <v>34137.97</v>
      </c>
      <c r="D98" s="19">
        <v>32565.16</v>
      </c>
      <c r="E98" s="20">
        <v>34056.83</v>
      </c>
      <c r="K98" s="18">
        <v>44256</v>
      </c>
      <c r="L98" s="20">
        <v>49509.15</v>
      </c>
      <c r="M98" s="25"/>
    </row>
    <row r="99" spans="1:14" ht="14.25" customHeight="1">
      <c r="A99" s="18">
        <v>43101</v>
      </c>
      <c r="B99" s="19">
        <v>34059.99</v>
      </c>
      <c r="C99" s="19">
        <v>36443.980000000003</v>
      </c>
      <c r="D99" s="19">
        <v>33703.370000000003</v>
      </c>
      <c r="E99" s="20">
        <v>35965.019999999997</v>
      </c>
      <c r="K99" s="26">
        <v>44287</v>
      </c>
      <c r="L99" s="27">
        <v>48782.36</v>
      </c>
      <c r="M99" s="25"/>
    </row>
    <row r="100" spans="1:14" ht="14.25" customHeight="1">
      <c r="A100" s="18">
        <v>43132</v>
      </c>
      <c r="B100" s="19">
        <v>36048.99</v>
      </c>
      <c r="C100" s="19">
        <v>36256.83</v>
      </c>
      <c r="D100" s="19">
        <v>33482.81</v>
      </c>
      <c r="E100" s="20">
        <v>34184.04</v>
      </c>
    </row>
    <row r="101" spans="1:14" ht="14.25" customHeight="1">
      <c r="A101" s="18">
        <v>43160</v>
      </c>
      <c r="B101" s="19">
        <v>34141.22</v>
      </c>
      <c r="C101" s="19">
        <v>34278.629999999997</v>
      </c>
      <c r="D101" s="19">
        <v>32483.84</v>
      </c>
      <c r="E101" s="20">
        <v>32968.68</v>
      </c>
      <c r="K101" s="13" t="s">
        <v>41</v>
      </c>
      <c r="L101" s="14">
        <v>44593</v>
      </c>
    </row>
    <row r="102" spans="1:14" ht="14.25" customHeight="1">
      <c r="A102" s="18">
        <v>43191</v>
      </c>
      <c r="B102" s="19">
        <v>33030.870000000003</v>
      </c>
      <c r="C102" s="19">
        <v>35213.300000000003</v>
      </c>
      <c r="D102" s="19">
        <v>32972.559999999998</v>
      </c>
      <c r="E102" s="20">
        <v>35160.36</v>
      </c>
    </row>
    <row r="103" spans="1:14" ht="14.25" customHeight="1">
      <c r="A103" s="18">
        <v>43221</v>
      </c>
      <c r="B103" s="19">
        <v>35328.910000000003</v>
      </c>
      <c r="C103" s="19">
        <v>35993.53</v>
      </c>
      <c r="D103" s="19">
        <v>34302.89</v>
      </c>
      <c r="E103" s="20">
        <v>35322.379999999997</v>
      </c>
      <c r="K103" s="23" t="s">
        <v>20</v>
      </c>
      <c r="L103" s="24" t="s">
        <v>13</v>
      </c>
      <c r="M103" s="13" t="s">
        <v>3</v>
      </c>
      <c r="N103" s="13" t="s">
        <v>21</v>
      </c>
    </row>
    <row r="104" spans="1:14" ht="14.25" customHeight="1">
      <c r="A104" s="18">
        <v>43252</v>
      </c>
      <c r="B104" s="19">
        <v>35373.980000000003</v>
      </c>
      <c r="C104" s="19">
        <v>35877.410000000003</v>
      </c>
      <c r="D104" s="19">
        <v>34784.68</v>
      </c>
      <c r="E104" s="20">
        <v>35423.480000000003</v>
      </c>
      <c r="K104" s="18">
        <v>44562</v>
      </c>
      <c r="L104" s="20">
        <v>58014.17</v>
      </c>
      <c r="M104" s="37">
        <f>CORREL(K104:K107,L104:L107)</f>
        <v>-8.7719001055328968E-2</v>
      </c>
      <c r="N104" s="13">
        <f>M104</f>
        <v>-8.7719001055328968E-2</v>
      </c>
    </row>
    <row r="105" spans="1:14" ht="14.25" customHeight="1">
      <c r="A105" s="18">
        <v>43282</v>
      </c>
      <c r="B105" s="19">
        <v>35545.22</v>
      </c>
      <c r="C105" s="19">
        <v>37644.589999999997</v>
      </c>
      <c r="D105" s="19">
        <v>35106.57</v>
      </c>
      <c r="E105" s="20">
        <v>37606.58</v>
      </c>
      <c r="K105" s="18">
        <v>44593</v>
      </c>
      <c r="L105" s="20">
        <v>56247.28</v>
      </c>
      <c r="M105" s="25"/>
    </row>
    <row r="106" spans="1:14" ht="14.25" customHeight="1">
      <c r="A106" s="18">
        <v>43313</v>
      </c>
      <c r="B106" s="19">
        <v>37643.870000000003</v>
      </c>
      <c r="C106" s="19">
        <v>38989.65</v>
      </c>
      <c r="D106" s="19">
        <v>37128.99</v>
      </c>
      <c r="E106" s="20">
        <v>38645.07</v>
      </c>
      <c r="K106" s="18">
        <v>44621</v>
      </c>
      <c r="L106" s="20">
        <v>58568.51</v>
      </c>
      <c r="M106" s="25"/>
    </row>
    <row r="107" spans="1:14" ht="14.25" customHeight="1">
      <c r="A107" s="18">
        <v>43344</v>
      </c>
      <c r="B107" s="19">
        <v>38915.910000000003</v>
      </c>
      <c r="C107" s="19">
        <v>38934.35</v>
      </c>
      <c r="D107" s="19">
        <v>35985.629999999997</v>
      </c>
      <c r="E107" s="20">
        <v>36227.14</v>
      </c>
      <c r="K107" s="26">
        <v>44652</v>
      </c>
      <c r="L107" s="27">
        <v>57060.87</v>
      </c>
      <c r="M107" s="25"/>
    </row>
    <row r="108" spans="1:14" ht="14.25" customHeight="1">
      <c r="A108" s="18">
        <v>43374</v>
      </c>
      <c r="B108" s="19">
        <v>36274.25</v>
      </c>
      <c r="C108" s="19">
        <v>36616.639999999999</v>
      </c>
      <c r="D108" s="19">
        <v>33291.58</v>
      </c>
      <c r="E108" s="20">
        <v>34442.050000000003</v>
      </c>
    </row>
    <row r="109" spans="1:14" ht="14.25" customHeight="1">
      <c r="A109" s="18">
        <v>43405</v>
      </c>
      <c r="B109" s="19">
        <v>34650.629999999997</v>
      </c>
      <c r="C109" s="19">
        <v>36389.22</v>
      </c>
      <c r="D109" s="19">
        <v>34303.379999999997</v>
      </c>
      <c r="E109" s="20">
        <v>36194.300000000003</v>
      </c>
      <c r="K109" s="13" t="s">
        <v>42</v>
      </c>
      <c r="L109" s="14">
        <v>44228</v>
      </c>
    </row>
    <row r="110" spans="1:14" ht="14.25" customHeight="1">
      <c r="A110" s="18">
        <v>43435</v>
      </c>
      <c r="B110" s="19">
        <v>36396.69</v>
      </c>
      <c r="C110" s="19">
        <v>36554.99</v>
      </c>
      <c r="D110" s="19">
        <v>34426.29</v>
      </c>
      <c r="E110" s="20">
        <v>36068.33</v>
      </c>
    </row>
    <row r="111" spans="1:14" ht="14.25" customHeight="1">
      <c r="A111" s="18">
        <v>43466</v>
      </c>
      <c r="B111" s="19">
        <v>36161.800000000003</v>
      </c>
      <c r="C111" s="19">
        <v>36701.03</v>
      </c>
      <c r="D111" s="19">
        <v>35375.51</v>
      </c>
      <c r="E111" s="20">
        <v>36256.69</v>
      </c>
      <c r="K111" s="23" t="s">
        <v>20</v>
      </c>
      <c r="L111" s="24" t="s">
        <v>13</v>
      </c>
      <c r="M111" s="13" t="s">
        <v>3</v>
      </c>
    </row>
    <row r="112" spans="1:14" ht="14.25" customHeight="1">
      <c r="A112" s="18">
        <v>43497</v>
      </c>
      <c r="B112" s="19">
        <v>36311.74</v>
      </c>
      <c r="C112" s="19">
        <v>37172.18</v>
      </c>
      <c r="D112" s="19">
        <v>35287.160000000003</v>
      </c>
      <c r="E112" s="20">
        <v>35867.440000000002</v>
      </c>
      <c r="K112" s="18">
        <v>44927</v>
      </c>
      <c r="L112" s="20">
        <v>59549.9</v>
      </c>
      <c r="M112" s="37">
        <f>CORREL(K112:K115,L112:L115)</f>
        <v>0.60708678794082094</v>
      </c>
    </row>
    <row r="113" spans="1:13" ht="14.25" customHeight="1">
      <c r="A113" s="18">
        <v>43525</v>
      </c>
      <c r="B113" s="19">
        <v>36018.49</v>
      </c>
      <c r="C113" s="19">
        <v>38748.54</v>
      </c>
      <c r="D113" s="19">
        <v>35926.94</v>
      </c>
      <c r="E113" s="20">
        <v>38672.910000000003</v>
      </c>
      <c r="K113" s="18">
        <v>44958</v>
      </c>
      <c r="L113" s="20">
        <v>58962.12</v>
      </c>
      <c r="M113" s="25"/>
    </row>
    <row r="114" spans="1:13" ht="14.25" customHeight="1">
      <c r="A114" s="18">
        <v>43556</v>
      </c>
      <c r="B114" s="19">
        <v>38858.879999999997</v>
      </c>
      <c r="C114" s="19">
        <v>39487.449999999997</v>
      </c>
      <c r="D114" s="19">
        <v>38460.25</v>
      </c>
      <c r="E114" s="20">
        <v>39031.550000000003</v>
      </c>
      <c r="K114" s="18">
        <v>44986</v>
      </c>
      <c r="L114" s="20">
        <v>58991.519999999997</v>
      </c>
      <c r="M114" s="25"/>
    </row>
    <row r="115" spans="1:13" ht="14.25" customHeight="1">
      <c r="A115" s="18">
        <v>43586</v>
      </c>
      <c r="B115" s="19">
        <v>39036.51</v>
      </c>
      <c r="C115" s="19">
        <v>40124.959999999999</v>
      </c>
      <c r="D115" s="19">
        <v>36956.1</v>
      </c>
      <c r="E115" s="20">
        <v>39714.199999999997</v>
      </c>
      <c r="K115" s="26">
        <v>45017</v>
      </c>
      <c r="L115" s="27">
        <v>61112.44</v>
      </c>
      <c r="M115" s="25"/>
    </row>
    <row r="116" spans="1:13" ht="14.25" customHeight="1">
      <c r="A116" s="18">
        <v>43617</v>
      </c>
      <c r="B116" s="19">
        <v>39806.86</v>
      </c>
      <c r="C116" s="19">
        <v>40312.07</v>
      </c>
      <c r="D116" s="19">
        <v>38870.959999999999</v>
      </c>
      <c r="E116" s="20">
        <v>39394.639999999999</v>
      </c>
    </row>
    <row r="117" spans="1:13" ht="14.25" customHeight="1">
      <c r="A117" s="18">
        <v>43647</v>
      </c>
      <c r="B117" s="19">
        <v>39543.730000000003</v>
      </c>
      <c r="C117" s="19">
        <v>40032.410000000003</v>
      </c>
      <c r="D117" s="19">
        <v>37128.26</v>
      </c>
      <c r="E117" s="20">
        <v>37481.120000000003</v>
      </c>
    </row>
    <row r="118" spans="1:13" ht="14.25" customHeight="1">
      <c r="A118" s="18">
        <v>43678</v>
      </c>
      <c r="B118" s="19">
        <v>37387.18</v>
      </c>
      <c r="C118" s="19">
        <v>37807.550000000003</v>
      </c>
      <c r="D118" s="19">
        <v>36102.35</v>
      </c>
      <c r="E118" s="20">
        <v>37332.79</v>
      </c>
    </row>
    <row r="119" spans="1:13" ht="14.25" customHeight="1">
      <c r="A119" s="18">
        <v>43709</v>
      </c>
      <c r="B119" s="19">
        <v>37181.760000000002</v>
      </c>
      <c r="C119" s="19">
        <v>39441.120000000003</v>
      </c>
      <c r="D119" s="19">
        <v>35987.800000000003</v>
      </c>
      <c r="E119" s="20">
        <v>38667.33</v>
      </c>
    </row>
    <row r="120" spans="1:13" ht="14.25" customHeight="1">
      <c r="A120" s="18">
        <v>43739</v>
      </c>
      <c r="B120" s="19">
        <v>38813.480000000003</v>
      </c>
      <c r="C120" s="19">
        <v>40392.22</v>
      </c>
      <c r="D120" s="19">
        <v>37415.83</v>
      </c>
      <c r="E120" s="20">
        <v>40129.050000000003</v>
      </c>
    </row>
    <row r="121" spans="1:13" ht="14.25" customHeight="1">
      <c r="A121" s="18">
        <v>43770</v>
      </c>
      <c r="B121" s="19">
        <v>40196.07</v>
      </c>
      <c r="C121" s="19">
        <v>41163.79</v>
      </c>
      <c r="D121" s="19">
        <v>40014.230000000003</v>
      </c>
      <c r="E121" s="20">
        <v>40793.81</v>
      </c>
    </row>
    <row r="122" spans="1:13" ht="14.25" customHeight="1">
      <c r="A122" s="18">
        <v>43800</v>
      </c>
      <c r="B122" s="19">
        <v>41072.94</v>
      </c>
      <c r="C122" s="19">
        <v>41809.96</v>
      </c>
      <c r="D122" s="19">
        <v>40135.370000000003</v>
      </c>
      <c r="E122" s="20">
        <v>41253.74</v>
      </c>
    </row>
    <row r="123" spans="1:13" ht="14.25" customHeight="1">
      <c r="A123" s="18">
        <v>43831</v>
      </c>
      <c r="B123" s="19">
        <v>41349.360000000001</v>
      </c>
      <c r="C123" s="19">
        <v>42273.87</v>
      </c>
      <c r="D123" s="19">
        <v>40476.550000000003</v>
      </c>
      <c r="E123" s="20">
        <v>40723.49</v>
      </c>
    </row>
    <row r="124" spans="1:13" ht="14.25" customHeight="1">
      <c r="A124" s="18">
        <v>43862</v>
      </c>
      <c r="B124" s="19">
        <v>40753.18</v>
      </c>
      <c r="C124" s="19">
        <v>41709.300000000003</v>
      </c>
      <c r="D124" s="19">
        <v>38219.97</v>
      </c>
      <c r="E124" s="20">
        <v>38297.29</v>
      </c>
    </row>
    <row r="125" spans="1:13" ht="14.25" customHeight="1">
      <c r="A125" s="18">
        <v>43891</v>
      </c>
      <c r="B125" s="19">
        <v>38910.949999999997</v>
      </c>
      <c r="C125" s="19">
        <v>39083.17</v>
      </c>
      <c r="D125" s="19">
        <v>25638.9</v>
      </c>
      <c r="E125" s="20">
        <v>29468.49</v>
      </c>
    </row>
    <row r="126" spans="1:13" ht="14.25" customHeight="1">
      <c r="A126" s="18">
        <v>43922</v>
      </c>
      <c r="B126" s="19">
        <v>29505.33</v>
      </c>
      <c r="C126" s="19">
        <v>33887.25</v>
      </c>
      <c r="D126" s="19">
        <v>27500.79</v>
      </c>
      <c r="E126" s="20">
        <v>33717.620000000003</v>
      </c>
    </row>
    <row r="127" spans="1:13" ht="14.25" customHeight="1">
      <c r="A127" s="18">
        <v>43952</v>
      </c>
      <c r="B127" s="19">
        <v>32748.14</v>
      </c>
      <c r="C127" s="19">
        <v>32845.480000000003</v>
      </c>
      <c r="D127" s="19">
        <v>29968.45</v>
      </c>
      <c r="E127" s="20">
        <v>32424.1</v>
      </c>
    </row>
    <row r="128" spans="1:13" ht="14.25" customHeight="1">
      <c r="A128" s="18">
        <v>43983</v>
      </c>
      <c r="B128" s="19">
        <v>32906.050000000003</v>
      </c>
      <c r="C128" s="19">
        <v>35706.550000000003</v>
      </c>
      <c r="D128" s="19">
        <v>32348.1</v>
      </c>
      <c r="E128" s="20">
        <v>34915.800000000003</v>
      </c>
    </row>
    <row r="129" spans="1:5" ht="14.25" customHeight="1">
      <c r="A129" s="18">
        <v>44013</v>
      </c>
      <c r="B129" s="19">
        <v>35009.589999999997</v>
      </c>
      <c r="C129" s="19">
        <v>38617.03</v>
      </c>
      <c r="D129" s="19">
        <v>34927.199999999997</v>
      </c>
      <c r="E129" s="20">
        <v>37606.89</v>
      </c>
    </row>
    <row r="130" spans="1:5" ht="14.25" customHeight="1">
      <c r="A130" s="18">
        <v>44044</v>
      </c>
      <c r="B130" s="19">
        <v>37595.730000000003</v>
      </c>
      <c r="C130" s="19">
        <v>40010.17</v>
      </c>
      <c r="D130" s="19">
        <v>36911.230000000003</v>
      </c>
      <c r="E130" s="20">
        <v>38628.29</v>
      </c>
    </row>
    <row r="131" spans="1:5" ht="14.25" customHeight="1">
      <c r="A131" s="18">
        <v>44075</v>
      </c>
      <c r="B131" s="19">
        <v>38754</v>
      </c>
      <c r="C131" s="19">
        <v>39359.51</v>
      </c>
      <c r="D131" s="19">
        <v>36495.980000000003</v>
      </c>
      <c r="E131" s="20">
        <v>38067.93</v>
      </c>
    </row>
    <row r="132" spans="1:5" ht="14.25" customHeight="1">
      <c r="A132" s="18">
        <v>44105</v>
      </c>
      <c r="B132" s="19">
        <v>38410.199999999997</v>
      </c>
      <c r="C132" s="19">
        <v>41048.050000000003</v>
      </c>
      <c r="D132" s="19">
        <v>38410.199999999997</v>
      </c>
      <c r="E132" s="20">
        <v>39614.07</v>
      </c>
    </row>
    <row r="133" spans="1:5" ht="14.25" customHeight="1">
      <c r="A133" s="18">
        <v>44136</v>
      </c>
      <c r="B133" s="19">
        <v>39880.379999999997</v>
      </c>
      <c r="C133" s="19">
        <v>44825.37</v>
      </c>
      <c r="D133" s="19">
        <v>39334.92</v>
      </c>
      <c r="E133" s="20">
        <v>44149.72</v>
      </c>
    </row>
    <row r="134" spans="1:5" ht="14.25" customHeight="1">
      <c r="A134" s="18">
        <v>44166</v>
      </c>
      <c r="B134" s="19">
        <v>44435.83</v>
      </c>
      <c r="C134" s="19">
        <v>47896.97</v>
      </c>
      <c r="D134" s="19">
        <v>44118.1</v>
      </c>
      <c r="E134" s="20">
        <v>47751.33</v>
      </c>
    </row>
    <row r="135" spans="1:5" ht="14.25" customHeight="1">
      <c r="A135" s="18">
        <v>44197</v>
      </c>
      <c r="B135" s="19">
        <v>47785.279999999999</v>
      </c>
      <c r="C135" s="19">
        <v>50184.01</v>
      </c>
      <c r="D135" s="19">
        <v>46160.46</v>
      </c>
      <c r="E135" s="20">
        <v>46285.77</v>
      </c>
    </row>
    <row r="136" spans="1:5" ht="14.25" customHeight="1">
      <c r="A136" s="18">
        <v>44228</v>
      </c>
      <c r="B136" s="19">
        <v>46617.95</v>
      </c>
      <c r="C136" s="19">
        <v>52516.76</v>
      </c>
      <c r="D136" s="19">
        <v>46433.65</v>
      </c>
      <c r="E136" s="20">
        <v>49099.99</v>
      </c>
    </row>
    <row r="137" spans="1:5" ht="14.25" customHeight="1">
      <c r="A137" s="18">
        <v>44256</v>
      </c>
      <c r="B137" s="19">
        <v>49747.71</v>
      </c>
      <c r="C137" s="19">
        <v>51821.84</v>
      </c>
      <c r="D137" s="19">
        <v>48236.35</v>
      </c>
      <c r="E137" s="20">
        <v>49509.15</v>
      </c>
    </row>
    <row r="138" spans="1:5" ht="14.25" customHeight="1">
      <c r="A138" s="18">
        <v>44287</v>
      </c>
      <c r="B138" s="19">
        <v>49868.53</v>
      </c>
      <c r="C138" s="19">
        <v>50375.77</v>
      </c>
      <c r="D138" s="19">
        <v>47204.5</v>
      </c>
      <c r="E138" s="20">
        <v>48782.36</v>
      </c>
    </row>
    <row r="139" spans="1:5" ht="14.25" customHeight="1">
      <c r="A139" s="18">
        <v>44317</v>
      </c>
      <c r="B139" s="19">
        <v>48356.01</v>
      </c>
      <c r="C139" s="19">
        <v>52013.22</v>
      </c>
      <c r="D139" s="19">
        <v>48028.07</v>
      </c>
      <c r="E139" s="20">
        <v>51937.440000000002</v>
      </c>
    </row>
    <row r="140" spans="1:5" ht="14.25" customHeight="1">
      <c r="A140" s="18">
        <v>44348</v>
      </c>
      <c r="B140" s="19">
        <v>52067.51</v>
      </c>
      <c r="C140" s="19">
        <v>53126.73</v>
      </c>
      <c r="D140" s="19">
        <v>51450.58</v>
      </c>
      <c r="E140" s="20">
        <v>52482.71</v>
      </c>
    </row>
    <row r="141" spans="1:5" ht="14.25" customHeight="1">
      <c r="A141" s="18">
        <v>44378</v>
      </c>
      <c r="B141" s="19">
        <v>52638.5</v>
      </c>
      <c r="C141" s="19">
        <v>53290.81</v>
      </c>
      <c r="D141" s="19">
        <v>51802.73</v>
      </c>
      <c r="E141" s="20">
        <v>52586.84</v>
      </c>
    </row>
    <row r="142" spans="1:5" ht="14.25" customHeight="1">
      <c r="A142" s="18">
        <v>44409</v>
      </c>
      <c r="B142" s="19">
        <v>52901.279999999999</v>
      </c>
      <c r="C142" s="19">
        <v>57625.26</v>
      </c>
      <c r="D142" s="19">
        <v>52804.08</v>
      </c>
      <c r="E142" s="20">
        <v>57552.39</v>
      </c>
    </row>
    <row r="143" spans="1:5" ht="14.25" customHeight="1">
      <c r="A143" s="18">
        <v>44440</v>
      </c>
      <c r="B143" s="19">
        <v>57763.53</v>
      </c>
      <c r="C143" s="19">
        <v>60412.32</v>
      </c>
      <c r="D143" s="19">
        <v>57263.9</v>
      </c>
      <c r="E143" s="20">
        <v>59126.36</v>
      </c>
    </row>
    <row r="144" spans="1:5" ht="14.25" customHeight="1">
      <c r="A144" s="18">
        <v>44470</v>
      </c>
      <c r="B144" s="19">
        <v>58889.77</v>
      </c>
      <c r="C144" s="19">
        <v>62245.43</v>
      </c>
      <c r="D144" s="19">
        <v>58551.14</v>
      </c>
      <c r="E144" s="20">
        <v>59306.93</v>
      </c>
    </row>
    <row r="145" spans="1:5" ht="14.25" customHeight="1">
      <c r="A145" s="18">
        <v>44501</v>
      </c>
      <c r="B145" s="19">
        <v>59577.48</v>
      </c>
      <c r="C145" s="19">
        <v>61036.56</v>
      </c>
      <c r="D145" s="19">
        <v>56382.93</v>
      </c>
      <c r="E145" s="20">
        <v>57064.87</v>
      </c>
    </row>
    <row r="146" spans="1:5" ht="14.25" customHeight="1">
      <c r="A146" s="18">
        <v>44531</v>
      </c>
      <c r="B146" s="19">
        <v>57365.85</v>
      </c>
      <c r="C146" s="19">
        <v>59203.37</v>
      </c>
      <c r="D146" s="19">
        <v>55132.68</v>
      </c>
      <c r="E146" s="20">
        <v>58253.82</v>
      </c>
    </row>
    <row r="147" spans="1:5" ht="14.25" customHeight="1">
      <c r="A147" s="18">
        <v>44562</v>
      </c>
      <c r="B147" s="19">
        <v>58310.09</v>
      </c>
      <c r="C147" s="19">
        <v>61475.15</v>
      </c>
      <c r="D147" s="19">
        <v>56409.63</v>
      </c>
      <c r="E147" s="20">
        <v>58014.17</v>
      </c>
    </row>
    <row r="148" spans="1:5" ht="14.25" customHeight="1">
      <c r="A148" s="18">
        <v>44593</v>
      </c>
      <c r="B148" s="19">
        <v>58672.86</v>
      </c>
      <c r="C148" s="19">
        <v>59618.51</v>
      </c>
      <c r="D148" s="19">
        <v>54383.199999999997</v>
      </c>
      <c r="E148" s="20">
        <v>56247.28</v>
      </c>
    </row>
    <row r="149" spans="1:5" ht="14.25" customHeight="1">
      <c r="A149" s="18">
        <v>44621</v>
      </c>
      <c r="B149" s="19">
        <v>55629.3</v>
      </c>
      <c r="C149" s="19">
        <v>58890.92</v>
      </c>
      <c r="D149" s="19">
        <v>52260.82</v>
      </c>
      <c r="E149" s="20">
        <v>58568.51</v>
      </c>
    </row>
    <row r="150" spans="1:5" ht="14.25" customHeight="1">
      <c r="A150" s="18">
        <v>44652</v>
      </c>
      <c r="B150" s="19">
        <v>58530.73</v>
      </c>
      <c r="C150" s="19">
        <v>60845.1</v>
      </c>
      <c r="D150" s="19">
        <v>56009.07</v>
      </c>
      <c r="E150" s="20">
        <v>57060.87</v>
      </c>
    </row>
    <row r="151" spans="1:5" ht="14.25" customHeight="1">
      <c r="A151" s="18">
        <v>44682</v>
      </c>
      <c r="B151" s="19">
        <v>56429.45</v>
      </c>
      <c r="C151" s="19">
        <v>57184.21</v>
      </c>
      <c r="D151" s="19">
        <v>52632.480000000003</v>
      </c>
      <c r="E151" s="20">
        <v>55566.41</v>
      </c>
    </row>
    <row r="152" spans="1:5" ht="14.25" customHeight="1">
      <c r="A152" s="18">
        <v>44713</v>
      </c>
      <c r="B152" s="19">
        <v>55588.27</v>
      </c>
      <c r="C152" s="19">
        <v>56432.65</v>
      </c>
      <c r="D152" s="19">
        <v>50921.22</v>
      </c>
      <c r="E152" s="20">
        <v>53018.94</v>
      </c>
    </row>
    <row r="153" spans="1:5" ht="14.25" customHeight="1">
      <c r="A153" s="18">
        <v>44743</v>
      </c>
      <c r="B153" s="19">
        <v>52863.34</v>
      </c>
      <c r="C153" s="19">
        <v>57619.27</v>
      </c>
      <c r="D153" s="19">
        <v>52094.25</v>
      </c>
      <c r="E153" s="20">
        <v>57570.25</v>
      </c>
    </row>
    <row r="154" spans="1:5" ht="14.25" customHeight="1">
      <c r="A154" s="18">
        <v>44774</v>
      </c>
      <c r="B154" s="19">
        <v>57823.1</v>
      </c>
      <c r="C154" s="19">
        <v>60411.199999999997</v>
      </c>
      <c r="D154" s="19">
        <v>57367.47</v>
      </c>
      <c r="E154" s="20">
        <v>59537.07</v>
      </c>
    </row>
    <row r="155" spans="1:5" ht="14.25" customHeight="1">
      <c r="A155" s="18">
        <v>44805</v>
      </c>
      <c r="B155" s="19">
        <v>58710.53</v>
      </c>
      <c r="C155" s="19">
        <v>60676.12</v>
      </c>
      <c r="D155" s="19">
        <v>56147.23</v>
      </c>
      <c r="E155" s="20">
        <v>57426.92</v>
      </c>
    </row>
    <row r="156" spans="1:5" ht="14.25" customHeight="1">
      <c r="A156" s="18">
        <v>44835</v>
      </c>
      <c r="B156" s="19">
        <v>57403.92</v>
      </c>
      <c r="C156" s="19">
        <v>60786.7</v>
      </c>
      <c r="D156" s="19">
        <v>56683.4</v>
      </c>
      <c r="E156" s="20">
        <v>60746.59</v>
      </c>
    </row>
    <row r="157" spans="1:5" ht="14.25" customHeight="1">
      <c r="A157" s="18">
        <v>44866</v>
      </c>
      <c r="B157" s="19">
        <v>61065.58</v>
      </c>
      <c r="C157" s="19">
        <v>63303.01</v>
      </c>
      <c r="D157" s="19">
        <v>60425.47</v>
      </c>
      <c r="E157" s="20">
        <v>63099.65</v>
      </c>
    </row>
    <row r="158" spans="1:5" ht="14.25" customHeight="1">
      <c r="A158" s="18">
        <v>44896</v>
      </c>
      <c r="B158" s="19">
        <v>63357.99</v>
      </c>
      <c r="C158" s="19">
        <v>63583.07</v>
      </c>
      <c r="D158" s="19">
        <v>59754.1</v>
      </c>
      <c r="E158" s="20">
        <v>60840.74</v>
      </c>
    </row>
    <row r="159" spans="1:5" ht="14.25" customHeight="1">
      <c r="A159" s="18">
        <v>44927</v>
      </c>
      <c r="B159" s="19">
        <v>60871.24</v>
      </c>
      <c r="C159" s="19">
        <v>61343.96</v>
      </c>
      <c r="D159" s="19">
        <v>58699.199999999997</v>
      </c>
      <c r="E159" s="20">
        <v>59549.9</v>
      </c>
    </row>
    <row r="160" spans="1:5" ht="14.25" customHeight="1">
      <c r="A160" s="18">
        <v>44958</v>
      </c>
      <c r="B160" s="19">
        <v>60001.17</v>
      </c>
      <c r="C160" s="19">
        <v>61682.25</v>
      </c>
      <c r="D160" s="19">
        <v>58795.97</v>
      </c>
      <c r="E160" s="20">
        <v>58962.12</v>
      </c>
    </row>
    <row r="161" spans="1:5" ht="14.25" customHeight="1">
      <c r="A161" s="18">
        <v>44986</v>
      </c>
      <c r="B161" s="19">
        <v>59136.480000000003</v>
      </c>
      <c r="C161" s="19">
        <v>60498.48</v>
      </c>
      <c r="D161" s="19">
        <v>57084.91</v>
      </c>
      <c r="E161" s="20">
        <v>58991.519999999997</v>
      </c>
    </row>
    <row r="162" spans="1:5" ht="14.25" customHeight="1">
      <c r="A162" s="18">
        <v>45017</v>
      </c>
      <c r="B162" s="19">
        <v>59131.16</v>
      </c>
      <c r="C162" s="19">
        <v>61209.46</v>
      </c>
      <c r="D162" s="19">
        <v>58793.08</v>
      </c>
      <c r="E162" s="20">
        <v>61112.44</v>
      </c>
    </row>
    <row r="163" spans="1:5" ht="14.25" customHeight="1">
      <c r="A163" s="18">
        <v>45047</v>
      </c>
      <c r="B163" s="19">
        <v>61301.61</v>
      </c>
      <c r="C163" s="19">
        <v>63036.12</v>
      </c>
      <c r="D163" s="19">
        <v>61002.17</v>
      </c>
      <c r="E163" s="20">
        <v>62622.239999999998</v>
      </c>
    </row>
    <row r="164" spans="1:5" ht="14.25" customHeight="1">
      <c r="A164" s="18">
        <v>45078</v>
      </c>
      <c r="B164" s="19">
        <v>62736.47</v>
      </c>
      <c r="C164" s="19">
        <v>64768.58</v>
      </c>
      <c r="D164" s="19">
        <v>62359.14</v>
      </c>
      <c r="E164" s="20">
        <v>64718.559999999998</v>
      </c>
    </row>
    <row r="165" spans="1:5" ht="14.25" customHeight="1">
      <c r="A165" s="18">
        <v>45108</v>
      </c>
      <c r="B165" s="19">
        <v>64836.160000000003</v>
      </c>
      <c r="C165" s="19">
        <v>67619.17</v>
      </c>
      <c r="D165" s="19">
        <v>64836.160000000003</v>
      </c>
      <c r="E165" s="20">
        <v>66527.67</v>
      </c>
    </row>
    <row r="166" spans="1:5" ht="14.25" customHeight="1">
      <c r="A166" s="18">
        <v>45139</v>
      </c>
      <c r="B166" s="19">
        <v>66532.98</v>
      </c>
      <c r="C166" s="19">
        <v>66658.12</v>
      </c>
      <c r="D166" s="19">
        <v>64723.63</v>
      </c>
      <c r="E166" s="20">
        <v>64831.41</v>
      </c>
    </row>
    <row r="167" spans="1:5" ht="14.25" customHeight="1">
      <c r="A167" s="18">
        <v>45170</v>
      </c>
      <c r="B167" s="19">
        <v>64855.51</v>
      </c>
      <c r="C167" s="19">
        <v>67927.23</v>
      </c>
      <c r="D167" s="19">
        <v>64818.37</v>
      </c>
      <c r="E167" s="20">
        <v>65828.41</v>
      </c>
    </row>
    <row r="168" spans="1:5" ht="14.25" customHeight="1">
      <c r="A168" s="18">
        <v>45200</v>
      </c>
      <c r="B168" s="19">
        <v>65813.42</v>
      </c>
      <c r="C168" s="19">
        <v>66592.160000000003</v>
      </c>
      <c r="D168" s="19">
        <v>63092.98</v>
      </c>
      <c r="E168" s="20">
        <v>63874.93</v>
      </c>
    </row>
    <row r="169" spans="1:5" ht="14.25" customHeight="1">
      <c r="A169" s="18">
        <v>45231</v>
      </c>
      <c r="B169" s="19">
        <v>63829.87</v>
      </c>
      <c r="C169" s="19">
        <v>67069.89</v>
      </c>
      <c r="D169" s="19">
        <v>63550.46</v>
      </c>
      <c r="E169" s="20">
        <v>66988.44</v>
      </c>
    </row>
    <row r="170" spans="1:5" ht="14.25" customHeight="1">
      <c r="A170" s="18">
        <v>45261</v>
      </c>
      <c r="B170" s="19">
        <v>67181.149999999994</v>
      </c>
      <c r="C170" s="19">
        <v>72484.34</v>
      </c>
      <c r="D170" s="19">
        <v>67149.070000000007</v>
      </c>
      <c r="E170" s="20">
        <v>72240.259999999995</v>
      </c>
    </row>
    <row r="171" spans="1:5" ht="14.25" customHeight="1">
      <c r="A171" s="18">
        <v>45292</v>
      </c>
      <c r="B171" s="19">
        <v>72218.39</v>
      </c>
      <c r="C171" s="19">
        <v>73427.59</v>
      </c>
      <c r="D171" s="19">
        <v>70001.600000000006</v>
      </c>
      <c r="E171" s="20">
        <v>71752.11</v>
      </c>
    </row>
    <row r="172" spans="1:5" ht="14.25" customHeight="1">
      <c r="A172" s="18">
        <v>45323</v>
      </c>
      <c r="B172" s="19">
        <v>71998.78</v>
      </c>
      <c r="C172" s="19">
        <v>73413.929999999993</v>
      </c>
      <c r="D172" s="19">
        <v>70809.84</v>
      </c>
      <c r="E172" s="20">
        <v>72500.3</v>
      </c>
    </row>
    <row r="173" spans="1:5" ht="14.25" customHeight="1">
      <c r="A173" s="18">
        <v>45352</v>
      </c>
      <c r="B173" s="19">
        <v>72606.31</v>
      </c>
      <c r="C173" s="19">
        <v>74245.17</v>
      </c>
      <c r="D173" s="19">
        <v>71674.42</v>
      </c>
      <c r="E173" s="20">
        <v>73651.350000000006</v>
      </c>
    </row>
    <row r="174" spans="1:5" ht="14.25" customHeight="1">
      <c r="A174" s="26">
        <v>45383</v>
      </c>
      <c r="B174" s="38">
        <v>73968.62</v>
      </c>
      <c r="C174" s="38">
        <v>75124.28</v>
      </c>
      <c r="D174" s="38">
        <v>73485.119999999995</v>
      </c>
      <c r="E174" s="27">
        <v>74683.7</v>
      </c>
    </row>
  </sheetData>
  <mergeCells count="2">
    <mergeCell ref="A1:E1"/>
    <mergeCell ref="J1:L1"/>
  </mergeCells>
  <pageMargins left="0.7" right="0.7" top="0.75" bottom="0.75" header="0" footer="0"/>
  <pageSetup orientation="portrait"/>
  <tableParts count="18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0"/>
  <sheetViews>
    <sheetView workbookViewId="0"/>
  </sheetViews>
  <sheetFormatPr defaultColWidth="14.44140625" defaultRowHeight="15" customHeight="1"/>
  <cols>
    <col min="1" max="1" width="11.88671875" customWidth="1"/>
    <col min="2" max="2" width="6.33203125" customWidth="1"/>
    <col min="3" max="3" width="8.6640625" customWidth="1"/>
    <col min="4" max="4" width="11.6640625" customWidth="1"/>
    <col min="5" max="5" width="20.33203125" customWidth="1"/>
    <col min="6" max="6" width="14.6640625" customWidth="1"/>
    <col min="7" max="9" width="8.6640625" customWidth="1"/>
    <col min="10" max="10" width="25.5546875" customWidth="1"/>
    <col min="11" max="14" width="8.6640625" customWidth="1"/>
    <col min="15" max="15" width="14.33203125" customWidth="1"/>
    <col min="16" max="19" width="8.6640625" customWidth="1"/>
    <col min="20" max="20" width="11.6640625" customWidth="1"/>
    <col min="21" max="22" width="8.6640625" customWidth="1"/>
  </cols>
  <sheetData>
    <row r="1" spans="1:22" ht="14.25" customHeight="1">
      <c r="A1" s="25"/>
      <c r="B1" t="s">
        <v>43</v>
      </c>
      <c r="D1" s="1" t="s">
        <v>1</v>
      </c>
      <c r="E1" s="2" t="s">
        <v>2</v>
      </c>
      <c r="F1" s="3" t="s">
        <v>3</v>
      </c>
      <c r="H1" s="61" t="s">
        <v>4</v>
      </c>
      <c r="I1" s="62"/>
      <c r="J1" s="62"/>
      <c r="K1" s="4"/>
      <c r="L1" s="4"/>
    </row>
    <row r="2" spans="1:22" ht="14.25" customHeight="1">
      <c r="D2" s="5" t="s">
        <v>5</v>
      </c>
      <c r="E2" s="6">
        <v>40235</v>
      </c>
      <c r="F2" s="7">
        <v>0.90493999999999997</v>
      </c>
      <c r="I2" s="4" t="s">
        <v>6</v>
      </c>
      <c r="J2" s="4" t="s">
        <v>7</v>
      </c>
      <c r="K2" s="4"/>
      <c r="L2" s="4"/>
      <c r="N2" s="13" t="s">
        <v>33</v>
      </c>
      <c r="O2" s="14">
        <v>41830</v>
      </c>
      <c r="S2" s="13" t="s">
        <v>37</v>
      </c>
      <c r="T2" s="14">
        <v>43132</v>
      </c>
    </row>
    <row r="3" spans="1:22" ht="14.25" customHeight="1">
      <c r="D3" s="5" t="s">
        <v>14</v>
      </c>
      <c r="E3" s="6">
        <v>40602</v>
      </c>
      <c r="F3" s="12">
        <v>0.68976784074149711</v>
      </c>
      <c r="I3" s="13" t="s">
        <v>15</v>
      </c>
      <c r="J3" s="14">
        <v>40235</v>
      </c>
    </row>
    <row r="4" spans="1:22" ht="14.25" customHeight="1">
      <c r="A4" s="25" t="e">
        <v>#REF!</v>
      </c>
      <c r="D4" s="5" t="s">
        <v>17</v>
      </c>
      <c r="E4" s="6">
        <v>40984</v>
      </c>
      <c r="F4" s="12">
        <v>2.304956611335195E-2</v>
      </c>
      <c r="N4" s="23" t="s">
        <v>20</v>
      </c>
      <c r="O4" s="24" t="s">
        <v>13</v>
      </c>
      <c r="P4" s="13" t="s">
        <v>3</v>
      </c>
      <c r="Q4" s="13" t="s">
        <v>21</v>
      </c>
      <c r="S4" s="23" t="s">
        <v>20</v>
      </c>
      <c r="T4" s="24" t="s">
        <v>13</v>
      </c>
      <c r="U4" s="13" t="s">
        <v>3</v>
      </c>
      <c r="V4" s="13" t="s">
        <v>21</v>
      </c>
    </row>
    <row r="5" spans="1:22" ht="14.25" customHeight="1">
      <c r="D5" s="5" t="s">
        <v>19</v>
      </c>
      <c r="E5" s="6">
        <v>41333</v>
      </c>
      <c r="F5" s="12">
        <v>-0.3009151008110425</v>
      </c>
      <c r="I5" s="23" t="s">
        <v>20</v>
      </c>
      <c r="J5" s="24" t="s">
        <v>13</v>
      </c>
      <c r="K5" s="13" t="s">
        <v>3</v>
      </c>
      <c r="L5" s="13" t="s">
        <v>21</v>
      </c>
      <c r="N5" s="18">
        <v>41791</v>
      </c>
      <c r="O5" s="20">
        <v>25413.78</v>
      </c>
      <c r="P5" s="13">
        <f>CORREL(N5:N8,O5:O8)</f>
        <v>0.94598217238081972</v>
      </c>
      <c r="Q5" s="13">
        <f>P5</f>
        <v>0.94598217238081972</v>
      </c>
      <c r="S5" s="18">
        <v>43101</v>
      </c>
      <c r="T5" s="20">
        <v>35965.019999999997</v>
      </c>
      <c r="U5" s="37">
        <f>CORREL(S5:S8,T5:T8)</f>
        <v>-0.35686254667868239</v>
      </c>
      <c r="V5" s="13">
        <f>U5</f>
        <v>-0.35686254667868239</v>
      </c>
    </row>
    <row r="6" spans="1:22" ht="14.25" customHeight="1">
      <c r="D6" s="5" t="s">
        <v>23</v>
      </c>
      <c r="E6" s="6">
        <v>41830</v>
      </c>
      <c r="F6" s="12">
        <v>0.94598217238081972</v>
      </c>
      <c r="I6" s="18">
        <v>40179</v>
      </c>
      <c r="J6" s="20">
        <v>16357.96</v>
      </c>
      <c r="K6" s="13">
        <f>CORREL(I6:I9,J6:J9)</f>
        <v>0.90494652287515054</v>
      </c>
      <c r="L6" s="13">
        <f>K6</f>
        <v>0.90494652287515054</v>
      </c>
      <c r="N6" s="18">
        <v>41821</v>
      </c>
      <c r="O6" s="20">
        <v>25894.97</v>
      </c>
      <c r="P6" s="25"/>
      <c r="S6" s="18">
        <v>43132</v>
      </c>
      <c r="T6" s="20">
        <v>34184.04</v>
      </c>
      <c r="U6" s="25"/>
    </row>
    <row r="7" spans="1:22" ht="14.25" customHeight="1">
      <c r="D7" s="5" t="s">
        <v>25</v>
      </c>
      <c r="E7" s="6">
        <v>42063</v>
      </c>
      <c r="F7" s="12">
        <v>-0.92059962317408928</v>
      </c>
      <c r="I7" s="18">
        <v>40210</v>
      </c>
      <c r="J7" s="20">
        <v>16429.55</v>
      </c>
      <c r="K7" s="25"/>
      <c r="N7" s="18">
        <v>41852</v>
      </c>
      <c r="O7" s="20">
        <v>26638.11</v>
      </c>
      <c r="P7" s="25"/>
      <c r="S7" s="18">
        <v>43160</v>
      </c>
      <c r="T7" s="20">
        <v>32968.68</v>
      </c>
      <c r="U7" s="25"/>
    </row>
    <row r="8" spans="1:22" ht="14.25" customHeight="1">
      <c r="D8" s="5" t="s">
        <v>16</v>
      </c>
      <c r="E8" s="6">
        <v>42429</v>
      </c>
      <c r="F8" s="12">
        <v>0.4902172871128454</v>
      </c>
      <c r="I8" s="18">
        <v>40238</v>
      </c>
      <c r="J8" s="20">
        <v>17527.77</v>
      </c>
      <c r="K8" s="25"/>
      <c r="N8" s="26">
        <v>41883</v>
      </c>
      <c r="O8" s="27">
        <v>26630.51</v>
      </c>
      <c r="P8" s="25"/>
      <c r="S8" s="26">
        <v>43191</v>
      </c>
      <c r="T8" s="27">
        <v>35160.36</v>
      </c>
      <c r="U8" s="25"/>
    </row>
    <row r="9" spans="1:22" ht="14.25" customHeight="1">
      <c r="D9" s="5" t="s">
        <v>18</v>
      </c>
      <c r="E9" s="6">
        <v>42767</v>
      </c>
      <c r="F9" s="12">
        <v>0.97227490099289393</v>
      </c>
      <c r="I9" s="26">
        <v>40269</v>
      </c>
      <c r="J9" s="27">
        <v>17558.71</v>
      </c>
      <c r="K9" s="25"/>
    </row>
    <row r="10" spans="1:22" ht="14.25" customHeight="1">
      <c r="D10" s="5" t="s">
        <v>22</v>
      </c>
      <c r="E10" s="6">
        <v>43132</v>
      </c>
      <c r="F10" s="12">
        <v>-0.35686254667868239</v>
      </c>
      <c r="N10" s="13" t="s">
        <v>34</v>
      </c>
      <c r="O10" s="14">
        <v>42063</v>
      </c>
      <c r="S10" s="13" t="s">
        <v>38</v>
      </c>
      <c r="T10" s="14">
        <v>43651</v>
      </c>
    </row>
    <row r="11" spans="1:22" ht="14.25" customHeight="1">
      <c r="D11" s="5" t="s">
        <v>24</v>
      </c>
      <c r="E11" s="6">
        <v>43651</v>
      </c>
      <c r="F11" s="12">
        <v>-0.2982358750110885</v>
      </c>
    </row>
    <row r="12" spans="1:22" ht="14.25" customHeight="1">
      <c r="D12" s="5" t="s">
        <v>26</v>
      </c>
      <c r="E12" s="6">
        <v>43862</v>
      </c>
      <c r="F12" s="12">
        <v>-0.76566515006691416</v>
      </c>
      <c r="I12" s="13" t="s">
        <v>30</v>
      </c>
      <c r="J12" s="14">
        <v>40602</v>
      </c>
      <c r="N12" s="23" t="s">
        <v>20</v>
      </c>
      <c r="O12" s="24" t="s">
        <v>13</v>
      </c>
      <c r="P12" s="13" t="s">
        <v>3</v>
      </c>
      <c r="Q12" s="13" t="s">
        <v>21</v>
      </c>
      <c r="S12" s="23" t="s">
        <v>20</v>
      </c>
      <c r="T12" s="24" t="s">
        <v>13</v>
      </c>
      <c r="U12" s="13" t="s">
        <v>3</v>
      </c>
      <c r="V12" s="13" t="s">
        <v>21</v>
      </c>
    </row>
    <row r="13" spans="1:22" ht="14.25" customHeight="1">
      <c r="D13" s="5" t="s">
        <v>27</v>
      </c>
      <c r="E13" s="6">
        <v>44228</v>
      </c>
      <c r="F13" s="12">
        <v>0.70388042789501581</v>
      </c>
      <c r="N13" s="18">
        <v>42005</v>
      </c>
      <c r="O13" s="20">
        <v>29182.95</v>
      </c>
      <c r="P13" s="37">
        <f>CORREL(N13:N16,O13:O16)</f>
        <v>-0.92059962317408928</v>
      </c>
      <c r="Q13" s="13">
        <f>P13</f>
        <v>-0.92059962317408928</v>
      </c>
      <c r="S13" s="18">
        <v>43617</v>
      </c>
      <c r="T13" s="20">
        <v>39394.639999999999</v>
      </c>
      <c r="U13" s="37">
        <f>CORREL(S13:S16,T13:T16)</f>
        <v>-0.2982358750110885</v>
      </c>
      <c r="V13" s="13">
        <f>U13</f>
        <v>-0.2982358750110885</v>
      </c>
    </row>
    <row r="14" spans="1:22" ht="14.25" customHeight="1">
      <c r="D14" s="5" t="s">
        <v>28</v>
      </c>
      <c r="E14" s="6">
        <v>44593</v>
      </c>
      <c r="F14" s="12">
        <v>-8.7719001055328968E-2</v>
      </c>
      <c r="I14" s="23" t="s">
        <v>20</v>
      </c>
      <c r="J14" s="24" t="s">
        <v>13</v>
      </c>
      <c r="K14" s="13" t="s">
        <v>3</v>
      </c>
      <c r="L14" s="13" t="s">
        <v>21</v>
      </c>
      <c r="N14" s="18">
        <v>42036</v>
      </c>
      <c r="O14" s="20">
        <v>29361.5</v>
      </c>
      <c r="P14" s="25"/>
      <c r="S14" s="18">
        <v>43647</v>
      </c>
      <c r="T14" s="20">
        <v>37481.120000000003</v>
      </c>
      <c r="U14" s="25"/>
    </row>
    <row r="15" spans="1:22" ht="14.25" customHeight="1">
      <c r="D15" s="31"/>
      <c r="E15" s="32"/>
      <c r="F15" s="12">
        <f>AVERAGE(F2:F14)</f>
        <v>0.15385499218763674</v>
      </c>
      <c r="I15" s="18">
        <v>40544</v>
      </c>
      <c r="J15" s="20">
        <v>18327.759999999998</v>
      </c>
      <c r="K15" s="13">
        <f>CORREL(I15:I18,J15:J18)</f>
        <v>0.68976784074149711</v>
      </c>
      <c r="L15" s="13">
        <f>K15</f>
        <v>0.68976784074149711</v>
      </c>
      <c r="N15" s="18">
        <v>42064</v>
      </c>
      <c r="O15" s="20">
        <v>27957.49</v>
      </c>
      <c r="P15" s="25"/>
      <c r="S15" s="18">
        <v>43678</v>
      </c>
      <c r="T15" s="20">
        <v>37332.79</v>
      </c>
      <c r="U15" s="25"/>
    </row>
    <row r="16" spans="1:22" ht="14.25" customHeight="1">
      <c r="H16" s="36"/>
      <c r="I16" s="18">
        <v>40575</v>
      </c>
      <c r="J16" s="20">
        <v>17823.400000000001</v>
      </c>
      <c r="K16" s="25"/>
      <c r="N16" s="26">
        <v>42095</v>
      </c>
      <c r="O16" s="27">
        <v>27011.31</v>
      </c>
      <c r="P16" s="25"/>
      <c r="S16" s="26">
        <v>43709</v>
      </c>
      <c r="T16" s="27">
        <v>38667.33</v>
      </c>
      <c r="U16" s="25"/>
    </row>
    <row r="17" spans="4:22" ht="14.25" customHeight="1">
      <c r="D17" s="4" t="s">
        <v>6</v>
      </c>
      <c r="E17" s="4" t="s">
        <v>7</v>
      </c>
      <c r="F17" s="4"/>
      <c r="I17" s="18">
        <v>40603</v>
      </c>
      <c r="J17" s="20">
        <v>19445.22</v>
      </c>
      <c r="K17" s="25"/>
    </row>
    <row r="18" spans="4:22" ht="14.25" customHeight="1">
      <c r="D18" s="13"/>
      <c r="E18" s="14"/>
      <c r="I18" s="26">
        <v>40634</v>
      </c>
      <c r="J18" s="27">
        <v>19135.96</v>
      </c>
      <c r="K18" s="25"/>
      <c r="N18" s="13" t="s">
        <v>35</v>
      </c>
      <c r="O18" s="14">
        <v>42429</v>
      </c>
      <c r="S18" s="13" t="s">
        <v>39</v>
      </c>
      <c r="T18" s="14">
        <v>43862</v>
      </c>
    </row>
    <row r="19" spans="4:22" ht="14.25" customHeight="1"/>
    <row r="20" spans="4:22" ht="14.25" customHeight="1">
      <c r="D20" s="23" t="s">
        <v>20</v>
      </c>
      <c r="E20" s="24" t="s">
        <v>13</v>
      </c>
      <c r="F20" s="13" t="s">
        <v>3</v>
      </c>
      <c r="N20" s="23" t="s">
        <v>20</v>
      </c>
      <c r="O20" s="24" t="s">
        <v>13</v>
      </c>
      <c r="P20" s="13" t="s">
        <v>3</v>
      </c>
      <c r="Q20" s="13" t="s">
        <v>21</v>
      </c>
      <c r="S20" s="23" t="s">
        <v>20</v>
      </c>
      <c r="T20" s="24" t="s">
        <v>13</v>
      </c>
      <c r="U20" s="13" t="s">
        <v>3</v>
      </c>
      <c r="V20" s="13" t="s">
        <v>21</v>
      </c>
    </row>
    <row r="21" spans="4:22" ht="14.25" customHeight="1">
      <c r="D21" s="18"/>
      <c r="E21" s="20"/>
      <c r="F21" s="13" t="e">
        <f>CORREL(D21:D24,E21:E24)</f>
        <v>#DIV/0!</v>
      </c>
      <c r="I21" s="13" t="s">
        <v>31</v>
      </c>
      <c r="J21" s="14">
        <v>40984</v>
      </c>
      <c r="N21" s="18">
        <v>42370</v>
      </c>
      <c r="O21" s="20">
        <v>24870.69</v>
      </c>
      <c r="P21" s="37">
        <f>CORREL(N21:N24,O21:O24)</f>
        <v>0.4902172871128454</v>
      </c>
      <c r="Q21" s="13">
        <f>P21</f>
        <v>0.4902172871128454</v>
      </c>
      <c r="S21" s="18">
        <v>43831</v>
      </c>
      <c r="T21" s="20">
        <v>40723.49</v>
      </c>
      <c r="U21" s="37">
        <f>CORREL(S21:S24,T21:T24)</f>
        <v>-0.76566515006691416</v>
      </c>
      <c r="V21" s="13">
        <f>U21</f>
        <v>-0.76566515006691416</v>
      </c>
    </row>
    <row r="22" spans="4:22" ht="14.25" customHeight="1">
      <c r="D22" s="18"/>
      <c r="E22" s="20"/>
      <c r="F22" s="25"/>
      <c r="N22" s="18">
        <v>42401</v>
      </c>
      <c r="O22" s="20">
        <v>23002</v>
      </c>
      <c r="P22" s="25"/>
      <c r="S22" s="18">
        <v>43862</v>
      </c>
      <c r="T22" s="20">
        <v>38297.29</v>
      </c>
      <c r="U22" s="25"/>
    </row>
    <row r="23" spans="4:22" ht="14.25" customHeight="1">
      <c r="D23" s="18"/>
      <c r="E23" s="20"/>
      <c r="F23" s="25"/>
      <c r="I23" s="23" t="s">
        <v>20</v>
      </c>
      <c r="J23" s="24" t="s">
        <v>13</v>
      </c>
      <c r="K23" s="13" t="s">
        <v>3</v>
      </c>
      <c r="L23" s="13" t="s">
        <v>21</v>
      </c>
      <c r="N23" s="18">
        <v>42430</v>
      </c>
      <c r="O23" s="20">
        <v>25341.86</v>
      </c>
      <c r="P23" s="25"/>
      <c r="S23" s="18">
        <v>43891</v>
      </c>
      <c r="T23" s="20">
        <v>29468.49</v>
      </c>
      <c r="U23" s="25"/>
    </row>
    <row r="24" spans="4:22" ht="14.25" customHeight="1">
      <c r="D24" s="26"/>
      <c r="E24" s="27"/>
      <c r="F24" s="25"/>
      <c r="I24" s="18">
        <v>40909</v>
      </c>
      <c r="J24" s="20">
        <v>17193.55</v>
      </c>
      <c r="K24" s="13">
        <f>CORREL(I24:I27,J24:J27)</f>
        <v>2.304956611335195E-2</v>
      </c>
      <c r="L24" s="13">
        <f>K24</f>
        <v>2.304956611335195E-2</v>
      </c>
      <c r="N24" s="26">
        <v>42461</v>
      </c>
      <c r="O24" s="27">
        <v>25606.62</v>
      </c>
      <c r="P24" s="25"/>
      <c r="S24" s="26">
        <v>43922</v>
      </c>
      <c r="T24" s="27">
        <v>33717.620000000003</v>
      </c>
      <c r="U24" s="25"/>
    </row>
    <row r="25" spans="4:22" ht="14.25" customHeight="1">
      <c r="I25" s="18">
        <v>40940</v>
      </c>
      <c r="J25" s="20">
        <v>17752.68</v>
      </c>
      <c r="K25" s="25"/>
    </row>
    <row r="26" spans="4:22" ht="14.25" customHeight="1">
      <c r="I26" s="18">
        <v>40969</v>
      </c>
      <c r="J26" s="20">
        <v>17404.2</v>
      </c>
      <c r="K26" s="25"/>
      <c r="N26" s="13" t="s">
        <v>36</v>
      </c>
      <c r="O26" s="14">
        <v>42767</v>
      </c>
      <c r="S26" s="13" t="s">
        <v>40</v>
      </c>
      <c r="T26" s="14">
        <v>44228</v>
      </c>
    </row>
    <row r="27" spans="4:22" ht="14.25" customHeight="1">
      <c r="I27" s="26">
        <v>41000</v>
      </c>
      <c r="J27" s="27">
        <v>17318.810000000001</v>
      </c>
      <c r="K27" s="25"/>
    </row>
    <row r="28" spans="4:22" ht="14.25" customHeight="1">
      <c r="N28" s="23" t="s">
        <v>20</v>
      </c>
      <c r="O28" s="24" t="s">
        <v>13</v>
      </c>
      <c r="P28" s="13" t="s">
        <v>3</v>
      </c>
      <c r="Q28" s="13" t="s">
        <v>21</v>
      </c>
      <c r="S28" s="23" t="s">
        <v>20</v>
      </c>
      <c r="T28" s="24" t="s">
        <v>13</v>
      </c>
      <c r="U28" s="13" t="s">
        <v>3</v>
      </c>
      <c r="V28" s="13" t="s">
        <v>21</v>
      </c>
    </row>
    <row r="29" spans="4:22" ht="14.25" customHeight="1">
      <c r="I29" s="13" t="s">
        <v>32</v>
      </c>
      <c r="J29" s="14">
        <v>41333</v>
      </c>
      <c r="N29" s="18">
        <v>42736</v>
      </c>
      <c r="O29" s="20">
        <v>27655.96</v>
      </c>
      <c r="P29" s="37">
        <f>CORREL(N29:N32,O29:O32)</f>
        <v>0.97227490099289393</v>
      </c>
      <c r="Q29" s="13">
        <f>P29</f>
        <v>0.97227490099289393</v>
      </c>
      <c r="S29" s="18">
        <v>44197</v>
      </c>
      <c r="T29" s="20">
        <v>46285.77</v>
      </c>
      <c r="U29" s="37">
        <f>CORREL(S29:S32,T29:T32)</f>
        <v>0.70388042789501581</v>
      </c>
      <c r="V29" s="13">
        <f>U29</f>
        <v>0.70388042789501581</v>
      </c>
    </row>
    <row r="30" spans="4:22" ht="14.25" customHeight="1">
      <c r="N30" s="18">
        <v>42767</v>
      </c>
      <c r="O30" s="20">
        <v>28743.32</v>
      </c>
      <c r="P30" s="25"/>
      <c r="S30" s="18">
        <v>44228</v>
      </c>
      <c r="T30" s="20">
        <v>49099.99</v>
      </c>
      <c r="U30" s="25"/>
    </row>
    <row r="31" spans="4:22" ht="14.25" customHeight="1">
      <c r="I31" s="23" t="s">
        <v>20</v>
      </c>
      <c r="J31" s="24" t="s">
        <v>13</v>
      </c>
      <c r="K31" s="13" t="s">
        <v>3</v>
      </c>
      <c r="L31" s="13" t="s">
        <v>21</v>
      </c>
      <c r="N31" s="18">
        <v>42795</v>
      </c>
      <c r="O31" s="20">
        <v>29620.5</v>
      </c>
      <c r="P31" s="25"/>
      <c r="S31" s="18">
        <v>44256</v>
      </c>
      <c r="T31" s="20">
        <v>49509.15</v>
      </c>
      <c r="U31" s="25"/>
    </row>
    <row r="32" spans="4:22" ht="14.25" customHeight="1">
      <c r="I32" s="18">
        <v>41275</v>
      </c>
      <c r="J32" s="20">
        <v>19894.98</v>
      </c>
      <c r="K32" s="13">
        <f>CORREL(I32:I35,J32:J35)</f>
        <v>-0.3009151008110425</v>
      </c>
      <c r="L32" s="13">
        <f>K32</f>
        <v>-0.3009151008110425</v>
      </c>
      <c r="N32" s="26">
        <v>42826</v>
      </c>
      <c r="O32" s="27">
        <v>29918.400000000001</v>
      </c>
      <c r="P32" s="25"/>
      <c r="S32" s="26">
        <v>44287</v>
      </c>
      <c r="T32" s="27">
        <v>48782.36</v>
      </c>
      <c r="U32" s="25"/>
    </row>
    <row r="33" spans="9:22" ht="14.25" customHeight="1">
      <c r="I33" s="18">
        <v>41306</v>
      </c>
      <c r="J33" s="20">
        <v>18861.54</v>
      </c>
      <c r="K33" s="25"/>
    </row>
    <row r="34" spans="9:22" ht="14.25" customHeight="1">
      <c r="I34" s="18">
        <v>41334</v>
      </c>
      <c r="J34" s="20">
        <v>18835.77</v>
      </c>
      <c r="K34" s="25"/>
      <c r="S34" s="13" t="s">
        <v>41</v>
      </c>
      <c r="T34" s="14">
        <v>44593</v>
      </c>
    </row>
    <row r="35" spans="9:22" ht="14.25" customHeight="1">
      <c r="I35" s="26">
        <v>41365</v>
      </c>
      <c r="J35" s="27">
        <v>19504.18</v>
      </c>
      <c r="K35" s="25"/>
    </row>
    <row r="36" spans="9:22" ht="14.25" customHeight="1">
      <c r="S36" s="23" t="s">
        <v>20</v>
      </c>
      <c r="T36" s="24" t="s">
        <v>13</v>
      </c>
      <c r="U36" s="13" t="s">
        <v>3</v>
      </c>
      <c r="V36" s="13" t="s">
        <v>21</v>
      </c>
    </row>
    <row r="37" spans="9:22" ht="14.25" customHeight="1">
      <c r="S37" s="18">
        <v>44562</v>
      </c>
      <c r="T37" s="20">
        <v>58014.17</v>
      </c>
      <c r="U37" s="37">
        <f>CORREL(S37:S40,T37:T40)</f>
        <v>-8.7719001055328968E-2</v>
      </c>
      <c r="V37" s="13">
        <f>U37</f>
        <v>-8.7719001055328968E-2</v>
      </c>
    </row>
    <row r="38" spans="9:22" ht="14.25" customHeight="1">
      <c r="S38" s="18">
        <v>44593</v>
      </c>
      <c r="T38" s="20">
        <v>56247.28</v>
      </c>
      <c r="U38" s="25"/>
    </row>
    <row r="39" spans="9:22" ht="14.25" customHeight="1">
      <c r="S39" s="18">
        <v>44621</v>
      </c>
      <c r="T39" s="20">
        <v>58568.51</v>
      </c>
      <c r="U39" s="25"/>
    </row>
    <row r="40" spans="9:22" ht="14.25" customHeight="1">
      <c r="S40" s="26">
        <v>44652</v>
      </c>
      <c r="T40" s="27">
        <v>57060.87</v>
      </c>
      <c r="U40" s="25"/>
    </row>
    <row r="41" spans="9:22" ht="14.25" customHeight="1"/>
    <row r="42" spans="9:22" ht="14.25" customHeight="1"/>
    <row r="43" spans="9:22" ht="14.25" customHeight="1"/>
    <row r="44" spans="9:22" ht="14.25" customHeight="1"/>
    <row r="45" spans="9:22" ht="14.25" customHeight="1"/>
    <row r="46" spans="9:22" ht="14.25" customHeight="1"/>
    <row r="47" spans="9:22" ht="14.25" customHeight="1"/>
    <row r="48" spans="9:2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mergeCells count="1">
    <mergeCell ref="H1:J1"/>
  </mergeCells>
  <pageMargins left="0.7" right="0.7" top="0.75" bottom="0.75" header="0" footer="0"/>
  <pageSetup orientation="landscape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84"/>
  <sheetViews>
    <sheetView workbookViewId="0">
      <selection sqref="A1:G1"/>
    </sheetView>
  </sheetViews>
  <sheetFormatPr defaultColWidth="14.44140625" defaultRowHeight="15" customHeight="1"/>
  <cols>
    <col min="1" max="1" width="13.33203125" customWidth="1"/>
    <col min="2" max="5" width="8.6640625" customWidth="1"/>
    <col min="6" max="6" width="17.5546875" customWidth="1"/>
    <col min="7" max="7" width="17.33203125" customWidth="1"/>
    <col min="8" max="10" width="8.6640625" customWidth="1"/>
    <col min="11" max="11" width="19.33203125" customWidth="1"/>
    <col min="12" max="12" width="23.109375" customWidth="1"/>
    <col min="13" max="13" width="8.6640625" customWidth="1"/>
    <col min="14" max="14" width="9.6640625" customWidth="1"/>
    <col min="15" max="15" width="27.6640625" customWidth="1"/>
    <col min="16" max="16" width="12.5546875" customWidth="1"/>
  </cols>
  <sheetData>
    <row r="1" spans="1:16" ht="14.25" customHeight="1">
      <c r="A1" s="63" t="s">
        <v>44</v>
      </c>
      <c r="B1" s="64"/>
      <c r="C1" s="64"/>
      <c r="D1" s="64"/>
      <c r="E1" s="64"/>
      <c r="F1" s="64"/>
      <c r="G1" s="65"/>
      <c r="N1" s="61"/>
      <c r="O1" s="62"/>
      <c r="P1" s="62"/>
    </row>
    <row r="2" spans="1:16" ht="14.25" customHeight="1">
      <c r="J2" s="1" t="s">
        <v>1</v>
      </c>
      <c r="K2" s="2" t="s">
        <v>2</v>
      </c>
      <c r="N2" s="4" t="s">
        <v>6</v>
      </c>
      <c r="O2" s="4" t="s">
        <v>7</v>
      </c>
    </row>
    <row r="3" spans="1:16" ht="14.25" customHeight="1">
      <c r="A3" s="39" t="s">
        <v>45</v>
      </c>
      <c r="B3" s="40" t="s">
        <v>46</v>
      </c>
      <c r="C3" s="40" t="s">
        <v>47</v>
      </c>
      <c r="D3" s="40" t="s">
        <v>48</v>
      </c>
      <c r="E3" s="40" t="s">
        <v>49</v>
      </c>
      <c r="F3" s="40" t="s">
        <v>50</v>
      </c>
      <c r="G3" s="24" t="s">
        <v>51</v>
      </c>
      <c r="J3" s="5" t="s">
        <v>5</v>
      </c>
      <c r="K3" s="6">
        <v>40235</v>
      </c>
      <c r="N3" s="13" t="s">
        <v>16</v>
      </c>
      <c r="O3" s="14">
        <v>42429</v>
      </c>
    </row>
    <row r="4" spans="1:16" ht="14.25" customHeight="1">
      <c r="A4" s="41">
        <v>42317</v>
      </c>
      <c r="B4" s="7">
        <v>7788.25</v>
      </c>
      <c r="C4" s="7">
        <v>7937.75</v>
      </c>
      <c r="D4" s="7">
        <v>7771.7</v>
      </c>
      <c r="E4" s="7">
        <v>7915.2</v>
      </c>
      <c r="F4" s="7">
        <v>218422388</v>
      </c>
      <c r="G4" s="42">
        <v>9376.17</v>
      </c>
      <c r="J4" s="5" t="s">
        <v>14</v>
      </c>
      <c r="K4" s="6">
        <v>40602</v>
      </c>
    </row>
    <row r="5" spans="1:16" ht="14.25" customHeight="1">
      <c r="A5" s="41">
        <v>42318</v>
      </c>
      <c r="B5" s="7">
        <v>7877.6</v>
      </c>
      <c r="C5" s="7">
        <v>7885.1</v>
      </c>
      <c r="D5" s="7">
        <v>7772.85</v>
      </c>
      <c r="E5" s="7">
        <v>7783.35</v>
      </c>
      <c r="F5" s="7">
        <v>170267413</v>
      </c>
      <c r="G5" s="42">
        <v>7153.47</v>
      </c>
      <c r="J5" s="5" t="s">
        <v>17</v>
      </c>
      <c r="K5" s="6">
        <v>40984</v>
      </c>
      <c r="N5" s="23" t="s">
        <v>52</v>
      </c>
      <c r="O5" s="24" t="s">
        <v>13</v>
      </c>
      <c r="P5" s="13" t="s">
        <v>3</v>
      </c>
    </row>
    <row r="6" spans="1:16" ht="14.25" customHeight="1">
      <c r="A6" s="41">
        <v>42319</v>
      </c>
      <c r="B6" s="7">
        <v>7838.8</v>
      </c>
      <c r="C6" s="7">
        <v>7847.95</v>
      </c>
      <c r="D6" s="7">
        <v>7819.1</v>
      </c>
      <c r="E6" s="7">
        <v>7825</v>
      </c>
      <c r="F6" s="7">
        <v>22380435</v>
      </c>
      <c r="G6" s="42">
        <v>1123.44</v>
      </c>
      <c r="J6" s="5" t="s">
        <v>19</v>
      </c>
      <c r="K6" s="6">
        <v>41333</v>
      </c>
      <c r="N6" s="41">
        <v>42370</v>
      </c>
      <c r="O6" s="42">
        <v>7963.2</v>
      </c>
      <c r="P6" s="13">
        <f>CORREL(N6:N9,O6:O9)</f>
        <v>-0.44709913230944115</v>
      </c>
    </row>
    <row r="7" spans="1:16" ht="14.25" customHeight="1">
      <c r="A7" s="41">
        <v>42321</v>
      </c>
      <c r="B7" s="7">
        <v>7762.45</v>
      </c>
      <c r="C7" s="7">
        <v>7775.1</v>
      </c>
      <c r="D7" s="7">
        <v>7730.9</v>
      </c>
      <c r="E7" s="7">
        <v>7762.25</v>
      </c>
      <c r="F7" s="7">
        <v>165876819</v>
      </c>
      <c r="G7" s="42">
        <v>7731.55</v>
      </c>
      <c r="J7" s="5" t="s">
        <v>23</v>
      </c>
      <c r="K7" s="6">
        <v>41830</v>
      </c>
      <c r="N7" s="41">
        <v>42401</v>
      </c>
      <c r="O7" s="42">
        <v>7555.95</v>
      </c>
      <c r="P7" s="25"/>
    </row>
    <row r="8" spans="1:16" ht="14.25" customHeight="1">
      <c r="A8" s="41">
        <v>42324</v>
      </c>
      <c r="B8" s="7">
        <v>7732.95</v>
      </c>
      <c r="C8" s="7">
        <v>7838.85</v>
      </c>
      <c r="D8" s="7">
        <v>7714.15</v>
      </c>
      <c r="E8" s="7">
        <v>7806.6</v>
      </c>
      <c r="F8" s="7">
        <v>154134885</v>
      </c>
      <c r="G8" s="42">
        <v>6871.15</v>
      </c>
      <c r="J8" s="5" t="s">
        <v>25</v>
      </c>
      <c r="K8" s="6">
        <v>42063</v>
      </c>
      <c r="N8" s="41">
        <v>42430</v>
      </c>
      <c r="O8" s="42">
        <v>7222.3</v>
      </c>
      <c r="P8" s="25"/>
    </row>
    <row r="9" spans="1:16" ht="14.25" customHeight="1">
      <c r="A9" s="41">
        <v>42325</v>
      </c>
      <c r="B9" s="7">
        <v>7848.75</v>
      </c>
      <c r="C9" s="7">
        <v>7860.45</v>
      </c>
      <c r="D9" s="7">
        <v>7793</v>
      </c>
      <c r="E9" s="7">
        <v>7837.55</v>
      </c>
      <c r="F9" s="7">
        <v>149451211</v>
      </c>
      <c r="G9" s="42">
        <v>6367.14</v>
      </c>
      <c r="J9" s="5" t="s">
        <v>16</v>
      </c>
      <c r="K9" s="6">
        <v>42429</v>
      </c>
      <c r="N9" s="43">
        <v>42461</v>
      </c>
      <c r="O9" s="44">
        <v>7713.05</v>
      </c>
      <c r="P9" s="25"/>
    </row>
    <row r="10" spans="1:16" ht="14.25" customHeight="1">
      <c r="A10" s="41">
        <v>42326</v>
      </c>
      <c r="B10" s="7">
        <v>7823.15</v>
      </c>
      <c r="C10" s="7">
        <v>7843.4</v>
      </c>
      <c r="D10" s="7">
        <v>7725.05</v>
      </c>
      <c r="E10" s="7">
        <v>7731.8</v>
      </c>
      <c r="F10" s="7">
        <v>148037721</v>
      </c>
      <c r="G10" s="42">
        <v>6112.32</v>
      </c>
      <c r="J10" s="5" t="s">
        <v>18</v>
      </c>
      <c r="K10" s="6">
        <v>42767</v>
      </c>
    </row>
    <row r="11" spans="1:16" ht="14.25" customHeight="1">
      <c r="A11" s="41">
        <v>42327</v>
      </c>
      <c r="B11" s="7">
        <v>7788.5</v>
      </c>
      <c r="C11" s="7">
        <v>7854.9</v>
      </c>
      <c r="D11" s="7">
        <v>7765.45</v>
      </c>
      <c r="E11" s="7">
        <v>7842.75</v>
      </c>
      <c r="F11" s="7">
        <v>136702518</v>
      </c>
      <c r="G11" s="42">
        <v>7410.15</v>
      </c>
      <c r="J11" s="5" t="s">
        <v>22</v>
      </c>
      <c r="K11" s="6">
        <v>43132</v>
      </c>
    </row>
    <row r="12" spans="1:16" ht="14.25" customHeight="1">
      <c r="A12" s="41">
        <v>42328</v>
      </c>
      <c r="B12" s="7">
        <v>7841.9</v>
      </c>
      <c r="C12" s="7">
        <v>7906.95</v>
      </c>
      <c r="D12" s="7">
        <v>7817.8</v>
      </c>
      <c r="E12" s="7">
        <v>7856.55</v>
      </c>
      <c r="F12" s="7">
        <v>156610433</v>
      </c>
      <c r="G12" s="42">
        <v>7298.01</v>
      </c>
      <c r="J12" s="5" t="s">
        <v>24</v>
      </c>
      <c r="K12" s="6">
        <v>43651</v>
      </c>
      <c r="N12" s="13" t="s">
        <v>18</v>
      </c>
      <c r="O12" s="14">
        <v>42767</v>
      </c>
    </row>
    <row r="13" spans="1:16" ht="14.25" customHeight="1">
      <c r="A13" s="41">
        <v>42331</v>
      </c>
      <c r="B13" s="7">
        <v>7869.5</v>
      </c>
      <c r="C13" s="7">
        <v>7877.5</v>
      </c>
      <c r="D13" s="7">
        <v>7825.2</v>
      </c>
      <c r="E13" s="7">
        <v>7849.25</v>
      </c>
      <c r="F13" s="7">
        <v>130871603</v>
      </c>
      <c r="G13" s="42">
        <v>6099.09</v>
      </c>
      <c r="J13" s="5" t="s">
        <v>26</v>
      </c>
      <c r="K13" s="6">
        <v>43862</v>
      </c>
    </row>
    <row r="14" spans="1:16" ht="14.25" customHeight="1">
      <c r="A14" s="41">
        <v>42332</v>
      </c>
      <c r="B14" s="7">
        <v>7837</v>
      </c>
      <c r="C14" s="7">
        <v>7870.35</v>
      </c>
      <c r="D14" s="7">
        <v>7812.65</v>
      </c>
      <c r="E14" s="7">
        <v>7831.6</v>
      </c>
      <c r="F14" s="7">
        <v>134562905</v>
      </c>
      <c r="G14" s="42">
        <v>6686.27</v>
      </c>
      <c r="J14" s="5" t="s">
        <v>27</v>
      </c>
      <c r="K14" s="6">
        <v>44228</v>
      </c>
      <c r="N14" s="23" t="s">
        <v>52</v>
      </c>
      <c r="O14" s="24" t="s">
        <v>13</v>
      </c>
      <c r="P14" s="13" t="s">
        <v>3</v>
      </c>
    </row>
    <row r="15" spans="1:16" ht="14.25" customHeight="1">
      <c r="A15" s="41">
        <v>42334</v>
      </c>
      <c r="B15" s="7">
        <v>7837.15</v>
      </c>
      <c r="C15" s="7">
        <v>7897.1</v>
      </c>
      <c r="D15" s="7">
        <v>7832</v>
      </c>
      <c r="E15" s="7">
        <v>7883.8</v>
      </c>
      <c r="F15" s="7">
        <v>226632193</v>
      </c>
      <c r="G15" s="42">
        <v>11054.04</v>
      </c>
      <c r="J15" s="5" t="s">
        <v>28</v>
      </c>
      <c r="K15" s="6">
        <v>44593</v>
      </c>
      <c r="N15" s="41">
        <v>42737</v>
      </c>
      <c r="O15" s="42">
        <v>8179.5</v>
      </c>
      <c r="P15" s="13">
        <f>CORREL(N15:N18,O15:O18)</f>
        <v>0.98012976037431687</v>
      </c>
    </row>
    <row r="16" spans="1:16" ht="14.25" customHeight="1">
      <c r="A16" s="41">
        <v>42335</v>
      </c>
      <c r="B16" s="7">
        <v>7910.6</v>
      </c>
      <c r="C16" s="7">
        <v>7959.3</v>
      </c>
      <c r="D16" s="7">
        <v>7879.45</v>
      </c>
      <c r="E16" s="7">
        <v>7942.7</v>
      </c>
      <c r="F16" s="7">
        <v>154863047</v>
      </c>
      <c r="G16" s="42">
        <v>7068.72</v>
      </c>
      <c r="J16" s="31" t="s">
        <v>29</v>
      </c>
      <c r="K16" s="32">
        <v>44958</v>
      </c>
      <c r="N16" s="41">
        <v>42767</v>
      </c>
      <c r="O16" s="42">
        <v>8716.4</v>
      </c>
      <c r="P16" s="25"/>
    </row>
    <row r="17" spans="1:16" ht="14.25" customHeight="1">
      <c r="A17" s="41">
        <v>42338</v>
      </c>
      <c r="B17" s="7">
        <v>7936.25</v>
      </c>
      <c r="C17" s="7">
        <v>7966</v>
      </c>
      <c r="D17" s="7">
        <v>7922.8</v>
      </c>
      <c r="E17" s="7">
        <v>7935.25</v>
      </c>
      <c r="F17" s="7">
        <v>223041699</v>
      </c>
      <c r="G17" s="42">
        <v>15368.67</v>
      </c>
      <c r="N17" s="41">
        <v>42795</v>
      </c>
      <c r="O17" s="42">
        <v>8945.7999999999993</v>
      </c>
      <c r="P17" s="25"/>
    </row>
    <row r="18" spans="1:16" ht="14.25" customHeight="1">
      <c r="A18" s="41">
        <v>42339</v>
      </c>
      <c r="B18" s="7">
        <v>7958.15</v>
      </c>
      <c r="C18" s="7">
        <v>7972.15</v>
      </c>
      <c r="D18" s="7">
        <v>7934.15</v>
      </c>
      <c r="E18" s="7">
        <v>7954.9</v>
      </c>
      <c r="F18" s="7">
        <v>142945421</v>
      </c>
      <c r="G18" s="42">
        <v>6796.67</v>
      </c>
      <c r="N18" s="43">
        <v>42828</v>
      </c>
      <c r="O18" s="44">
        <v>9237.85</v>
      </c>
      <c r="P18" s="25"/>
    </row>
    <row r="19" spans="1:16" ht="14.25" customHeight="1">
      <c r="A19" s="41">
        <v>42340</v>
      </c>
      <c r="B19" s="7">
        <v>7976.7</v>
      </c>
      <c r="C19" s="7">
        <v>7979.3</v>
      </c>
      <c r="D19" s="7">
        <v>7910.8</v>
      </c>
      <c r="E19" s="7">
        <v>7931.35</v>
      </c>
      <c r="F19" s="7">
        <v>130207404</v>
      </c>
      <c r="G19" s="42">
        <v>6242.53</v>
      </c>
    </row>
    <row r="20" spans="1:16" ht="14.25" customHeight="1">
      <c r="A20" s="41">
        <v>42341</v>
      </c>
      <c r="B20" s="7">
        <v>7902.3</v>
      </c>
      <c r="C20" s="7">
        <v>7912.3</v>
      </c>
      <c r="D20" s="7">
        <v>7853.3</v>
      </c>
      <c r="E20" s="7">
        <v>7864.15</v>
      </c>
      <c r="F20" s="7">
        <v>129628400</v>
      </c>
      <c r="G20" s="42">
        <v>5636.41</v>
      </c>
    </row>
    <row r="21" spans="1:16" ht="14.25" customHeight="1">
      <c r="A21" s="41">
        <v>42342</v>
      </c>
      <c r="B21" s="7">
        <v>7817.6</v>
      </c>
      <c r="C21" s="7">
        <v>7821.4</v>
      </c>
      <c r="D21" s="7">
        <v>7775.7</v>
      </c>
      <c r="E21" s="7">
        <v>7781.9</v>
      </c>
      <c r="F21" s="7">
        <v>157231681</v>
      </c>
      <c r="G21" s="42">
        <v>7758.36</v>
      </c>
    </row>
    <row r="22" spans="1:16" ht="14.25" customHeight="1">
      <c r="A22" s="41">
        <v>42345</v>
      </c>
      <c r="B22" s="7">
        <v>7816.55</v>
      </c>
      <c r="C22" s="7">
        <v>7825.4</v>
      </c>
      <c r="D22" s="7">
        <v>7746.05</v>
      </c>
      <c r="E22" s="7">
        <v>7765.4</v>
      </c>
      <c r="F22" s="7">
        <v>141893279</v>
      </c>
      <c r="G22" s="42">
        <v>6403.97</v>
      </c>
    </row>
    <row r="23" spans="1:16" ht="14.25" customHeight="1">
      <c r="A23" s="41">
        <v>42346</v>
      </c>
      <c r="B23" s="7">
        <v>7738.5</v>
      </c>
      <c r="C23" s="7">
        <v>7771.25</v>
      </c>
      <c r="D23" s="7">
        <v>7685.45</v>
      </c>
      <c r="E23" s="7">
        <v>7701.7</v>
      </c>
      <c r="F23" s="7">
        <v>139318392</v>
      </c>
      <c r="G23" s="42">
        <v>5986.06</v>
      </c>
    </row>
    <row r="24" spans="1:16" ht="14.25" customHeight="1">
      <c r="A24" s="41">
        <v>42347</v>
      </c>
      <c r="B24" s="7">
        <v>7695.5</v>
      </c>
      <c r="C24" s="7">
        <v>7702.85</v>
      </c>
      <c r="D24" s="7">
        <v>7606.9</v>
      </c>
      <c r="E24" s="7">
        <v>7612.5</v>
      </c>
      <c r="F24" s="7">
        <v>144315690</v>
      </c>
      <c r="G24" s="42">
        <v>6599.6</v>
      </c>
    </row>
    <row r="25" spans="1:16" ht="14.25" customHeight="1">
      <c r="A25" s="41">
        <v>42348</v>
      </c>
      <c r="B25" s="7">
        <v>7643.3</v>
      </c>
      <c r="C25" s="7">
        <v>7691.95</v>
      </c>
      <c r="D25" s="7">
        <v>7610</v>
      </c>
      <c r="E25" s="7">
        <v>7683.3</v>
      </c>
      <c r="F25" s="7">
        <v>145249292</v>
      </c>
      <c r="G25" s="42">
        <v>6492.02</v>
      </c>
    </row>
    <row r="26" spans="1:16" ht="14.25" customHeight="1">
      <c r="A26" s="41">
        <v>42349</v>
      </c>
      <c r="B26" s="7">
        <v>7699.6</v>
      </c>
      <c r="C26" s="7">
        <v>7703.05</v>
      </c>
      <c r="D26" s="7">
        <v>7575.3</v>
      </c>
      <c r="E26" s="7">
        <v>7610.45</v>
      </c>
      <c r="F26" s="7">
        <v>172996480</v>
      </c>
      <c r="G26" s="42">
        <v>6894.44</v>
      </c>
    </row>
    <row r="27" spans="1:16" ht="14.25" customHeight="1">
      <c r="A27" s="41">
        <v>42352</v>
      </c>
      <c r="B27" s="7">
        <v>7558.2</v>
      </c>
      <c r="C27" s="7">
        <v>7663.95</v>
      </c>
      <c r="D27" s="7">
        <v>7551.05</v>
      </c>
      <c r="E27" s="7">
        <v>7650.05</v>
      </c>
      <c r="F27" s="7">
        <v>153492615</v>
      </c>
      <c r="G27" s="42">
        <v>6290.42</v>
      </c>
    </row>
    <row r="28" spans="1:16" ht="14.25" customHeight="1">
      <c r="A28" s="41">
        <v>42353</v>
      </c>
      <c r="B28" s="7">
        <v>7659.15</v>
      </c>
      <c r="C28" s="7">
        <v>7705</v>
      </c>
      <c r="D28" s="7">
        <v>7625.1</v>
      </c>
      <c r="E28" s="7">
        <v>7700.9</v>
      </c>
      <c r="F28" s="7">
        <v>138479057</v>
      </c>
      <c r="G28" s="42">
        <v>6152.14</v>
      </c>
    </row>
    <row r="29" spans="1:16" ht="14.25" customHeight="1">
      <c r="A29" s="41">
        <v>42354</v>
      </c>
      <c r="B29" s="7">
        <v>7725.25</v>
      </c>
      <c r="C29" s="7">
        <v>7776.6</v>
      </c>
      <c r="D29" s="7">
        <v>7715.75</v>
      </c>
      <c r="E29" s="7">
        <v>7750.9</v>
      </c>
      <c r="F29" s="7">
        <v>159149338</v>
      </c>
      <c r="G29" s="42">
        <v>6703.76</v>
      </c>
    </row>
    <row r="30" spans="1:16" ht="14.25" customHeight="1">
      <c r="A30" s="41">
        <v>42355</v>
      </c>
      <c r="B30" s="7">
        <v>7783.05</v>
      </c>
      <c r="C30" s="7">
        <v>7852.9</v>
      </c>
      <c r="D30" s="7">
        <v>7737.55</v>
      </c>
      <c r="E30" s="7">
        <v>7844.35</v>
      </c>
      <c r="F30" s="7">
        <v>181256780</v>
      </c>
      <c r="G30" s="42">
        <v>7367.15</v>
      </c>
    </row>
    <row r="31" spans="1:16" ht="14.25" customHeight="1">
      <c r="A31" s="41">
        <v>42356</v>
      </c>
      <c r="B31" s="7">
        <v>7828.9</v>
      </c>
      <c r="C31" s="7">
        <v>7836.15</v>
      </c>
      <c r="D31" s="7">
        <v>7753.35</v>
      </c>
      <c r="E31" s="7">
        <v>7761.95</v>
      </c>
      <c r="F31" s="7">
        <v>197319843</v>
      </c>
      <c r="G31" s="42">
        <v>8074.5</v>
      </c>
    </row>
    <row r="32" spans="1:16" ht="14.25" customHeight="1">
      <c r="A32" s="41">
        <v>42359</v>
      </c>
      <c r="B32" s="7">
        <v>7745.65</v>
      </c>
      <c r="C32" s="7">
        <v>7840.75</v>
      </c>
      <c r="D32" s="7">
        <v>7733.45</v>
      </c>
      <c r="E32" s="7">
        <v>7834.45</v>
      </c>
      <c r="F32" s="7">
        <v>130174102</v>
      </c>
      <c r="G32" s="42">
        <v>5558.38</v>
      </c>
    </row>
    <row r="33" spans="1:7" ht="14.25" customHeight="1">
      <c r="A33" s="41">
        <v>42360</v>
      </c>
      <c r="B33" s="7">
        <v>7829.4</v>
      </c>
      <c r="C33" s="7">
        <v>7846.3</v>
      </c>
      <c r="D33" s="7">
        <v>7776.85</v>
      </c>
      <c r="E33" s="7">
        <v>7786.1</v>
      </c>
      <c r="F33" s="7">
        <v>129633328</v>
      </c>
      <c r="G33" s="42">
        <v>5028.1099999999997</v>
      </c>
    </row>
    <row r="34" spans="1:7" ht="14.25" customHeight="1">
      <c r="A34" s="41">
        <v>42361</v>
      </c>
      <c r="B34" s="7">
        <v>7830.45</v>
      </c>
      <c r="C34" s="7">
        <v>7871.45</v>
      </c>
      <c r="D34" s="7">
        <v>7826.1</v>
      </c>
      <c r="E34" s="7">
        <v>7865.95</v>
      </c>
      <c r="F34" s="7">
        <v>121480721</v>
      </c>
      <c r="G34" s="42">
        <v>4663.45</v>
      </c>
    </row>
    <row r="35" spans="1:7" ht="14.25" customHeight="1">
      <c r="A35" s="41">
        <v>42362</v>
      </c>
      <c r="B35" s="7">
        <v>7888.75</v>
      </c>
      <c r="C35" s="7">
        <v>7888.75</v>
      </c>
      <c r="D35" s="7">
        <v>7835.5</v>
      </c>
      <c r="E35" s="7">
        <v>7861.05</v>
      </c>
      <c r="F35" s="7">
        <v>96374245</v>
      </c>
      <c r="G35" s="42">
        <v>3383.99</v>
      </c>
    </row>
    <row r="36" spans="1:7" ht="14.25" customHeight="1">
      <c r="A36" s="41">
        <v>42366</v>
      </c>
      <c r="B36" s="7">
        <v>7863.2</v>
      </c>
      <c r="C36" s="7">
        <v>7937.2</v>
      </c>
      <c r="D36" s="7">
        <v>7863</v>
      </c>
      <c r="E36" s="7">
        <v>7925.15</v>
      </c>
      <c r="F36" s="7">
        <v>126737811</v>
      </c>
      <c r="G36" s="42">
        <v>5755.48</v>
      </c>
    </row>
    <row r="37" spans="1:7" ht="14.25" customHeight="1">
      <c r="A37" s="41">
        <v>42367</v>
      </c>
      <c r="B37" s="7">
        <v>7929.2</v>
      </c>
      <c r="C37" s="7">
        <v>7942.15</v>
      </c>
      <c r="D37" s="7">
        <v>7902.75</v>
      </c>
      <c r="E37" s="7">
        <v>7928.95</v>
      </c>
      <c r="F37" s="7">
        <v>116535971</v>
      </c>
      <c r="G37" s="42">
        <v>4950.3599999999997</v>
      </c>
    </row>
    <row r="38" spans="1:7" ht="14.25" customHeight="1">
      <c r="A38" s="41">
        <v>42368</v>
      </c>
      <c r="B38" s="7">
        <v>7938.6</v>
      </c>
      <c r="C38" s="7">
        <v>7944.75</v>
      </c>
      <c r="D38" s="7">
        <v>7889.85</v>
      </c>
      <c r="E38" s="7">
        <v>7896.25</v>
      </c>
      <c r="F38" s="7">
        <v>110145855</v>
      </c>
      <c r="G38" s="42">
        <v>4392.87</v>
      </c>
    </row>
    <row r="39" spans="1:7" ht="14.25" customHeight="1">
      <c r="A39" s="41">
        <v>42369</v>
      </c>
      <c r="B39" s="7">
        <v>7897.8</v>
      </c>
      <c r="C39" s="7">
        <v>7955.55</v>
      </c>
      <c r="D39" s="7">
        <v>7891.15</v>
      </c>
      <c r="E39" s="7">
        <v>7946.35</v>
      </c>
      <c r="F39" s="7">
        <v>155645098</v>
      </c>
      <c r="G39" s="42">
        <v>6780.85</v>
      </c>
    </row>
    <row r="40" spans="1:7" ht="14.25" customHeight="1">
      <c r="A40" s="41">
        <v>42370</v>
      </c>
      <c r="B40" s="7">
        <v>7938.45</v>
      </c>
      <c r="C40" s="7">
        <v>7972.55</v>
      </c>
      <c r="D40" s="7">
        <v>7909.8</v>
      </c>
      <c r="E40" s="7">
        <v>7963.2</v>
      </c>
      <c r="F40" s="7">
        <v>64843836</v>
      </c>
      <c r="G40" s="42">
        <v>2613.91</v>
      </c>
    </row>
    <row r="41" spans="1:7" ht="14.25" customHeight="1">
      <c r="A41" s="41">
        <v>42373</v>
      </c>
      <c r="B41" s="7">
        <v>7924.55</v>
      </c>
      <c r="C41" s="7">
        <v>7937.55</v>
      </c>
      <c r="D41" s="7">
        <v>7781.1</v>
      </c>
      <c r="E41" s="7">
        <v>7791.3</v>
      </c>
      <c r="F41" s="7">
        <v>138864905</v>
      </c>
      <c r="G41" s="42">
        <v>5897.08</v>
      </c>
    </row>
    <row r="42" spans="1:7" ht="14.25" customHeight="1">
      <c r="A42" s="41">
        <v>42374</v>
      </c>
      <c r="B42" s="7">
        <v>7828.4</v>
      </c>
      <c r="C42" s="7">
        <v>7831.2</v>
      </c>
      <c r="D42" s="7">
        <v>7763.25</v>
      </c>
      <c r="E42" s="7">
        <v>7784.65</v>
      </c>
      <c r="F42" s="7">
        <v>149672973</v>
      </c>
      <c r="G42" s="42">
        <v>5948.51</v>
      </c>
    </row>
    <row r="43" spans="1:7" ht="14.25" customHeight="1">
      <c r="A43" s="41">
        <v>42375</v>
      </c>
      <c r="B43" s="7">
        <v>7788.05</v>
      </c>
      <c r="C43" s="7">
        <v>7800.95</v>
      </c>
      <c r="D43" s="7">
        <v>7721.2</v>
      </c>
      <c r="E43" s="7">
        <v>7741</v>
      </c>
      <c r="F43" s="7">
        <v>151715828</v>
      </c>
      <c r="G43" s="42">
        <v>6722.17</v>
      </c>
    </row>
    <row r="44" spans="1:7" ht="14.25" customHeight="1">
      <c r="A44" s="41">
        <v>42376</v>
      </c>
      <c r="B44" s="7">
        <v>7673.35</v>
      </c>
      <c r="C44" s="7">
        <v>7674.95</v>
      </c>
      <c r="D44" s="7">
        <v>7556.6</v>
      </c>
      <c r="E44" s="7">
        <v>7568.3</v>
      </c>
      <c r="F44" s="7">
        <v>194732861</v>
      </c>
      <c r="G44" s="42">
        <v>7803.21</v>
      </c>
    </row>
    <row r="45" spans="1:7" ht="14.25" customHeight="1">
      <c r="A45" s="41">
        <v>42377</v>
      </c>
      <c r="B45" s="7">
        <v>7611.65</v>
      </c>
      <c r="C45" s="7">
        <v>7634.1</v>
      </c>
      <c r="D45" s="7">
        <v>7581.05</v>
      </c>
      <c r="E45" s="7">
        <v>7601.35</v>
      </c>
      <c r="F45" s="7">
        <v>162348690</v>
      </c>
      <c r="G45" s="42">
        <v>6753.57</v>
      </c>
    </row>
    <row r="46" spans="1:7" ht="14.25" customHeight="1">
      <c r="A46" s="41">
        <v>42380</v>
      </c>
      <c r="B46" s="7">
        <v>7527.45</v>
      </c>
      <c r="C46" s="7">
        <v>7605.1</v>
      </c>
      <c r="D46" s="7">
        <v>7494.35</v>
      </c>
      <c r="E46" s="7">
        <v>7563.85</v>
      </c>
      <c r="F46" s="7">
        <v>194836791</v>
      </c>
      <c r="G46" s="42">
        <v>7327.15</v>
      </c>
    </row>
    <row r="47" spans="1:7" ht="14.25" customHeight="1">
      <c r="A47" s="41">
        <v>42381</v>
      </c>
      <c r="B47" s="7">
        <v>7587.2</v>
      </c>
      <c r="C47" s="7">
        <v>7588.3</v>
      </c>
      <c r="D47" s="7">
        <v>7487.8</v>
      </c>
      <c r="E47" s="7">
        <v>7510.3</v>
      </c>
      <c r="F47" s="7">
        <v>168975973</v>
      </c>
      <c r="G47" s="42">
        <v>7071.48</v>
      </c>
    </row>
    <row r="48" spans="1:7" ht="14.25" customHeight="1">
      <c r="A48" s="41">
        <v>42382</v>
      </c>
      <c r="B48" s="7">
        <v>7557.9</v>
      </c>
      <c r="C48" s="7">
        <v>7590.95</v>
      </c>
      <c r="D48" s="7">
        <v>7425.8</v>
      </c>
      <c r="E48" s="7">
        <v>7562.4</v>
      </c>
      <c r="F48" s="7">
        <v>221908258</v>
      </c>
      <c r="G48" s="42">
        <v>9585.17</v>
      </c>
    </row>
    <row r="49" spans="1:7" ht="14.25" customHeight="1">
      <c r="A49" s="41">
        <v>42383</v>
      </c>
      <c r="B49" s="7">
        <v>7467.4</v>
      </c>
      <c r="C49" s="7">
        <v>7604.8</v>
      </c>
      <c r="D49" s="7">
        <v>7443.8</v>
      </c>
      <c r="E49" s="7">
        <v>7536.8</v>
      </c>
      <c r="F49" s="7">
        <v>206988549</v>
      </c>
      <c r="G49" s="42">
        <v>9246.75</v>
      </c>
    </row>
    <row r="50" spans="1:7" ht="14.25" customHeight="1">
      <c r="A50" s="41">
        <v>42384</v>
      </c>
      <c r="B50" s="7">
        <v>7561.65</v>
      </c>
      <c r="C50" s="7">
        <v>7566.5</v>
      </c>
      <c r="D50" s="7">
        <v>7427.3</v>
      </c>
      <c r="E50" s="7">
        <v>7437.8</v>
      </c>
      <c r="F50" s="7">
        <v>203643071</v>
      </c>
      <c r="G50" s="42">
        <v>8279.07</v>
      </c>
    </row>
    <row r="51" spans="1:7" ht="14.25" customHeight="1">
      <c r="A51" s="41">
        <v>42387</v>
      </c>
      <c r="B51" s="7">
        <v>7420.35</v>
      </c>
      <c r="C51" s="7">
        <v>7463.65</v>
      </c>
      <c r="D51" s="7">
        <v>7336.4</v>
      </c>
      <c r="E51" s="7">
        <v>7351</v>
      </c>
      <c r="F51" s="7">
        <v>240798183</v>
      </c>
      <c r="G51" s="42">
        <v>8431.56</v>
      </c>
    </row>
    <row r="52" spans="1:7" ht="14.25" customHeight="1">
      <c r="A52" s="41">
        <v>42388</v>
      </c>
      <c r="B52" s="7">
        <v>7381.8</v>
      </c>
      <c r="C52" s="7">
        <v>7462.75</v>
      </c>
      <c r="D52" s="7">
        <v>7364.15</v>
      </c>
      <c r="E52" s="7">
        <v>7435.1</v>
      </c>
      <c r="F52" s="7">
        <v>194068339</v>
      </c>
      <c r="G52" s="42">
        <v>7038.84</v>
      </c>
    </row>
    <row r="53" spans="1:7" ht="14.25" customHeight="1">
      <c r="A53" s="41">
        <v>42389</v>
      </c>
      <c r="B53" s="7">
        <v>7357</v>
      </c>
      <c r="C53" s="7">
        <v>7470.9</v>
      </c>
      <c r="D53" s="7">
        <v>7241.5</v>
      </c>
      <c r="E53" s="7">
        <v>7309.3</v>
      </c>
      <c r="F53" s="7">
        <v>232614141</v>
      </c>
      <c r="G53" s="42">
        <v>8794.16</v>
      </c>
    </row>
    <row r="54" spans="1:7" ht="14.25" customHeight="1">
      <c r="A54" s="41">
        <v>42390</v>
      </c>
      <c r="B54" s="7">
        <v>7376.65</v>
      </c>
      <c r="C54" s="7">
        <v>7398.7</v>
      </c>
      <c r="D54" s="7">
        <v>7250</v>
      </c>
      <c r="E54" s="7">
        <v>7276.8</v>
      </c>
      <c r="F54" s="7">
        <v>248113284</v>
      </c>
      <c r="G54" s="42">
        <v>9401.16</v>
      </c>
    </row>
    <row r="55" spans="1:7" ht="14.25" customHeight="1">
      <c r="A55" s="41">
        <v>42391</v>
      </c>
      <c r="B55" s="7">
        <v>7355.7</v>
      </c>
      <c r="C55" s="7">
        <v>7433.4</v>
      </c>
      <c r="D55" s="7">
        <v>7327.6</v>
      </c>
      <c r="E55" s="7">
        <v>7422.45</v>
      </c>
      <c r="F55" s="7">
        <v>236282061</v>
      </c>
      <c r="G55" s="42">
        <v>7666.39</v>
      </c>
    </row>
    <row r="56" spans="1:7" ht="14.25" customHeight="1">
      <c r="A56" s="41">
        <v>42394</v>
      </c>
      <c r="B56" s="7">
        <v>7468.75</v>
      </c>
      <c r="C56" s="7">
        <v>7487.15</v>
      </c>
      <c r="D56" s="7">
        <v>7421.2</v>
      </c>
      <c r="E56" s="7">
        <v>7436.15</v>
      </c>
      <c r="F56" s="7">
        <v>168202502</v>
      </c>
      <c r="G56" s="42">
        <v>5910.99</v>
      </c>
    </row>
    <row r="57" spans="1:7" ht="14.25" customHeight="1">
      <c r="A57" s="41">
        <v>42396</v>
      </c>
      <c r="B57" s="7">
        <v>7469.6</v>
      </c>
      <c r="C57" s="7">
        <v>7477.9</v>
      </c>
      <c r="D57" s="7">
        <v>7419.7</v>
      </c>
      <c r="E57" s="7">
        <v>7437.75</v>
      </c>
      <c r="F57" s="7">
        <v>193389891</v>
      </c>
      <c r="G57" s="42">
        <v>6834.77</v>
      </c>
    </row>
    <row r="58" spans="1:7" ht="14.25" customHeight="1">
      <c r="A58" s="41">
        <v>42397</v>
      </c>
      <c r="B58" s="7">
        <v>7426.5</v>
      </c>
      <c r="C58" s="7">
        <v>7468.85</v>
      </c>
      <c r="D58" s="7">
        <v>7409.6</v>
      </c>
      <c r="E58" s="7">
        <v>7424.65</v>
      </c>
      <c r="F58" s="7">
        <v>283036298</v>
      </c>
      <c r="G58" s="42">
        <v>10049.879999999999</v>
      </c>
    </row>
    <row r="59" spans="1:7" ht="14.25" customHeight="1">
      <c r="A59" s="41">
        <v>42398</v>
      </c>
      <c r="B59" s="7">
        <v>7413.35</v>
      </c>
      <c r="C59" s="7">
        <v>7575.65</v>
      </c>
      <c r="D59" s="7">
        <v>7402.8</v>
      </c>
      <c r="E59" s="7">
        <v>7563.55</v>
      </c>
      <c r="F59" s="7">
        <v>307934042</v>
      </c>
      <c r="G59" s="42">
        <v>11277.33</v>
      </c>
    </row>
    <row r="60" spans="1:7" ht="14.25" customHeight="1">
      <c r="A60" s="41">
        <v>42401</v>
      </c>
      <c r="B60" s="7">
        <v>7589.5</v>
      </c>
      <c r="C60" s="7">
        <v>7600.45</v>
      </c>
      <c r="D60" s="7">
        <v>7541.25</v>
      </c>
      <c r="E60" s="7">
        <v>7555.95</v>
      </c>
      <c r="F60" s="7">
        <v>206645021</v>
      </c>
      <c r="G60" s="42">
        <v>8209.5</v>
      </c>
    </row>
    <row r="61" spans="1:7" ht="14.25" customHeight="1">
      <c r="A61" s="41">
        <v>42402</v>
      </c>
      <c r="B61" s="7">
        <v>7566.65</v>
      </c>
      <c r="C61" s="7">
        <v>7576.3</v>
      </c>
      <c r="D61" s="7">
        <v>7428.05</v>
      </c>
      <c r="E61" s="7">
        <v>7455.55</v>
      </c>
      <c r="F61" s="7">
        <v>237338907</v>
      </c>
      <c r="G61" s="42">
        <v>8030.99</v>
      </c>
    </row>
    <row r="62" spans="1:7" ht="14.25" customHeight="1">
      <c r="A62" s="41">
        <v>42403</v>
      </c>
      <c r="B62" s="7">
        <v>7392.45</v>
      </c>
      <c r="C62" s="7">
        <v>7419.4</v>
      </c>
      <c r="D62" s="7">
        <v>7350.3</v>
      </c>
      <c r="E62" s="7">
        <v>7361.8</v>
      </c>
      <c r="F62" s="7">
        <v>197863301</v>
      </c>
      <c r="G62" s="42">
        <v>6748.17</v>
      </c>
    </row>
    <row r="63" spans="1:7" ht="14.25" customHeight="1">
      <c r="A63" s="41">
        <v>42404</v>
      </c>
      <c r="B63" s="7">
        <v>7411.45</v>
      </c>
      <c r="C63" s="7">
        <v>7457.05</v>
      </c>
      <c r="D63" s="7">
        <v>7365.95</v>
      </c>
      <c r="E63" s="7">
        <v>7404</v>
      </c>
      <c r="F63" s="7">
        <v>229563364</v>
      </c>
      <c r="G63" s="42">
        <v>7465.35</v>
      </c>
    </row>
    <row r="64" spans="1:7" ht="14.25" customHeight="1">
      <c r="A64" s="41">
        <v>42405</v>
      </c>
      <c r="B64" s="7">
        <v>7418.25</v>
      </c>
      <c r="C64" s="7">
        <v>7503.15</v>
      </c>
      <c r="D64" s="7">
        <v>7406.65</v>
      </c>
      <c r="E64" s="7">
        <v>7489.1</v>
      </c>
      <c r="F64" s="7">
        <v>257518899</v>
      </c>
      <c r="G64" s="42">
        <v>8628.24</v>
      </c>
    </row>
    <row r="65" spans="1:7" ht="14.25" customHeight="1">
      <c r="A65" s="41">
        <v>42408</v>
      </c>
      <c r="B65" s="7">
        <v>7489.7</v>
      </c>
      <c r="C65" s="7">
        <v>7512.55</v>
      </c>
      <c r="D65" s="7">
        <v>7363.2</v>
      </c>
      <c r="E65" s="7">
        <v>7387.25</v>
      </c>
      <c r="F65" s="7">
        <v>176758985</v>
      </c>
      <c r="G65" s="42">
        <v>5746.45</v>
      </c>
    </row>
    <row r="66" spans="1:7" ht="14.25" customHeight="1">
      <c r="A66" s="41">
        <v>42409</v>
      </c>
      <c r="B66" s="7">
        <v>7303.95</v>
      </c>
      <c r="C66" s="7">
        <v>7323.45</v>
      </c>
      <c r="D66" s="7">
        <v>7275.15</v>
      </c>
      <c r="E66" s="7">
        <v>7298.2</v>
      </c>
      <c r="F66" s="7">
        <v>218730280</v>
      </c>
      <c r="G66" s="42">
        <v>7415.13</v>
      </c>
    </row>
    <row r="67" spans="1:7" ht="14.25" customHeight="1">
      <c r="A67" s="41">
        <v>42410</v>
      </c>
      <c r="B67" s="7">
        <v>7264.3</v>
      </c>
      <c r="C67" s="7">
        <v>7271.85</v>
      </c>
      <c r="D67" s="7">
        <v>7177.75</v>
      </c>
      <c r="E67" s="7">
        <v>7215.7</v>
      </c>
      <c r="F67" s="7">
        <v>254481339</v>
      </c>
      <c r="G67" s="42">
        <v>8129.65</v>
      </c>
    </row>
    <row r="68" spans="1:7" ht="14.25" customHeight="1">
      <c r="A68" s="41">
        <v>42411</v>
      </c>
      <c r="B68" s="7">
        <v>7203.6</v>
      </c>
      <c r="C68" s="7">
        <v>7208.65</v>
      </c>
      <c r="D68" s="7">
        <v>6959.95</v>
      </c>
      <c r="E68" s="7">
        <v>6976.35</v>
      </c>
      <c r="F68" s="7">
        <v>301302956</v>
      </c>
      <c r="G68" s="42">
        <v>9250.27</v>
      </c>
    </row>
    <row r="69" spans="1:7" ht="14.25" customHeight="1">
      <c r="A69" s="41">
        <v>42412</v>
      </c>
      <c r="B69" s="7">
        <v>7023.65</v>
      </c>
      <c r="C69" s="7">
        <v>7034.8</v>
      </c>
      <c r="D69" s="7">
        <v>6869</v>
      </c>
      <c r="E69" s="7">
        <v>6980.95</v>
      </c>
      <c r="F69" s="7">
        <v>344210729</v>
      </c>
      <c r="G69" s="42">
        <v>11062.63</v>
      </c>
    </row>
    <row r="70" spans="1:7" ht="14.25" customHeight="1">
      <c r="A70" s="41">
        <v>42415</v>
      </c>
      <c r="B70" s="7">
        <v>7057.35</v>
      </c>
      <c r="C70" s="7">
        <v>7182.8</v>
      </c>
      <c r="D70" s="7">
        <v>7056.8</v>
      </c>
      <c r="E70" s="7">
        <v>7162.95</v>
      </c>
      <c r="F70" s="7">
        <v>365217073</v>
      </c>
      <c r="G70" s="42">
        <v>10204.34</v>
      </c>
    </row>
    <row r="71" spans="1:7" ht="14.25" customHeight="1">
      <c r="A71" s="41">
        <v>42416</v>
      </c>
      <c r="B71" s="7">
        <v>7201.25</v>
      </c>
      <c r="C71" s="7">
        <v>7204.65</v>
      </c>
      <c r="D71" s="7">
        <v>7037.7</v>
      </c>
      <c r="E71" s="7">
        <v>7048.25</v>
      </c>
      <c r="F71" s="7">
        <v>261607451</v>
      </c>
      <c r="G71" s="42">
        <v>7638.39</v>
      </c>
    </row>
    <row r="72" spans="1:7" ht="14.25" customHeight="1">
      <c r="A72" s="41">
        <v>42417</v>
      </c>
      <c r="B72" s="7">
        <v>7058.85</v>
      </c>
      <c r="C72" s="7">
        <v>7123.7</v>
      </c>
      <c r="D72" s="7">
        <v>6960.65</v>
      </c>
      <c r="E72" s="7">
        <v>7108.45</v>
      </c>
      <c r="F72" s="7">
        <v>268017961</v>
      </c>
      <c r="G72" s="42">
        <v>7686.32</v>
      </c>
    </row>
    <row r="73" spans="1:7" ht="14.25" customHeight="1">
      <c r="A73" s="41">
        <v>42418</v>
      </c>
      <c r="B73" s="7">
        <v>7177.4</v>
      </c>
      <c r="C73" s="7">
        <v>7215.1</v>
      </c>
      <c r="D73" s="7">
        <v>7127.85</v>
      </c>
      <c r="E73" s="7">
        <v>7191.75</v>
      </c>
      <c r="F73" s="7">
        <v>254331498</v>
      </c>
      <c r="G73" s="42">
        <v>8051.51</v>
      </c>
    </row>
    <row r="74" spans="1:7" ht="14.25" customHeight="1">
      <c r="A74" s="41">
        <v>42419</v>
      </c>
      <c r="B74" s="7">
        <v>7170.55</v>
      </c>
      <c r="C74" s="7">
        <v>7226.85</v>
      </c>
      <c r="D74" s="7">
        <v>7145.95</v>
      </c>
      <c r="E74" s="7">
        <v>7210.75</v>
      </c>
      <c r="F74" s="7">
        <v>198206480</v>
      </c>
      <c r="G74" s="42">
        <v>6156.58</v>
      </c>
    </row>
    <row r="75" spans="1:7" ht="14.25" customHeight="1">
      <c r="A75" s="41">
        <v>42422</v>
      </c>
      <c r="B75" s="7">
        <v>7208.85</v>
      </c>
      <c r="C75" s="7">
        <v>7252.4</v>
      </c>
      <c r="D75" s="7">
        <v>7200.7</v>
      </c>
      <c r="E75" s="7">
        <v>7234.55</v>
      </c>
      <c r="F75" s="7">
        <v>159162842</v>
      </c>
      <c r="G75" s="42">
        <v>5832.89</v>
      </c>
    </row>
    <row r="76" spans="1:7" ht="14.25" customHeight="1">
      <c r="A76" s="41">
        <v>42423</v>
      </c>
      <c r="B76" s="7">
        <v>7240.3</v>
      </c>
      <c r="C76" s="7">
        <v>7241.7</v>
      </c>
      <c r="D76" s="7">
        <v>7090.7</v>
      </c>
      <c r="E76" s="7">
        <v>7109.55</v>
      </c>
      <c r="F76" s="7">
        <v>200396978</v>
      </c>
      <c r="G76" s="42">
        <v>6433.16</v>
      </c>
    </row>
    <row r="77" spans="1:7" ht="14.25" customHeight="1">
      <c r="A77" s="41">
        <v>42424</v>
      </c>
      <c r="B77" s="7">
        <v>7075</v>
      </c>
      <c r="C77" s="7">
        <v>7090.8</v>
      </c>
      <c r="D77" s="7">
        <v>7009.75</v>
      </c>
      <c r="E77" s="7">
        <v>7018.7</v>
      </c>
      <c r="F77" s="7">
        <v>205898417</v>
      </c>
      <c r="G77" s="42">
        <v>6497.18</v>
      </c>
    </row>
    <row r="78" spans="1:7" ht="14.25" customHeight="1">
      <c r="A78" s="41">
        <v>42425</v>
      </c>
      <c r="B78" s="7">
        <v>7029.85</v>
      </c>
      <c r="C78" s="7">
        <v>7034.2</v>
      </c>
      <c r="D78" s="7">
        <v>6961.4</v>
      </c>
      <c r="E78" s="7">
        <v>6970.6</v>
      </c>
      <c r="F78" s="7">
        <v>291932544</v>
      </c>
      <c r="G78" s="42">
        <v>9090.16</v>
      </c>
    </row>
    <row r="79" spans="1:7" ht="14.25" customHeight="1">
      <c r="A79" s="41">
        <v>42426</v>
      </c>
      <c r="B79" s="7">
        <v>7039.3</v>
      </c>
      <c r="C79" s="7">
        <v>7052.9</v>
      </c>
      <c r="D79" s="7">
        <v>6985.1</v>
      </c>
      <c r="E79" s="7">
        <v>7029.75</v>
      </c>
      <c r="F79" s="7">
        <v>213142575</v>
      </c>
      <c r="G79" s="42">
        <v>6880.96</v>
      </c>
    </row>
    <row r="80" spans="1:7" ht="14.25" customHeight="1">
      <c r="A80" s="41">
        <v>42429</v>
      </c>
      <c r="B80" s="7">
        <v>7050.45</v>
      </c>
      <c r="C80" s="7">
        <v>7094.6</v>
      </c>
      <c r="D80" s="7">
        <v>6825.8</v>
      </c>
      <c r="E80" s="7">
        <v>6987.05</v>
      </c>
      <c r="F80" s="7">
        <v>487969285</v>
      </c>
      <c r="G80" s="42">
        <v>15992.15</v>
      </c>
    </row>
    <row r="81" spans="1:7" ht="14.25" customHeight="1">
      <c r="A81" s="41">
        <v>42430</v>
      </c>
      <c r="B81" s="7">
        <v>7038.25</v>
      </c>
      <c r="C81" s="7">
        <v>7235.5</v>
      </c>
      <c r="D81" s="7">
        <v>7035.1</v>
      </c>
      <c r="E81" s="7">
        <v>7222.3</v>
      </c>
      <c r="F81" s="7">
        <v>283561570</v>
      </c>
      <c r="G81" s="42">
        <v>9896.58</v>
      </c>
    </row>
    <row r="82" spans="1:7" ht="14.25" customHeight="1">
      <c r="A82" s="41">
        <v>42431</v>
      </c>
      <c r="B82" s="7">
        <v>7321.7</v>
      </c>
      <c r="C82" s="7">
        <v>7380.35</v>
      </c>
      <c r="D82" s="7">
        <v>7308.15</v>
      </c>
      <c r="E82" s="7">
        <v>7368.85</v>
      </c>
      <c r="F82" s="7">
        <v>348965708</v>
      </c>
      <c r="G82" s="42">
        <v>10983.06</v>
      </c>
    </row>
    <row r="83" spans="1:7" ht="14.25" customHeight="1">
      <c r="A83" s="41">
        <v>42432</v>
      </c>
      <c r="B83" s="7">
        <v>7429.55</v>
      </c>
      <c r="C83" s="7">
        <v>7483.95</v>
      </c>
      <c r="D83" s="7">
        <v>7406.05</v>
      </c>
      <c r="E83" s="7">
        <v>7475.6</v>
      </c>
      <c r="F83" s="7">
        <v>287248532</v>
      </c>
      <c r="G83" s="42">
        <v>9255.43</v>
      </c>
    </row>
    <row r="84" spans="1:7" ht="14.25" customHeight="1">
      <c r="A84" s="41">
        <v>42433</v>
      </c>
      <c r="B84" s="7">
        <v>7505.4</v>
      </c>
      <c r="C84" s="7">
        <v>7505.9</v>
      </c>
      <c r="D84" s="7">
        <v>7444.1</v>
      </c>
      <c r="E84" s="7">
        <v>7485.35</v>
      </c>
      <c r="F84" s="7">
        <v>290441230</v>
      </c>
      <c r="G84" s="42">
        <v>8135.06</v>
      </c>
    </row>
    <row r="85" spans="1:7" ht="14.25" customHeight="1">
      <c r="A85" s="41">
        <v>42437</v>
      </c>
      <c r="B85" s="7">
        <v>7486.4</v>
      </c>
      <c r="C85" s="7">
        <v>7527.15</v>
      </c>
      <c r="D85" s="7">
        <v>7442.15</v>
      </c>
      <c r="E85" s="7">
        <v>7485.3</v>
      </c>
      <c r="F85" s="7">
        <v>264945393</v>
      </c>
      <c r="G85" s="42">
        <v>8417.86</v>
      </c>
    </row>
    <row r="86" spans="1:7" ht="14.25" customHeight="1">
      <c r="A86" s="41">
        <v>42438</v>
      </c>
      <c r="B86" s="7">
        <v>7436.1</v>
      </c>
      <c r="C86" s="7">
        <v>7539</v>
      </c>
      <c r="D86" s="7">
        <v>7424.3</v>
      </c>
      <c r="E86" s="7">
        <v>7531.8</v>
      </c>
      <c r="F86" s="7">
        <v>252709391</v>
      </c>
      <c r="G86" s="42">
        <v>9036.2900000000009</v>
      </c>
    </row>
    <row r="87" spans="1:7" ht="14.25" customHeight="1">
      <c r="A87" s="41">
        <v>42439</v>
      </c>
      <c r="B87" s="7">
        <v>7545.35</v>
      </c>
      <c r="C87" s="7">
        <v>7547.1</v>
      </c>
      <c r="D87" s="7">
        <v>7447.4</v>
      </c>
      <c r="E87" s="7">
        <v>7486.15</v>
      </c>
      <c r="F87" s="7">
        <v>231584305</v>
      </c>
      <c r="G87" s="42">
        <v>8875.92</v>
      </c>
    </row>
    <row r="88" spans="1:7" ht="14.25" customHeight="1">
      <c r="A88" s="41">
        <v>42440</v>
      </c>
      <c r="B88" s="7">
        <v>7484.85</v>
      </c>
      <c r="C88" s="7">
        <v>7543.95</v>
      </c>
      <c r="D88" s="7">
        <v>7460.6</v>
      </c>
      <c r="E88" s="7">
        <v>7510.2</v>
      </c>
      <c r="F88" s="7">
        <v>204806572</v>
      </c>
      <c r="G88" s="42">
        <v>7558.55</v>
      </c>
    </row>
    <row r="89" spans="1:7" ht="14.25" customHeight="1">
      <c r="A89" s="41">
        <v>42443</v>
      </c>
      <c r="B89" s="7">
        <v>7542.6</v>
      </c>
      <c r="C89" s="7">
        <v>7583.7</v>
      </c>
      <c r="D89" s="7">
        <v>7515.05</v>
      </c>
      <c r="E89" s="7">
        <v>7538.75</v>
      </c>
      <c r="F89" s="7">
        <v>172067214</v>
      </c>
      <c r="G89" s="42">
        <v>6330.45</v>
      </c>
    </row>
    <row r="90" spans="1:7" ht="14.25" customHeight="1">
      <c r="A90" s="41">
        <v>42444</v>
      </c>
      <c r="B90" s="7">
        <v>7535.85</v>
      </c>
      <c r="C90" s="7">
        <v>7545.2</v>
      </c>
      <c r="D90" s="7">
        <v>7452.8</v>
      </c>
      <c r="E90" s="7">
        <v>7460.6</v>
      </c>
      <c r="F90" s="7">
        <v>199653871</v>
      </c>
      <c r="G90" s="42">
        <v>7577.78</v>
      </c>
    </row>
    <row r="91" spans="1:7" ht="14.25" customHeight="1">
      <c r="A91" s="41">
        <v>42445</v>
      </c>
      <c r="B91" s="7">
        <v>7457.05</v>
      </c>
      <c r="C91" s="7">
        <v>7508</v>
      </c>
      <c r="D91" s="7">
        <v>7405.15</v>
      </c>
      <c r="E91" s="7">
        <v>7498.75</v>
      </c>
      <c r="F91" s="7">
        <v>201430035</v>
      </c>
      <c r="G91" s="42">
        <v>7102.59</v>
      </c>
    </row>
    <row r="92" spans="1:7" ht="14.25" customHeight="1">
      <c r="A92" s="41">
        <v>42446</v>
      </c>
      <c r="B92" s="7">
        <v>7557.4</v>
      </c>
      <c r="C92" s="7">
        <v>7585.3</v>
      </c>
      <c r="D92" s="7">
        <v>7479.4</v>
      </c>
      <c r="E92" s="7">
        <v>7512.55</v>
      </c>
      <c r="F92" s="7">
        <v>247043954</v>
      </c>
      <c r="G92" s="42">
        <v>9539.89</v>
      </c>
    </row>
    <row r="93" spans="1:7" ht="14.25" customHeight="1">
      <c r="A93" s="41">
        <v>42447</v>
      </c>
      <c r="B93" s="7">
        <v>7534.65</v>
      </c>
      <c r="C93" s="7">
        <v>7613.6</v>
      </c>
      <c r="D93" s="7">
        <v>7517.9</v>
      </c>
      <c r="E93" s="7">
        <v>7604.35</v>
      </c>
      <c r="F93" s="7">
        <v>244727490</v>
      </c>
      <c r="G93" s="42">
        <v>9971.59</v>
      </c>
    </row>
    <row r="94" spans="1:7" ht="14.25" customHeight="1">
      <c r="A94" s="41">
        <v>42450</v>
      </c>
      <c r="B94" s="7">
        <v>7619.2</v>
      </c>
      <c r="C94" s="7">
        <v>7713.55</v>
      </c>
      <c r="D94" s="7">
        <v>7617.7</v>
      </c>
      <c r="E94" s="7">
        <v>7704.25</v>
      </c>
      <c r="F94" s="7">
        <v>202853386</v>
      </c>
      <c r="G94" s="42">
        <v>8381.51</v>
      </c>
    </row>
    <row r="95" spans="1:7" ht="14.25" customHeight="1">
      <c r="A95" s="41">
        <v>42451</v>
      </c>
      <c r="B95" s="7">
        <v>7695.55</v>
      </c>
      <c r="C95" s="7">
        <v>7728.2</v>
      </c>
      <c r="D95" s="7">
        <v>7643.8</v>
      </c>
      <c r="E95" s="7">
        <v>7714.9</v>
      </c>
      <c r="F95" s="7">
        <v>215355848</v>
      </c>
      <c r="G95" s="42">
        <v>8628.0499999999993</v>
      </c>
    </row>
    <row r="96" spans="1:7" ht="14.25" customHeight="1">
      <c r="A96" s="41">
        <v>42452</v>
      </c>
      <c r="B96" s="7">
        <v>7717.45</v>
      </c>
      <c r="C96" s="7">
        <v>7726.85</v>
      </c>
      <c r="D96" s="7">
        <v>7670.6</v>
      </c>
      <c r="E96" s="7">
        <v>7716.5</v>
      </c>
      <c r="F96" s="7">
        <v>205794773</v>
      </c>
      <c r="G96" s="42">
        <v>7612.54</v>
      </c>
    </row>
    <row r="97" spans="1:7" ht="14.25" customHeight="1">
      <c r="A97" s="41">
        <v>42457</v>
      </c>
      <c r="B97" s="7">
        <v>7741</v>
      </c>
      <c r="C97" s="7">
        <v>7749.4</v>
      </c>
      <c r="D97" s="7">
        <v>7587.7</v>
      </c>
      <c r="E97" s="7">
        <v>7615.1</v>
      </c>
      <c r="F97" s="7">
        <v>249905118</v>
      </c>
      <c r="G97" s="42">
        <v>10102.36</v>
      </c>
    </row>
    <row r="98" spans="1:7" ht="14.25" customHeight="1">
      <c r="A98" s="41">
        <v>42458</v>
      </c>
      <c r="B98" s="7">
        <v>7606.55</v>
      </c>
      <c r="C98" s="7">
        <v>7652.9</v>
      </c>
      <c r="D98" s="7">
        <v>7582.25</v>
      </c>
      <c r="E98" s="7">
        <v>7597</v>
      </c>
      <c r="F98" s="7">
        <v>223493457</v>
      </c>
      <c r="G98" s="42">
        <v>10474.75</v>
      </c>
    </row>
    <row r="99" spans="1:7" ht="14.25" customHeight="1">
      <c r="A99" s="41">
        <v>42459</v>
      </c>
      <c r="B99" s="7">
        <v>7651.1</v>
      </c>
      <c r="C99" s="7">
        <v>7741.95</v>
      </c>
      <c r="D99" s="7">
        <v>7643.45</v>
      </c>
      <c r="E99" s="7">
        <v>7735.2</v>
      </c>
      <c r="F99" s="7">
        <v>239843751</v>
      </c>
      <c r="G99" s="42">
        <v>9908.6</v>
      </c>
    </row>
    <row r="100" spans="1:7" ht="14.25" customHeight="1">
      <c r="A100" s="41">
        <v>42460</v>
      </c>
      <c r="B100" s="7">
        <v>7727.65</v>
      </c>
      <c r="C100" s="7">
        <v>7777.6</v>
      </c>
      <c r="D100" s="7">
        <v>7702</v>
      </c>
      <c r="E100" s="7">
        <v>7738.4</v>
      </c>
      <c r="F100" s="7">
        <v>391914059</v>
      </c>
      <c r="G100" s="42">
        <v>15918.74</v>
      </c>
    </row>
    <row r="101" spans="1:7" ht="14.25" customHeight="1">
      <c r="A101" s="41">
        <v>42461</v>
      </c>
      <c r="B101" s="7">
        <v>7718.05</v>
      </c>
      <c r="C101" s="7">
        <v>7740.15</v>
      </c>
      <c r="D101" s="7">
        <v>7666.1</v>
      </c>
      <c r="E101" s="7">
        <v>7713.05</v>
      </c>
      <c r="F101" s="7">
        <v>189571551</v>
      </c>
      <c r="G101" s="42">
        <v>8118.47</v>
      </c>
    </row>
    <row r="102" spans="1:7" ht="14.25" customHeight="1">
      <c r="A102" s="41">
        <v>42464</v>
      </c>
      <c r="B102" s="7">
        <v>7733.15</v>
      </c>
      <c r="C102" s="7">
        <v>7764.45</v>
      </c>
      <c r="D102" s="7">
        <v>7704.4</v>
      </c>
      <c r="E102" s="7">
        <v>7758.8</v>
      </c>
      <c r="F102" s="7">
        <v>160277940</v>
      </c>
      <c r="G102" s="42">
        <v>6506.44</v>
      </c>
    </row>
    <row r="103" spans="1:7" ht="14.25" customHeight="1">
      <c r="A103" s="41">
        <v>42465</v>
      </c>
      <c r="B103" s="7">
        <v>7736.3</v>
      </c>
      <c r="C103" s="7">
        <v>7736.3</v>
      </c>
      <c r="D103" s="7">
        <v>7588.65</v>
      </c>
      <c r="E103" s="7">
        <v>7603.2</v>
      </c>
      <c r="F103" s="7">
        <v>210126897</v>
      </c>
      <c r="G103" s="42">
        <v>8412.34</v>
      </c>
    </row>
    <row r="104" spans="1:7" ht="14.25" customHeight="1">
      <c r="A104" s="41">
        <v>42466</v>
      </c>
      <c r="B104" s="7">
        <v>7636.05</v>
      </c>
      <c r="C104" s="7">
        <v>7638.65</v>
      </c>
      <c r="D104" s="7">
        <v>7591.75</v>
      </c>
      <c r="E104" s="7">
        <v>7614.35</v>
      </c>
      <c r="F104" s="7">
        <v>170653808</v>
      </c>
      <c r="G104" s="42">
        <v>6802.69</v>
      </c>
    </row>
    <row r="105" spans="1:7" ht="14.25" customHeight="1">
      <c r="A105" s="41">
        <v>42467</v>
      </c>
      <c r="B105" s="7">
        <v>7630.4</v>
      </c>
      <c r="C105" s="7">
        <v>7630.75</v>
      </c>
      <c r="D105" s="7">
        <v>7535.85</v>
      </c>
      <c r="E105" s="7">
        <v>7546.45</v>
      </c>
      <c r="F105" s="7">
        <v>241684050</v>
      </c>
      <c r="G105" s="42">
        <v>7709.23</v>
      </c>
    </row>
    <row r="106" spans="1:7" ht="14.25" customHeight="1">
      <c r="A106" s="41">
        <v>42468</v>
      </c>
      <c r="B106" s="7">
        <v>7542.35</v>
      </c>
      <c r="C106" s="7">
        <v>7569.35</v>
      </c>
      <c r="D106" s="7">
        <v>7526.7</v>
      </c>
      <c r="E106" s="7">
        <v>7555.2</v>
      </c>
      <c r="F106" s="7">
        <v>147816460</v>
      </c>
      <c r="G106" s="42">
        <v>5981.23</v>
      </c>
    </row>
    <row r="107" spans="1:7" ht="14.25" customHeight="1">
      <c r="A107" s="41">
        <v>42471</v>
      </c>
      <c r="B107" s="7">
        <v>7577.8</v>
      </c>
      <c r="C107" s="7">
        <v>7678.8</v>
      </c>
      <c r="D107" s="7">
        <v>7516.85</v>
      </c>
      <c r="E107" s="7">
        <v>7671.4</v>
      </c>
      <c r="F107" s="7">
        <v>185353268</v>
      </c>
      <c r="G107" s="42">
        <v>7055.61</v>
      </c>
    </row>
    <row r="108" spans="1:7" ht="14.25" customHeight="1">
      <c r="A108" s="41">
        <v>42472</v>
      </c>
      <c r="B108" s="7">
        <v>7669.25</v>
      </c>
      <c r="C108" s="7">
        <v>7717.4</v>
      </c>
      <c r="D108" s="7">
        <v>7663.35</v>
      </c>
      <c r="E108" s="7">
        <v>7708.95</v>
      </c>
      <c r="F108" s="7">
        <v>168508978</v>
      </c>
      <c r="G108" s="42">
        <v>6945.44</v>
      </c>
    </row>
    <row r="109" spans="1:7" ht="14.25" customHeight="1">
      <c r="A109" s="41">
        <v>42473</v>
      </c>
      <c r="B109" s="7">
        <v>7777.15</v>
      </c>
      <c r="C109" s="7">
        <v>7864.8</v>
      </c>
      <c r="D109" s="7">
        <v>7772.2</v>
      </c>
      <c r="E109" s="7">
        <v>7850.45</v>
      </c>
      <c r="F109" s="7">
        <v>227217288</v>
      </c>
      <c r="G109" s="42">
        <v>10071.44</v>
      </c>
    </row>
    <row r="110" spans="1:7" ht="14.25" customHeight="1">
      <c r="A110" s="41">
        <v>42478</v>
      </c>
      <c r="B110" s="7">
        <v>7908.15</v>
      </c>
      <c r="C110" s="7">
        <v>7920.6</v>
      </c>
      <c r="D110" s="7">
        <v>7842.75</v>
      </c>
      <c r="E110" s="7">
        <v>7914.7</v>
      </c>
      <c r="F110" s="7">
        <v>190258561</v>
      </c>
      <c r="G110" s="42">
        <v>10356.030000000001</v>
      </c>
    </row>
    <row r="111" spans="1:7" ht="14.25" customHeight="1">
      <c r="A111" s="41">
        <v>42480</v>
      </c>
      <c r="B111" s="7">
        <v>7950.05</v>
      </c>
      <c r="C111" s="7">
        <v>7950.4</v>
      </c>
      <c r="D111" s="7">
        <v>7877.55</v>
      </c>
      <c r="E111" s="7">
        <v>7914.75</v>
      </c>
      <c r="F111" s="7">
        <v>211630060</v>
      </c>
      <c r="G111" s="42">
        <v>10069.83</v>
      </c>
    </row>
    <row r="112" spans="1:7" ht="14.25" customHeight="1">
      <c r="A112" s="41">
        <v>42481</v>
      </c>
      <c r="B112" s="7">
        <v>7953.65</v>
      </c>
      <c r="C112" s="7">
        <v>7978.45</v>
      </c>
      <c r="D112" s="7">
        <v>7884.1</v>
      </c>
      <c r="E112" s="7">
        <v>7912.05</v>
      </c>
      <c r="F112" s="7">
        <v>230577117</v>
      </c>
      <c r="G112" s="42">
        <v>9613.2999999999993</v>
      </c>
    </row>
    <row r="113" spans="1:7" ht="14.25" customHeight="1">
      <c r="A113" s="41">
        <v>42482</v>
      </c>
      <c r="B113" s="7">
        <v>7891.8</v>
      </c>
      <c r="C113" s="7">
        <v>7923.35</v>
      </c>
      <c r="D113" s="7">
        <v>7873.35</v>
      </c>
      <c r="E113" s="7">
        <v>7899.3</v>
      </c>
      <c r="F113" s="7">
        <v>188988540</v>
      </c>
      <c r="G113" s="42">
        <v>7714.04</v>
      </c>
    </row>
    <row r="114" spans="1:7" ht="14.25" customHeight="1">
      <c r="A114" s="41">
        <v>42485</v>
      </c>
      <c r="B114" s="7">
        <v>7894.8</v>
      </c>
      <c r="C114" s="7">
        <v>7911</v>
      </c>
      <c r="D114" s="7">
        <v>7827</v>
      </c>
      <c r="E114" s="7">
        <v>7855.05</v>
      </c>
      <c r="F114" s="7">
        <v>150776959</v>
      </c>
      <c r="G114" s="42">
        <v>7362.13</v>
      </c>
    </row>
    <row r="115" spans="1:7" ht="14.25" customHeight="1">
      <c r="A115" s="41">
        <v>42486</v>
      </c>
      <c r="B115" s="7">
        <v>7828.15</v>
      </c>
      <c r="C115" s="7">
        <v>7974.5</v>
      </c>
      <c r="D115" s="7">
        <v>7822.55</v>
      </c>
      <c r="E115" s="7">
        <v>7962.65</v>
      </c>
      <c r="F115" s="7">
        <v>208656803</v>
      </c>
      <c r="G115" s="42">
        <v>9686.2099999999991</v>
      </c>
    </row>
    <row r="116" spans="1:7" ht="14.25" customHeight="1">
      <c r="A116" s="41">
        <v>42487</v>
      </c>
      <c r="B116" s="7">
        <v>7942</v>
      </c>
      <c r="C116" s="7">
        <v>7991</v>
      </c>
      <c r="D116" s="7">
        <v>7940.55</v>
      </c>
      <c r="E116" s="7">
        <v>7979.9</v>
      </c>
      <c r="F116" s="7">
        <v>213174058</v>
      </c>
      <c r="G116" s="42">
        <v>9669.0400000000009</v>
      </c>
    </row>
    <row r="117" spans="1:7" ht="14.25" customHeight="1">
      <c r="A117" s="41">
        <v>42488</v>
      </c>
      <c r="B117" s="7">
        <v>7967.4</v>
      </c>
      <c r="C117" s="7">
        <v>7992</v>
      </c>
      <c r="D117" s="7">
        <v>7834.45</v>
      </c>
      <c r="E117" s="7">
        <v>7847.25</v>
      </c>
      <c r="F117" s="7">
        <v>301485186</v>
      </c>
      <c r="G117" s="42">
        <v>14943.3</v>
      </c>
    </row>
    <row r="118" spans="1:7" ht="14.25" customHeight="1">
      <c r="A118" s="41">
        <v>42489</v>
      </c>
      <c r="B118" s="7">
        <v>7844.25</v>
      </c>
      <c r="C118" s="7">
        <v>7889.05</v>
      </c>
      <c r="D118" s="7">
        <v>7788.7</v>
      </c>
      <c r="E118" s="7">
        <v>7849.8</v>
      </c>
      <c r="F118" s="7">
        <v>251227047</v>
      </c>
      <c r="G118" s="42">
        <v>9872.58</v>
      </c>
    </row>
    <row r="119" spans="1:7" ht="14.25" customHeight="1">
      <c r="A119" s="41">
        <v>42492</v>
      </c>
      <c r="B119" s="7">
        <v>7822.7</v>
      </c>
      <c r="C119" s="7">
        <v>7829.8</v>
      </c>
      <c r="D119" s="7">
        <v>7777.3</v>
      </c>
      <c r="E119" s="7">
        <v>7805.9</v>
      </c>
      <c r="F119" s="7">
        <v>150818181</v>
      </c>
      <c r="G119" s="42">
        <v>6079.16</v>
      </c>
    </row>
    <row r="120" spans="1:7" ht="14.25" customHeight="1">
      <c r="A120" s="41">
        <v>42493</v>
      </c>
      <c r="B120" s="7">
        <v>7824.8</v>
      </c>
      <c r="C120" s="7">
        <v>7890.25</v>
      </c>
      <c r="D120" s="7">
        <v>7735.15</v>
      </c>
      <c r="E120" s="7">
        <v>7747</v>
      </c>
      <c r="F120" s="7">
        <v>192271370</v>
      </c>
      <c r="G120" s="42">
        <v>8536.83</v>
      </c>
    </row>
    <row r="121" spans="1:7" ht="14.25" customHeight="1">
      <c r="A121" s="41">
        <v>42494</v>
      </c>
      <c r="B121" s="7">
        <v>7724.15</v>
      </c>
      <c r="C121" s="7">
        <v>7749</v>
      </c>
      <c r="D121" s="7">
        <v>7697.25</v>
      </c>
      <c r="E121" s="7">
        <v>7706.55</v>
      </c>
      <c r="F121" s="7">
        <v>205939089</v>
      </c>
      <c r="G121" s="42">
        <v>7816.27</v>
      </c>
    </row>
    <row r="122" spans="1:7" ht="14.25" customHeight="1">
      <c r="A122" s="41">
        <v>42495</v>
      </c>
      <c r="B122" s="7">
        <v>7731</v>
      </c>
      <c r="C122" s="7">
        <v>7777.55</v>
      </c>
      <c r="D122" s="7">
        <v>7706.85</v>
      </c>
      <c r="E122" s="7">
        <v>7735.5</v>
      </c>
      <c r="F122" s="7">
        <v>190792828</v>
      </c>
      <c r="G122" s="42">
        <v>8089.45</v>
      </c>
    </row>
    <row r="123" spans="1:7" ht="14.25" customHeight="1">
      <c r="A123" s="41">
        <v>42496</v>
      </c>
      <c r="B123" s="7">
        <v>7717.65</v>
      </c>
      <c r="C123" s="7">
        <v>7738.9</v>
      </c>
      <c r="D123" s="7">
        <v>7678.35</v>
      </c>
      <c r="E123" s="7">
        <v>7733.45</v>
      </c>
      <c r="F123" s="7">
        <v>168662226</v>
      </c>
      <c r="G123" s="42">
        <v>6296.51</v>
      </c>
    </row>
    <row r="124" spans="1:7" ht="14.25" customHeight="1">
      <c r="A124" s="41">
        <v>42499</v>
      </c>
      <c r="B124" s="7">
        <v>7755.25</v>
      </c>
      <c r="C124" s="7">
        <v>7873.65</v>
      </c>
      <c r="D124" s="7">
        <v>7753.55</v>
      </c>
      <c r="E124" s="7">
        <v>7866.05</v>
      </c>
      <c r="F124" s="7">
        <v>165616829</v>
      </c>
      <c r="G124" s="42">
        <v>7559.77</v>
      </c>
    </row>
    <row r="125" spans="1:7" ht="14.25" customHeight="1">
      <c r="A125" s="41">
        <v>42500</v>
      </c>
      <c r="B125" s="7">
        <v>7873.55</v>
      </c>
      <c r="C125" s="7">
        <v>7896.9</v>
      </c>
      <c r="D125" s="7">
        <v>7837.7</v>
      </c>
      <c r="E125" s="7">
        <v>7887.8</v>
      </c>
      <c r="F125" s="7">
        <v>166957276</v>
      </c>
      <c r="G125" s="42">
        <v>7306.72</v>
      </c>
    </row>
    <row r="126" spans="1:7" ht="14.25" customHeight="1">
      <c r="A126" s="41">
        <v>42501</v>
      </c>
      <c r="B126" s="7">
        <v>7804.65</v>
      </c>
      <c r="C126" s="7">
        <v>7893.1</v>
      </c>
      <c r="D126" s="7">
        <v>7780.9</v>
      </c>
      <c r="E126" s="7">
        <v>7848.85</v>
      </c>
      <c r="F126" s="7">
        <v>220712496</v>
      </c>
      <c r="G126" s="42">
        <v>9394.0499999999993</v>
      </c>
    </row>
    <row r="127" spans="1:7" ht="14.25" customHeight="1">
      <c r="A127" s="41">
        <v>42502</v>
      </c>
      <c r="B127" s="7">
        <v>7871.45</v>
      </c>
      <c r="C127" s="7">
        <v>7916.05</v>
      </c>
      <c r="D127" s="7">
        <v>7849.65</v>
      </c>
      <c r="E127" s="7">
        <v>7900.4</v>
      </c>
      <c r="F127" s="7">
        <v>157444918</v>
      </c>
      <c r="G127" s="42">
        <v>7171.91</v>
      </c>
    </row>
    <row r="128" spans="1:7" ht="14.25" customHeight="1">
      <c r="A128" s="41">
        <v>42503</v>
      </c>
      <c r="B128" s="7">
        <v>7881</v>
      </c>
      <c r="C128" s="7">
        <v>7881</v>
      </c>
      <c r="D128" s="7">
        <v>7784.2</v>
      </c>
      <c r="E128" s="7">
        <v>7814.9</v>
      </c>
      <c r="F128" s="7">
        <v>185061782</v>
      </c>
      <c r="G128" s="42">
        <v>10152.08</v>
      </c>
    </row>
    <row r="129" spans="1:7" ht="14.25" customHeight="1">
      <c r="A129" s="41">
        <v>42506</v>
      </c>
      <c r="B129" s="7">
        <v>7831.2</v>
      </c>
      <c r="C129" s="7">
        <v>7873.9</v>
      </c>
      <c r="D129" s="7">
        <v>7772.15</v>
      </c>
      <c r="E129" s="7">
        <v>7860.75</v>
      </c>
      <c r="F129" s="7">
        <v>211547775</v>
      </c>
      <c r="G129" s="42">
        <v>7790.24</v>
      </c>
    </row>
    <row r="130" spans="1:7" ht="14.25" customHeight="1">
      <c r="A130" s="41">
        <v>42507</v>
      </c>
      <c r="B130" s="7">
        <v>7896.85</v>
      </c>
      <c r="C130" s="7">
        <v>7940.1</v>
      </c>
      <c r="D130" s="7">
        <v>7879.7</v>
      </c>
      <c r="E130" s="7">
        <v>7890.75</v>
      </c>
      <c r="F130" s="7">
        <v>189140810</v>
      </c>
      <c r="G130" s="42">
        <v>8195.9500000000007</v>
      </c>
    </row>
    <row r="131" spans="1:7" ht="14.25" customHeight="1">
      <c r="A131" s="41">
        <v>42508</v>
      </c>
      <c r="B131" s="7">
        <v>7846.75</v>
      </c>
      <c r="C131" s="7">
        <v>7882.05</v>
      </c>
      <c r="D131" s="7">
        <v>7810.75</v>
      </c>
      <c r="E131" s="7">
        <v>7870.15</v>
      </c>
      <c r="F131" s="7">
        <v>161169418</v>
      </c>
      <c r="G131" s="42">
        <v>7333.13</v>
      </c>
    </row>
    <row r="132" spans="1:7" ht="14.25" customHeight="1">
      <c r="A132" s="41">
        <v>42509</v>
      </c>
      <c r="B132" s="7">
        <v>7875.5</v>
      </c>
      <c r="C132" s="7">
        <v>7876.2</v>
      </c>
      <c r="D132" s="7">
        <v>7766.8</v>
      </c>
      <c r="E132" s="7">
        <v>7783.4</v>
      </c>
      <c r="F132" s="7">
        <v>175711829</v>
      </c>
      <c r="G132" s="42">
        <v>7163.38</v>
      </c>
    </row>
    <row r="133" spans="1:7" ht="14.25" customHeight="1">
      <c r="A133" s="41">
        <v>42510</v>
      </c>
      <c r="B133" s="7">
        <v>7792.2</v>
      </c>
      <c r="C133" s="7">
        <v>7812.4</v>
      </c>
      <c r="D133" s="7">
        <v>7735.75</v>
      </c>
      <c r="E133" s="7">
        <v>7749.7</v>
      </c>
      <c r="F133" s="7">
        <v>161889432</v>
      </c>
      <c r="G133" s="42">
        <v>6798.89</v>
      </c>
    </row>
    <row r="134" spans="1:7" ht="14.25" customHeight="1">
      <c r="A134" s="41">
        <v>42513</v>
      </c>
      <c r="B134" s="7">
        <v>7813.95</v>
      </c>
      <c r="C134" s="7">
        <v>7820.6</v>
      </c>
      <c r="D134" s="7">
        <v>7722.2</v>
      </c>
      <c r="E134" s="7">
        <v>7731.05</v>
      </c>
      <c r="F134" s="7">
        <v>177347948</v>
      </c>
      <c r="G134" s="42">
        <v>7141.74</v>
      </c>
    </row>
    <row r="135" spans="1:7" ht="14.25" customHeight="1">
      <c r="A135" s="41">
        <v>42514</v>
      </c>
      <c r="B135" s="7">
        <v>7738.05</v>
      </c>
      <c r="C135" s="7">
        <v>7761.55</v>
      </c>
      <c r="D135" s="7">
        <v>7715.8</v>
      </c>
      <c r="E135" s="7">
        <v>7748.85</v>
      </c>
      <c r="F135" s="7">
        <v>151538169</v>
      </c>
      <c r="G135" s="42">
        <v>6119.23</v>
      </c>
    </row>
    <row r="136" spans="1:7" ht="14.25" customHeight="1">
      <c r="A136" s="41">
        <v>42515</v>
      </c>
      <c r="B136" s="7">
        <v>7811.8</v>
      </c>
      <c r="C136" s="7">
        <v>7941.2</v>
      </c>
      <c r="D136" s="7">
        <v>7809.3</v>
      </c>
      <c r="E136" s="7">
        <v>7934.9</v>
      </c>
      <c r="F136" s="7">
        <v>181636649</v>
      </c>
      <c r="G136" s="42">
        <v>8202.39</v>
      </c>
    </row>
    <row r="137" spans="1:7" ht="14.25" customHeight="1">
      <c r="A137" s="41">
        <v>42516</v>
      </c>
      <c r="B137" s="7">
        <v>7974.45</v>
      </c>
      <c r="C137" s="7">
        <v>8083</v>
      </c>
      <c r="D137" s="7">
        <v>7948.5</v>
      </c>
      <c r="E137" s="7">
        <v>8069.65</v>
      </c>
      <c r="F137" s="7">
        <v>272456307</v>
      </c>
      <c r="G137" s="42">
        <v>12422</v>
      </c>
    </row>
    <row r="138" spans="1:7" ht="14.25" customHeight="1">
      <c r="A138" s="41">
        <v>42517</v>
      </c>
      <c r="B138" s="7">
        <v>8081.95</v>
      </c>
      <c r="C138" s="7">
        <v>8164.2</v>
      </c>
      <c r="D138" s="7">
        <v>8077.05</v>
      </c>
      <c r="E138" s="7">
        <v>8156.65</v>
      </c>
      <c r="F138" s="7">
        <v>268963949</v>
      </c>
      <c r="G138" s="42">
        <v>10607.22</v>
      </c>
    </row>
    <row r="139" spans="1:7" ht="14.25" customHeight="1">
      <c r="A139" s="41">
        <v>42520</v>
      </c>
      <c r="B139" s="7">
        <v>8166.5</v>
      </c>
      <c r="C139" s="7">
        <v>8200</v>
      </c>
      <c r="D139" s="7">
        <v>8150.8</v>
      </c>
      <c r="E139" s="7">
        <v>8178.5</v>
      </c>
      <c r="F139" s="7">
        <v>255086293</v>
      </c>
      <c r="G139" s="42">
        <v>9199.3799999999992</v>
      </c>
    </row>
    <row r="140" spans="1:7" ht="14.25" customHeight="1">
      <c r="A140" s="41">
        <v>42521</v>
      </c>
      <c r="B140" s="7">
        <v>8209.85</v>
      </c>
      <c r="C140" s="7">
        <v>8213.6</v>
      </c>
      <c r="D140" s="7">
        <v>8134.3</v>
      </c>
      <c r="E140" s="7">
        <v>8160.1</v>
      </c>
      <c r="F140" s="7">
        <v>485645737</v>
      </c>
      <c r="G140" s="42">
        <v>21491.53</v>
      </c>
    </row>
    <row r="141" spans="1:7" ht="14.25" customHeight="1">
      <c r="A141" s="41">
        <v>42522</v>
      </c>
      <c r="B141" s="7">
        <v>8179.2</v>
      </c>
      <c r="C141" s="7">
        <v>8215.35</v>
      </c>
      <c r="D141" s="7">
        <v>8171.05</v>
      </c>
      <c r="E141" s="7">
        <v>8179.95</v>
      </c>
      <c r="F141" s="7">
        <v>200371829</v>
      </c>
      <c r="G141" s="42">
        <v>8408.5300000000007</v>
      </c>
    </row>
    <row r="142" spans="1:7" ht="14.25" customHeight="1">
      <c r="A142" s="41">
        <v>42523</v>
      </c>
      <c r="B142" s="7">
        <v>8156.9</v>
      </c>
      <c r="C142" s="7">
        <v>8229.5</v>
      </c>
      <c r="D142" s="7">
        <v>8154.75</v>
      </c>
      <c r="E142" s="7">
        <v>8218.9500000000007</v>
      </c>
      <c r="F142" s="7">
        <v>187316365</v>
      </c>
      <c r="G142" s="42">
        <v>8389.69</v>
      </c>
    </row>
    <row r="143" spans="1:7" ht="14.25" customHeight="1">
      <c r="A143" s="41">
        <v>42524</v>
      </c>
      <c r="B143" s="7">
        <v>8246.2000000000007</v>
      </c>
      <c r="C143" s="7">
        <v>8262</v>
      </c>
      <c r="D143" s="7">
        <v>8209.85</v>
      </c>
      <c r="E143" s="7">
        <v>8220.7999999999993</v>
      </c>
      <c r="F143" s="7">
        <v>390652017</v>
      </c>
      <c r="G143" s="42">
        <v>10762.52</v>
      </c>
    </row>
    <row r="144" spans="1:7" ht="14.25" customHeight="1">
      <c r="A144" s="41">
        <v>42527</v>
      </c>
      <c r="B144" s="7">
        <v>8228.75</v>
      </c>
      <c r="C144" s="7">
        <v>8234.7000000000007</v>
      </c>
      <c r="D144" s="7">
        <v>8186.05</v>
      </c>
      <c r="E144" s="7">
        <v>8201.0499999999993</v>
      </c>
      <c r="F144" s="7">
        <v>176885226</v>
      </c>
      <c r="G144" s="42">
        <v>7657.92</v>
      </c>
    </row>
    <row r="145" spans="1:7" ht="14.25" customHeight="1">
      <c r="A145" s="41">
        <v>42528</v>
      </c>
      <c r="B145" s="7">
        <v>8235.5499999999993</v>
      </c>
      <c r="C145" s="7">
        <v>8294.9500000000007</v>
      </c>
      <c r="D145" s="7">
        <v>8216.4</v>
      </c>
      <c r="E145" s="7">
        <v>8266.4500000000007</v>
      </c>
      <c r="F145" s="7">
        <v>249365706</v>
      </c>
      <c r="G145" s="42">
        <v>10462.49</v>
      </c>
    </row>
    <row r="146" spans="1:7" ht="14.25" customHeight="1">
      <c r="A146" s="41">
        <v>42529</v>
      </c>
      <c r="B146" s="7">
        <v>8285.5</v>
      </c>
      <c r="C146" s="7">
        <v>8288.9</v>
      </c>
      <c r="D146" s="7">
        <v>8252.0499999999993</v>
      </c>
      <c r="E146" s="7">
        <v>8273.0499999999993</v>
      </c>
      <c r="F146" s="7">
        <v>179710369</v>
      </c>
      <c r="G146" s="42">
        <v>7614.02</v>
      </c>
    </row>
    <row r="147" spans="1:7" ht="14.25" customHeight="1">
      <c r="A147" s="41">
        <v>42530</v>
      </c>
      <c r="B147" s="7">
        <v>8273.35</v>
      </c>
      <c r="C147" s="7">
        <v>8273.35</v>
      </c>
      <c r="D147" s="7">
        <v>8184.6</v>
      </c>
      <c r="E147" s="7">
        <v>8203.6</v>
      </c>
      <c r="F147" s="7">
        <v>180293039</v>
      </c>
      <c r="G147" s="42">
        <v>7973.1</v>
      </c>
    </row>
    <row r="148" spans="1:7" ht="14.25" customHeight="1">
      <c r="A148" s="41">
        <v>42531</v>
      </c>
      <c r="B148" s="7">
        <v>8180.25</v>
      </c>
      <c r="C148" s="7">
        <v>8265.6</v>
      </c>
      <c r="D148" s="7">
        <v>8162.85</v>
      </c>
      <c r="E148" s="7">
        <v>8170.05</v>
      </c>
      <c r="F148" s="7">
        <v>187757375</v>
      </c>
      <c r="G148" s="42">
        <v>7853.83</v>
      </c>
    </row>
    <row r="149" spans="1:7" ht="14.25" customHeight="1">
      <c r="A149" s="41">
        <v>42534</v>
      </c>
      <c r="B149" s="7">
        <v>8102.25</v>
      </c>
      <c r="C149" s="7">
        <v>8125.25</v>
      </c>
      <c r="D149" s="7">
        <v>8063.9</v>
      </c>
      <c r="E149" s="7">
        <v>8110.6</v>
      </c>
      <c r="F149" s="7">
        <v>174916286</v>
      </c>
      <c r="G149" s="42">
        <v>7343.99</v>
      </c>
    </row>
    <row r="150" spans="1:7" ht="14.25" customHeight="1">
      <c r="A150" s="41">
        <v>42535</v>
      </c>
      <c r="B150" s="7">
        <v>8134.4</v>
      </c>
      <c r="C150" s="7">
        <v>8134.95</v>
      </c>
      <c r="D150" s="7">
        <v>8069.5</v>
      </c>
      <c r="E150" s="7">
        <v>8108.85</v>
      </c>
      <c r="F150" s="7">
        <v>150042362</v>
      </c>
      <c r="G150" s="42">
        <v>6003.23</v>
      </c>
    </row>
    <row r="151" spans="1:7" ht="14.25" customHeight="1">
      <c r="A151" s="41">
        <v>42536</v>
      </c>
      <c r="B151" s="7">
        <v>8139.4</v>
      </c>
      <c r="C151" s="7">
        <v>8213.2000000000007</v>
      </c>
      <c r="D151" s="7">
        <v>8123.15</v>
      </c>
      <c r="E151" s="7">
        <v>8206.6</v>
      </c>
      <c r="F151" s="7">
        <v>174953935</v>
      </c>
      <c r="G151" s="42">
        <v>6945.89</v>
      </c>
    </row>
    <row r="152" spans="1:7" ht="14.25" customHeight="1">
      <c r="A152" s="41">
        <v>42537</v>
      </c>
      <c r="B152" s="7">
        <v>8180.65</v>
      </c>
      <c r="C152" s="7">
        <v>8180.65</v>
      </c>
      <c r="D152" s="7">
        <v>8074.45</v>
      </c>
      <c r="E152" s="7">
        <v>8140.75</v>
      </c>
      <c r="F152" s="7">
        <v>195028743</v>
      </c>
      <c r="G152" s="42">
        <v>7764.57</v>
      </c>
    </row>
    <row r="153" spans="1:7" ht="14.25" customHeight="1">
      <c r="A153" s="41">
        <v>42538</v>
      </c>
      <c r="B153" s="7">
        <v>8176.65</v>
      </c>
      <c r="C153" s="7">
        <v>8195.25</v>
      </c>
      <c r="D153" s="7">
        <v>8135.8</v>
      </c>
      <c r="E153" s="7">
        <v>8170.2</v>
      </c>
      <c r="F153" s="7">
        <v>171842760</v>
      </c>
      <c r="G153" s="42">
        <v>7741.9</v>
      </c>
    </row>
    <row r="154" spans="1:7" ht="14.25" customHeight="1">
      <c r="A154" s="41">
        <v>42541</v>
      </c>
      <c r="B154" s="7">
        <v>8115.75</v>
      </c>
      <c r="C154" s="7">
        <v>8244.15</v>
      </c>
      <c r="D154" s="7">
        <v>8107.35</v>
      </c>
      <c r="E154" s="7">
        <v>8238.5</v>
      </c>
      <c r="F154" s="7">
        <v>173750792</v>
      </c>
      <c r="G154" s="42">
        <v>7392.97</v>
      </c>
    </row>
    <row r="155" spans="1:7" ht="14.25" customHeight="1">
      <c r="A155" s="41">
        <v>42542</v>
      </c>
      <c r="B155" s="7">
        <v>8255.4</v>
      </c>
      <c r="C155" s="7">
        <v>8257.25</v>
      </c>
      <c r="D155" s="7">
        <v>8202.15</v>
      </c>
      <c r="E155" s="7">
        <v>8219.9</v>
      </c>
      <c r="F155" s="7">
        <v>141161921</v>
      </c>
      <c r="G155" s="42">
        <v>5978.26</v>
      </c>
    </row>
    <row r="156" spans="1:7" ht="14.25" customHeight="1">
      <c r="A156" s="41">
        <v>42543</v>
      </c>
      <c r="B156" s="7">
        <v>8213.65</v>
      </c>
      <c r="C156" s="7">
        <v>8238.35</v>
      </c>
      <c r="D156" s="7">
        <v>8153.25</v>
      </c>
      <c r="E156" s="7">
        <v>8203.7000000000007</v>
      </c>
      <c r="F156" s="7">
        <v>140268297</v>
      </c>
      <c r="G156" s="42">
        <v>6377.69</v>
      </c>
    </row>
    <row r="157" spans="1:7" ht="14.25" customHeight="1">
      <c r="A157" s="41">
        <v>42544</v>
      </c>
      <c r="B157" s="7">
        <v>8201.15</v>
      </c>
      <c r="C157" s="7">
        <v>8285.6</v>
      </c>
      <c r="D157" s="7">
        <v>8188.3</v>
      </c>
      <c r="E157" s="7">
        <v>8270.4500000000007</v>
      </c>
      <c r="F157" s="7">
        <v>158852677</v>
      </c>
      <c r="G157" s="42">
        <v>6805.86</v>
      </c>
    </row>
    <row r="158" spans="1:7" ht="14.25" customHeight="1">
      <c r="A158" s="41">
        <v>42545</v>
      </c>
      <c r="B158" s="7">
        <v>8029.1</v>
      </c>
      <c r="C158" s="7">
        <v>8100.7</v>
      </c>
      <c r="D158" s="7">
        <v>7927.05</v>
      </c>
      <c r="E158" s="7">
        <v>8088.6</v>
      </c>
      <c r="F158" s="7">
        <v>306803641</v>
      </c>
      <c r="G158" s="42">
        <v>13263.08</v>
      </c>
    </row>
    <row r="159" spans="1:7" ht="14.25" customHeight="1">
      <c r="A159" s="41">
        <v>42548</v>
      </c>
      <c r="B159" s="7">
        <v>8039.35</v>
      </c>
      <c r="C159" s="7">
        <v>8120.65</v>
      </c>
      <c r="D159" s="7">
        <v>8039.35</v>
      </c>
      <c r="E159" s="7">
        <v>8094.7</v>
      </c>
      <c r="F159" s="7">
        <v>167462711</v>
      </c>
      <c r="G159" s="42">
        <v>7614.06</v>
      </c>
    </row>
    <row r="160" spans="1:7" ht="14.25" customHeight="1">
      <c r="A160" s="41">
        <v>42549</v>
      </c>
      <c r="B160" s="7">
        <v>8096.05</v>
      </c>
      <c r="C160" s="7">
        <v>8146.35</v>
      </c>
      <c r="D160" s="7">
        <v>8086.85</v>
      </c>
      <c r="E160" s="7">
        <v>8127.85</v>
      </c>
      <c r="F160" s="7">
        <v>175724276</v>
      </c>
      <c r="G160" s="42">
        <v>7777.39</v>
      </c>
    </row>
    <row r="161" spans="1:7" ht="14.25" customHeight="1">
      <c r="A161" s="41">
        <v>42550</v>
      </c>
      <c r="B161" s="7">
        <v>8173.1</v>
      </c>
      <c r="C161" s="7">
        <v>8212.4</v>
      </c>
      <c r="D161" s="7">
        <v>8157.65</v>
      </c>
      <c r="E161" s="7">
        <v>8204</v>
      </c>
      <c r="F161" s="7">
        <v>151499716</v>
      </c>
      <c r="G161" s="42">
        <v>6940.87</v>
      </c>
    </row>
    <row r="162" spans="1:7" ht="14.25" customHeight="1">
      <c r="A162" s="41">
        <v>42551</v>
      </c>
      <c r="B162" s="7">
        <v>8260.25</v>
      </c>
      <c r="C162" s="7">
        <v>8308.15</v>
      </c>
      <c r="D162" s="7">
        <v>8242.1</v>
      </c>
      <c r="E162" s="7">
        <v>8287.75</v>
      </c>
      <c r="F162" s="7">
        <v>288031935</v>
      </c>
      <c r="G162" s="42">
        <v>12346.32</v>
      </c>
    </row>
    <row r="163" spans="1:7" ht="14.25" customHeight="1">
      <c r="A163" s="41">
        <v>42552</v>
      </c>
      <c r="B163" s="7">
        <v>8313.0499999999993</v>
      </c>
      <c r="C163" s="7">
        <v>8356.75</v>
      </c>
      <c r="D163" s="7">
        <v>8308.65</v>
      </c>
      <c r="E163" s="7">
        <v>8328.35</v>
      </c>
      <c r="F163" s="7">
        <v>170581881</v>
      </c>
      <c r="G163" s="42">
        <v>7358.38</v>
      </c>
    </row>
    <row r="164" spans="1:7" ht="14.25" customHeight="1">
      <c r="A164" s="41">
        <v>42555</v>
      </c>
      <c r="B164" s="7">
        <v>8376.75</v>
      </c>
      <c r="C164" s="7">
        <v>8398.4500000000007</v>
      </c>
      <c r="D164" s="7">
        <v>8364.7000000000007</v>
      </c>
      <c r="E164" s="7">
        <v>8370.7000000000007</v>
      </c>
      <c r="F164" s="7">
        <v>158955823</v>
      </c>
      <c r="G164" s="42">
        <v>6662.92</v>
      </c>
    </row>
    <row r="165" spans="1:7" ht="14.25" customHeight="1">
      <c r="A165" s="41">
        <v>42556</v>
      </c>
      <c r="B165" s="7">
        <v>8379.2999999999993</v>
      </c>
      <c r="C165" s="7">
        <v>8381.4500000000007</v>
      </c>
      <c r="D165" s="7">
        <v>8319.9500000000007</v>
      </c>
      <c r="E165" s="7">
        <v>8335.9500000000007</v>
      </c>
      <c r="F165" s="7">
        <v>143253937</v>
      </c>
      <c r="G165" s="42">
        <v>5976.01</v>
      </c>
    </row>
    <row r="166" spans="1:7" ht="14.25" customHeight="1">
      <c r="A166" s="41">
        <v>42558</v>
      </c>
      <c r="B166" s="7">
        <v>8342</v>
      </c>
      <c r="C166" s="7">
        <v>8361.9500000000007</v>
      </c>
      <c r="D166" s="7">
        <v>8317.7000000000007</v>
      </c>
      <c r="E166" s="7">
        <v>8337.9</v>
      </c>
      <c r="F166" s="7">
        <v>160327315</v>
      </c>
      <c r="G166" s="42">
        <v>7592.94</v>
      </c>
    </row>
    <row r="167" spans="1:7" ht="14.25" customHeight="1">
      <c r="A167" s="41">
        <v>42559</v>
      </c>
      <c r="B167" s="7">
        <v>8350</v>
      </c>
      <c r="C167" s="7">
        <v>8353.2999999999993</v>
      </c>
      <c r="D167" s="7">
        <v>8287.5499999999993</v>
      </c>
      <c r="E167" s="7">
        <v>8323.2000000000007</v>
      </c>
      <c r="F167" s="7">
        <v>142159935</v>
      </c>
      <c r="G167" s="42">
        <v>6886.33</v>
      </c>
    </row>
    <row r="168" spans="1:7" ht="14.25" customHeight="1">
      <c r="A168" s="41">
        <v>42562</v>
      </c>
      <c r="B168" s="7">
        <v>8413.35</v>
      </c>
      <c r="C168" s="7">
        <v>8475.25</v>
      </c>
      <c r="D168" s="7">
        <v>8407.0499999999993</v>
      </c>
      <c r="E168" s="7">
        <v>8467.9</v>
      </c>
      <c r="F168" s="7">
        <v>154399933</v>
      </c>
      <c r="G168" s="42">
        <v>7576.69</v>
      </c>
    </row>
    <row r="169" spans="1:7" ht="14.25" customHeight="1">
      <c r="A169" s="41">
        <v>42563</v>
      </c>
      <c r="B169" s="7">
        <v>8502.6</v>
      </c>
      <c r="C169" s="7">
        <v>8526.6</v>
      </c>
      <c r="D169" s="7">
        <v>8479.2000000000007</v>
      </c>
      <c r="E169" s="7">
        <v>8521.0499999999993</v>
      </c>
      <c r="F169" s="7">
        <v>189339750</v>
      </c>
      <c r="G169" s="42">
        <v>7873.74</v>
      </c>
    </row>
    <row r="170" spans="1:7" ht="14.25" customHeight="1">
      <c r="A170" s="41">
        <v>42564</v>
      </c>
      <c r="B170" s="7">
        <v>8540.4500000000007</v>
      </c>
      <c r="C170" s="7">
        <v>8550.25</v>
      </c>
      <c r="D170" s="7">
        <v>8493.5499999999993</v>
      </c>
      <c r="E170" s="7">
        <v>8519.5</v>
      </c>
      <c r="F170" s="7">
        <v>201492184</v>
      </c>
      <c r="G170" s="42">
        <v>8284.3799999999992</v>
      </c>
    </row>
    <row r="171" spans="1:7" ht="14.25" customHeight="1">
      <c r="A171" s="41">
        <v>42565</v>
      </c>
      <c r="B171" s="7">
        <v>8515.75</v>
      </c>
      <c r="C171" s="7">
        <v>8571.4</v>
      </c>
      <c r="D171" s="7">
        <v>8500.7000000000007</v>
      </c>
      <c r="E171" s="7">
        <v>8565</v>
      </c>
      <c r="F171" s="7">
        <v>158738499</v>
      </c>
      <c r="G171" s="42">
        <v>6890.07</v>
      </c>
    </row>
    <row r="172" spans="1:7" ht="14.25" customHeight="1">
      <c r="A172" s="41">
        <v>42566</v>
      </c>
      <c r="B172" s="7">
        <v>8565.4500000000007</v>
      </c>
      <c r="C172" s="7">
        <v>8594.7999999999993</v>
      </c>
      <c r="D172" s="7">
        <v>8510.0499999999993</v>
      </c>
      <c r="E172" s="7">
        <v>8541.4</v>
      </c>
      <c r="F172" s="7">
        <v>228598684</v>
      </c>
      <c r="G172" s="42">
        <v>12375.84</v>
      </c>
    </row>
    <row r="173" spans="1:7" ht="14.25" customHeight="1">
      <c r="A173" s="41">
        <v>42569</v>
      </c>
      <c r="B173" s="7">
        <v>8564.0499999999993</v>
      </c>
      <c r="C173" s="7">
        <v>8587.1</v>
      </c>
      <c r="D173" s="7">
        <v>8494.35</v>
      </c>
      <c r="E173" s="7">
        <v>8508.7000000000007</v>
      </c>
      <c r="F173" s="7">
        <v>169400452</v>
      </c>
      <c r="G173" s="42">
        <v>8200.06</v>
      </c>
    </row>
    <row r="174" spans="1:7" ht="14.25" customHeight="1">
      <c r="A174" s="41">
        <v>42570</v>
      </c>
      <c r="B174" s="7">
        <v>8514.2999999999993</v>
      </c>
      <c r="C174" s="7">
        <v>8540.0499999999993</v>
      </c>
      <c r="D174" s="7">
        <v>8476.7000000000007</v>
      </c>
      <c r="E174" s="7">
        <v>8528.5499999999993</v>
      </c>
      <c r="F174" s="7">
        <v>173050805</v>
      </c>
      <c r="G174" s="42">
        <v>7928.14</v>
      </c>
    </row>
    <row r="175" spans="1:7" ht="14.25" customHeight="1">
      <c r="A175" s="41">
        <v>42571</v>
      </c>
      <c r="B175" s="7">
        <v>8515.4500000000007</v>
      </c>
      <c r="C175" s="7">
        <v>8569.9</v>
      </c>
      <c r="D175" s="7">
        <v>8512.5499999999993</v>
      </c>
      <c r="E175" s="7">
        <v>8565.85</v>
      </c>
      <c r="F175" s="7">
        <v>165349380</v>
      </c>
      <c r="G175" s="42">
        <v>7936.36</v>
      </c>
    </row>
    <row r="176" spans="1:7" ht="14.25" customHeight="1">
      <c r="A176" s="41">
        <v>42572</v>
      </c>
      <c r="B176" s="7">
        <v>8582.7000000000007</v>
      </c>
      <c r="C176" s="7">
        <v>8585.25</v>
      </c>
      <c r="D176" s="7">
        <v>8503.4500000000007</v>
      </c>
      <c r="E176" s="7">
        <v>8510.1</v>
      </c>
      <c r="F176" s="7">
        <v>154575685</v>
      </c>
      <c r="G176" s="42">
        <v>7399.71</v>
      </c>
    </row>
    <row r="177" spans="1:7" ht="14.25" customHeight="1">
      <c r="A177" s="41">
        <v>42573</v>
      </c>
      <c r="B177" s="7">
        <v>8519.65</v>
      </c>
      <c r="C177" s="7">
        <v>8548.9500000000007</v>
      </c>
      <c r="D177" s="7">
        <v>8489.7999999999993</v>
      </c>
      <c r="E177" s="7">
        <v>8541.2000000000007</v>
      </c>
      <c r="F177" s="7">
        <v>147619642</v>
      </c>
      <c r="G177" s="42">
        <v>6504</v>
      </c>
    </row>
    <row r="178" spans="1:7" ht="14.25" customHeight="1">
      <c r="A178" s="41">
        <v>42576</v>
      </c>
      <c r="B178" s="7">
        <v>8519.9500000000007</v>
      </c>
      <c r="C178" s="7">
        <v>8641.15</v>
      </c>
      <c r="D178" s="7">
        <v>8517.2000000000007</v>
      </c>
      <c r="E178" s="7">
        <v>8635.65</v>
      </c>
      <c r="F178" s="7">
        <v>154631398</v>
      </c>
      <c r="G178" s="42">
        <v>7850.12</v>
      </c>
    </row>
    <row r="179" spans="1:7" ht="14.25" customHeight="1">
      <c r="A179" s="41">
        <v>42577</v>
      </c>
      <c r="B179" s="7">
        <v>8633.75</v>
      </c>
      <c r="C179" s="7">
        <v>8644.9</v>
      </c>
      <c r="D179" s="7">
        <v>8577.15</v>
      </c>
      <c r="E179" s="7">
        <v>8590.65</v>
      </c>
      <c r="F179" s="7">
        <v>159563469</v>
      </c>
      <c r="G179" s="42">
        <v>8765.4500000000007</v>
      </c>
    </row>
    <row r="180" spans="1:7" ht="14.25" customHeight="1">
      <c r="A180" s="41">
        <v>42578</v>
      </c>
      <c r="B180" s="7">
        <v>8599.4</v>
      </c>
      <c r="C180" s="7">
        <v>8665</v>
      </c>
      <c r="D180" s="7">
        <v>8572.0499999999993</v>
      </c>
      <c r="E180" s="7">
        <v>8615.7999999999993</v>
      </c>
      <c r="F180" s="7">
        <v>189796380</v>
      </c>
      <c r="G180" s="42">
        <v>10885.88</v>
      </c>
    </row>
    <row r="181" spans="1:7" ht="14.25" customHeight="1">
      <c r="A181" s="41">
        <v>42579</v>
      </c>
      <c r="B181" s="7">
        <v>8636.9500000000007</v>
      </c>
      <c r="C181" s="7">
        <v>8674.7000000000007</v>
      </c>
      <c r="D181" s="7">
        <v>8625.25</v>
      </c>
      <c r="E181" s="7">
        <v>8666.2999999999993</v>
      </c>
      <c r="F181" s="7">
        <v>240721865</v>
      </c>
      <c r="G181" s="42">
        <v>12998.06</v>
      </c>
    </row>
    <row r="182" spans="1:7" ht="14.25" customHeight="1">
      <c r="A182" s="41">
        <v>42580</v>
      </c>
      <c r="B182" s="7">
        <v>8668.2999999999993</v>
      </c>
      <c r="C182" s="7">
        <v>8670.35</v>
      </c>
      <c r="D182" s="7">
        <v>8631.15</v>
      </c>
      <c r="E182" s="7">
        <v>8638.5</v>
      </c>
      <c r="F182" s="7">
        <v>161935155</v>
      </c>
      <c r="G182" s="42">
        <v>8428.7999999999993</v>
      </c>
    </row>
    <row r="183" spans="1:7" ht="14.25" customHeight="1">
      <c r="A183" s="41">
        <v>42583</v>
      </c>
      <c r="B183" s="7">
        <v>8654.2999999999993</v>
      </c>
      <c r="C183" s="7">
        <v>8711.2999999999993</v>
      </c>
      <c r="D183" s="7">
        <v>8590.5</v>
      </c>
      <c r="E183" s="7">
        <v>8636.5499999999993</v>
      </c>
      <c r="F183" s="7">
        <v>194186858</v>
      </c>
      <c r="G183" s="42">
        <v>9881.67</v>
      </c>
    </row>
    <row r="184" spans="1:7" ht="14.25" customHeight="1">
      <c r="A184" s="41">
        <v>42584</v>
      </c>
      <c r="B184" s="7">
        <v>8647.4500000000007</v>
      </c>
      <c r="C184" s="7">
        <v>8687.2000000000007</v>
      </c>
      <c r="D184" s="7">
        <v>8611.4</v>
      </c>
      <c r="E184" s="7">
        <v>8622.9</v>
      </c>
      <c r="F184" s="7">
        <v>174556789</v>
      </c>
      <c r="G184" s="42">
        <v>8652.31</v>
      </c>
    </row>
    <row r="185" spans="1:7" ht="14.25" customHeight="1">
      <c r="A185" s="41">
        <v>42585</v>
      </c>
      <c r="B185" s="7">
        <v>8635.2000000000007</v>
      </c>
      <c r="C185" s="7">
        <v>8635.4500000000007</v>
      </c>
      <c r="D185" s="7">
        <v>8529.6</v>
      </c>
      <c r="E185" s="7">
        <v>8544.85</v>
      </c>
      <c r="F185" s="7">
        <v>168033073</v>
      </c>
      <c r="G185" s="42">
        <v>8507.82</v>
      </c>
    </row>
    <row r="186" spans="1:7" ht="14.25" customHeight="1">
      <c r="A186" s="41">
        <v>42586</v>
      </c>
      <c r="B186" s="7">
        <v>8599.9500000000007</v>
      </c>
      <c r="C186" s="7">
        <v>8601.4</v>
      </c>
      <c r="D186" s="7">
        <v>8518.15</v>
      </c>
      <c r="E186" s="7">
        <v>8551.1</v>
      </c>
      <c r="F186" s="7">
        <v>169780463</v>
      </c>
      <c r="G186" s="42">
        <v>7399.03</v>
      </c>
    </row>
    <row r="187" spans="1:7" ht="14.25" customHeight="1">
      <c r="A187" s="41">
        <v>42587</v>
      </c>
      <c r="B187" s="7">
        <v>8600.2000000000007</v>
      </c>
      <c r="C187" s="7">
        <v>8689.4</v>
      </c>
      <c r="D187" s="7">
        <v>8590.15</v>
      </c>
      <c r="E187" s="7">
        <v>8683.15</v>
      </c>
      <c r="F187" s="7">
        <v>162784913</v>
      </c>
      <c r="G187" s="42">
        <v>7635.01</v>
      </c>
    </row>
    <row r="188" spans="1:7" ht="14.25" customHeight="1">
      <c r="A188" s="41">
        <v>42590</v>
      </c>
      <c r="B188" s="7">
        <v>8712.85</v>
      </c>
      <c r="C188" s="7">
        <v>8723.5</v>
      </c>
      <c r="D188" s="7">
        <v>8697.6</v>
      </c>
      <c r="E188" s="7">
        <v>8711.35</v>
      </c>
      <c r="F188" s="7">
        <v>177877012</v>
      </c>
      <c r="G188" s="42">
        <v>7862.15</v>
      </c>
    </row>
    <row r="189" spans="1:7" ht="14.25" customHeight="1">
      <c r="A189" s="41">
        <v>42591</v>
      </c>
      <c r="B189" s="7">
        <v>8727.7999999999993</v>
      </c>
      <c r="C189" s="7">
        <v>8728.35</v>
      </c>
      <c r="D189" s="7">
        <v>8638.2000000000007</v>
      </c>
      <c r="E189" s="7">
        <v>8678.25</v>
      </c>
      <c r="F189" s="7">
        <v>206261255</v>
      </c>
      <c r="G189" s="42">
        <v>9111.4</v>
      </c>
    </row>
    <row r="190" spans="1:7" ht="14.25" customHeight="1">
      <c r="A190" s="41">
        <v>42592</v>
      </c>
      <c r="B190" s="7">
        <v>8686.7000000000007</v>
      </c>
      <c r="C190" s="7">
        <v>8690.1</v>
      </c>
      <c r="D190" s="7">
        <v>8564.6</v>
      </c>
      <c r="E190" s="7">
        <v>8575.2999999999993</v>
      </c>
      <c r="F190" s="7">
        <v>178963496</v>
      </c>
      <c r="G190" s="42">
        <v>8206.18</v>
      </c>
    </row>
    <row r="191" spans="1:7" ht="14.25" customHeight="1">
      <c r="A191" s="41">
        <v>42593</v>
      </c>
      <c r="B191" s="7">
        <v>8572.7999999999993</v>
      </c>
      <c r="C191" s="7">
        <v>8601.15</v>
      </c>
      <c r="D191" s="7">
        <v>8540.0499999999993</v>
      </c>
      <c r="E191" s="7">
        <v>8592.15</v>
      </c>
      <c r="F191" s="7">
        <v>195114539</v>
      </c>
      <c r="G191" s="42">
        <v>8634.7999999999993</v>
      </c>
    </row>
    <row r="192" spans="1:7" ht="14.25" customHeight="1">
      <c r="A192" s="41">
        <v>42594</v>
      </c>
      <c r="B192" s="7">
        <v>8605.4500000000007</v>
      </c>
      <c r="C192" s="7">
        <v>8684.2999999999993</v>
      </c>
      <c r="D192" s="7">
        <v>8604.4500000000007</v>
      </c>
      <c r="E192" s="7">
        <v>8672.15</v>
      </c>
      <c r="F192" s="7">
        <v>272014034</v>
      </c>
      <c r="G192" s="42">
        <v>11998.86</v>
      </c>
    </row>
    <row r="193" spans="1:7" ht="14.25" customHeight="1">
      <c r="A193" s="41">
        <v>42598</v>
      </c>
      <c r="B193" s="7">
        <v>8670.25</v>
      </c>
      <c r="C193" s="7">
        <v>8682.35</v>
      </c>
      <c r="D193" s="7">
        <v>8600.4500000000007</v>
      </c>
      <c r="E193" s="7">
        <v>8642.5499999999993</v>
      </c>
      <c r="F193" s="7">
        <v>231771409</v>
      </c>
      <c r="G193" s="42">
        <v>10937.35</v>
      </c>
    </row>
    <row r="194" spans="1:7" ht="14.25" customHeight="1">
      <c r="A194" s="41">
        <v>42599</v>
      </c>
      <c r="B194" s="7">
        <v>8639.7999999999993</v>
      </c>
      <c r="C194" s="7">
        <v>8667.1</v>
      </c>
      <c r="D194" s="7">
        <v>8603.6</v>
      </c>
      <c r="E194" s="7">
        <v>8624.0499999999993</v>
      </c>
      <c r="F194" s="7">
        <v>179540691</v>
      </c>
      <c r="G194" s="42">
        <v>8161.38</v>
      </c>
    </row>
    <row r="195" spans="1:7" ht="14.25" customHeight="1">
      <c r="A195" s="41">
        <v>42600</v>
      </c>
      <c r="B195" s="7">
        <v>8648.85</v>
      </c>
      <c r="C195" s="7">
        <v>8690.7000000000007</v>
      </c>
      <c r="D195" s="7">
        <v>8645.0499999999993</v>
      </c>
      <c r="E195" s="7">
        <v>8673.25</v>
      </c>
      <c r="F195" s="7">
        <v>169431656</v>
      </c>
      <c r="G195" s="42">
        <v>7900.6</v>
      </c>
    </row>
    <row r="196" spans="1:7" ht="14.25" customHeight="1">
      <c r="A196" s="41">
        <v>42601</v>
      </c>
      <c r="B196" s="7">
        <v>8694.2999999999993</v>
      </c>
      <c r="C196" s="7">
        <v>8696.6</v>
      </c>
      <c r="D196" s="7">
        <v>8647.1</v>
      </c>
      <c r="E196" s="7">
        <v>8666.9</v>
      </c>
      <c r="F196" s="7">
        <v>197770568</v>
      </c>
      <c r="G196" s="42">
        <v>8354.8799999999992</v>
      </c>
    </row>
    <row r="197" spans="1:7" ht="14.25" customHeight="1">
      <c r="A197" s="41">
        <v>42604</v>
      </c>
      <c r="B197" s="7">
        <v>8667</v>
      </c>
      <c r="C197" s="7">
        <v>8684.85</v>
      </c>
      <c r="D197" s="7">
        <v>8614</v>
      </c>
      <c r="E197" s="7">
        <v>8629.15</v>
      </c>
      <c r="F197" s="7">
        <v>156976546</v>
      </c>
      <c r="G197" s="42">
        <v>7394.57</v>
      </c>
    </row>
    <row r="198" spans="1:7" ht="14.25" customHeight="1">
      <c r="A198" s="41">
        <v>42605</v>
      </c>
      <c r="B198" s="7">
        <v>8628.35</v>
      </c>
      <c r="C198" s="7">
        <v>8642.15</v>
      </c>
      <c r="D198" s="7">
        <v>8580</v>
      </c>
      <c r="E198" s="7">
        <v>8632.6</v>
      </c>
      <c r="F198" s="7">
        <v>193302503</v>
      </c>
      <c r="G198" s="42">
        <v>7309.82</v>
      </c>
    </row>
    <row r="199" spans="1:7" ht="14.25" customHeight="1">
      <c r="A199" s="41">
        <v>42606</v>
      </c>
      <c r="B199" s="7">
        <v>8648.5</v>
      </c>
      <c r="C199" s="7">
        <v>8661.0499999999993</v>
      </c>
      <c r="D199" s="7">
        <v>8620.9</v>
      </c>
      <c r="E199" s="7">
        <v>8650.2999999999993</v>
      </c>
      <c r="F199" s="7">
        <v>154168043</v>
      </c>
      <c r="G199" s="42">
        <v>7199.72</v>
      </c>
    </row>
    <row r="200" spans="1:7" ht="14.25" customHeight="1">
      <c r="A200" s="41">
        <v>42607</v>
      </c>
      <c r="B200" s="7">
        <v>8668.85</v>
      </c>
      <c r="C200" s="7">
        <v>8683.0499999999993</v>
      </c>
      <c r="D200" s="7">
        <v>8583.65</v>
      </c>
      <c r="E200" s="7">
        <v>8592.2000000000007</v>
      </c>
      <c r="F200" s="7">
        <v>219736214</v>
      </c>
      <c r="G200" s="42">
        <v>10508.32</v>
      </c>
    </row>
    <row r="201" spans="1:7" ht="14.25" customHeight="1">
      <c r="A201" s="41">
        <v>42608</v>
      </c>
      <c r="B201" s="7">
        <v>8614.35</v>
      </c>
      <c r="C201" s="7">
        <v>8622.9500000000007</v>
      </c>
      <c r="D201" s="7">
        <v>8547.5499999999993</v>
      </c>
      <c r="E201" s="7">
        <v>8572.5499999999993</v>
      </c>
      <c r="F201" s="7">
        <v>152146666</v>
      </c>
      <c r="G201" s="42">
        <v>7153.37</v>
      </c>
    </row>
    <row r="202" spans="1:7" ht="14.25" customHeight="1">
      <c r="A202" s="41">
        <v>42611</v>
      </c>
      <c r="B202" s="7">
        <v>8583.75</v>
      </c>
      <c r="C202" s="7">
        <v>8622</v>
      </c>
      <c r="D202" s="7">
        <v>8543.75</v>
      </c>
      <c r="E202" s="7">
        <v>8607.4500000000007</v>
      </c>
      <c r="F202" s="7">
        <v>133723771</v>
      </c>
      <c r="G202" s="42">
        <v>6857.99</v>
      </c>
    </row>
    <row r="203" spans="1:7" ht="14.25" customHeight="1">
      <c r="A203" s="41">
        <v>42612</v>
      </c>
      <c r="B203" s="7">
        <v>8646.75</v>
      </c>
      <c r="C203" s="7">
        <v>8750.6</v>
      </c>
      <c r="D203" s="7">
        <v>8642.25</v>
      </c>
      <c r="E203" s="7">
        <v>8744.35</v>
      </c>
      <c r="F203" s="7">
        <v>154828719</v>
      </c>
      <c r="G203" s="42">
        <v>8392.76</v>
      </c>
    </row>
    <row r="204" spans="1:7" ht="14.25" customHeight="1">
      <c r="A204" s="41">
        <v>42613</v>
      </c>
      <c r="B204" s="7">
        <v>8754.0499999999993</v>
      </c>
      <c r="C204" s="7">
        <v>8819.2000000000007</v>
      </c>
      <c r="D204" s="7">
        <v>8754.0499999999993</v>
      </c>
      <c r="E204" s="7">
        <v>8786.2000000000007</v>
      </c>
      <c r="F204" s="7">
        <v>373422334</v>
      </c>
      <c r="G204" s="42">
        <v>22534.29</v>
      </c>
    </row>
    <row r="205" spans="1:7" ht="14.25" customHeight="1">
      <c r="A205" s="41">
        <v>42614</v>
      </c>
      <c r="B205" s="7">
        <v>8793.6</v>
      </c>
      <c r="C205" s="7">
        <v>8813.25</v>
      </c>
      <c r="D205" s="7">
        <v>8759.9500000000007</v>
      </c>
      <c r="E205" s="7">
        <v>8774.65</v>
      </c>
      <c r="F205" s="7">
        <v>246336047</v>
      </c>
      <c r="G205" s="42">
        <v>9653.93</v>
      </c>
    </row>
    <row r="206" spans="1:7" ht="14.25" customHeight="1">
      <c r="A206" s="41">
        <v>42615</v>
      </c>
      <c r="B206" s="7">
        <v>8796.35</v>
      </c>
      <c r="C206" s="7">
        <v>8824.1</v>
      </c>
      <c r="D206" s="7">
        <v>8768.2000000000007</v>
      </c>
      <c r="E206" s="7">
        <v>8809.65</v>
      </c>
      <c r="F206" s="7">
        <v>197385217</v>
      </c>
      <c r="G206" s="42">
        <v>8231.93</v>
      </c>
    </row>
    <row r="207" spans="1:7" ht="14.25" customHeight="1">
      <c r="A207" s="41">
        <v>42619</v>
      </c>
      <c r="B207" s="7">
        <v>8852.7000000000007</v>
      </c>
      <c r="C207" s="7">
        <v>8950.85</v>
      </c>
      <c r="D207" s="7">
        <v>8848.4500000000007</v>
      </c>
      <c r="E207" s="7">
        <v>8943</v>
      </c>
      <c r="F207" s="7">
        <v>201617132</v>
      </c>
      <c r="G207" s="42">
        <v>9571.31</v>
      </c>
    </row>
    <row r="208" spans="1:7" ht="14.25" customHeight="1">
      <c r="A208" s="41">
        <v>42620</v>
      </c>
      <c r="B208" s="7">
        <v>8968.7000000000007</v>
      </c>
      <c r="C208" s="7">
        <v>8968.7000000000007</v>
      </c>
      <c r="D208" s="7">
        <v>8913.35</v>
      </c>
      <c r="E208" s="7">
        <v>8917.9500000000007</v>
      </c>
      <c r="F208" s="7">
        <v>299145644</v>
      </c>
      <c r="G208" s="42">
        <v>11430.95</v>
      </c>
    </row>
    <row r="209" spans="1:7" ht="14.25" customHeight="1">
      <c r="A209" s="41">
        <v>42621</v>
      </c>
      <c r="B209" s="7">
        <v>8915.5</v>
      </c>
      <c r="C209" s="7">
        <v>8960.35</v>
      </c>
      <c r="D209" s="7">
        <v>8896</v>
      </c>
      <c r="E209" s="7">
        <v>8952.5</v>
      </c>
      <c r="F209" s="7">
        <v>223937056</v>
      </c>
      <c r="G209" s="42">
        <v>10773.98</v>
      </c>
    </row>
    <row r="210" spans="1:7" ht="14.25" customHeight="1">
      <c r="A210" s="41">
        <v>42622</v>
      </c>
      <c r="B210" s="7">
        <v>8934.2999999999993</v>
      </c>
      <c r="C210" s="7">
        <v>8939.15</v>
      </c>
      <c r="D210" s="7">
        <v>8858.7000000000007</v>
      </c>
      <c r="E210" s="7">
        <v>8866.7000000000007</v>
      </c>
      <c r="F210" s="7">
        <v>181344327</v>
      </c>
      <c r="G210" s="42">
        <v>9976.2800000000007</v>
      </c>
    </row>
    <row r="211" spans="1:7" ht="14.25" customHeight="1">
      <c r="A211" s="41">
        <v>42625</v>
      </c>
      <c r="B211" s="7">
        <v>8732.9500000000007</v>
      </c>
      <c r="C211" s="7">
        <v>8746.9500000000007</v>
      </c>
      <c r="D211" s="7">
        <v>8699.4</v>
      </c>
      <c r="E211" s="7">
        <v>8715.6</v>
      </c>
      <c r="F211" s="7">
        <v>190199613</v>
      </c>
      <c r="G211" s="42">
        <v>9248.73</v>
      </c>
    </row>
    <row r="212" spans="1:7" ht="14.25" customHeight="1">
      <c r="A212" s="41">
        <v>42627</v>
      </c>
      <c r="B212" s="7">
        <v>8710.65</v>
      </c>
      <c r="C212" s="7">
        <v>8739.85</v>
      </c>
      <c r="D212" s="7">
        <v>8688.9</v>
      </c>
      <c r="E212" s="7">
        <v>8726.6</v>
      </c>
      <c r="F212" s="7">
        <v>189984289</v>
      </c>
      <c r="G212" s="42">
        <v>9112.57</v>
      </c>
    </row>
    <row r="213" spans="1:7" ht="14.25" customHeight="1">
      <c r="A213" s="41">
        <v>42628</v>
      </c>
      <c r="B213" s="7">
        <v>8743.85</v>
      </c>
      <c r="C213" s="7">
        <v>8751.9500000000007</v>
      </c>
      <c r="D213" s="7">
        <v>8704.35</v>
      </c>
      <c r="E213" s="7">
        <v>8742.5499999999993</v>
      </c>
      <c r="F213" s="7">
        <v>149889703</v>
      </c>
      <c r="G213" s="42">
        <v>7347.34</v>
      </c>
    </row>
    <row r="214" spans="1:7" ht="14.25" customHeight="1">
      <c r="A214" s="41">
        <v>42629</v>
      </c>
      <c r="B214" s="7">
        <v>8780.85</v>
      </c>
      <c r="C214" s="7">
        <v>8847.65</v>
      </c>
      <c r="D214" s="7">
        <v>8750.5</v>
      </c>
      <c r="E214" s="7">
        <v>8779.85</v>
      </c>
      <c r="F214" s="7">
        <v>274039556</v>
      </c>
      <c r="G214" s="42">
        <v>14430.63</v>
      </c>
    </row>
    <row r="215" spans="1:7" ht="14.25" customHeight="1">
      <c r="A215" s="41">
        <v>42632</v>
      </c>
      <c r="B215" s="7">
        <v>8788.4500000000007</v>
      </c>
      <c r="C215" s="7">
        <v>8824.2999999999993</v>
      </c>
      <c r="D215" s="7">
        <v>8774.2000000000007</v>
      </c>
      <c r="E215" s="7">
        <v>8808.4</v>
      </c>
      <c r="F215" s="7">
        <v>135814177</v>
      </c>
      <c r="G215" s="42">
        <v>7364.64</v>
      </c>
    </row>
    <row r="216" spans="1:7" ht="14.25" customHeight="1">
      <c r="A216" s="41">
        <v>42633</v>
      </c>
      <c r="B216" s="7">
        <v>8816.1</v>
      </c>
      <c r="C216" s="7">
        <v>8816.4500000000007</v>
      </c>
      <c r="D216" s="7">
        <v>8759.2999999999993</v>
      </c>
      <c r="E216" s="7">
        <v>8775.9</v>
      </c>
      <c r="F216" s="7">
        <v>140718486</v>
      </c>
      <c r="G216" s="42">
        <v>7035.07</v>
      </c>
    </row>
    <row r="217" spans="1:7" ht="14.25" customHeight="1">
      <c r="A217" s="41">
        <v>42634</v>
      </c>
      <c r="B217" s="7">
        <v>8790.2999999999993</v>
      </c>
      <c r="C217" s="7">
        <v>8826.85</v>
      </c>
      <c r="D217" s="7">
        <v>8757.2999999999993</v>
      </c>
      <c r="E217" s="7">
        <v>8777.15</v>
      </c>
      <c r="F217" s="7">
        <v>153441330</v>
      </c>
      <c r="G217" s="42">
        <v>7572.41</v>
      </c>
    </row>
    <row r="218" spans="1:7" ht="14.25" customHeight="1">
      <c r="A218" s="41">
        <v>42635</v>
      </c>
      <c r="B218" s="7">
        <v>8873.35</v>
      </c>
      <c r="C218" s="7">
        <v>8893.35</v>
      </c>
      <c r="D218" s="7">
        <v>8837.7999999999993</v>
      </c>
      <c r="E218" s="7">
        <v>8867.4500000000007</v>
      </c>
      <c r="F218" s="7">
        <v>178136644</v>
      </c>
      <c r="G218" s="42">
        <v>9305.56</v>
      </c>
    </row>
    <row r="219" spans="1:7" ht="14.25" customHeight="1">
      <c r="A219" s="41">
        <v>42636</v>
      </c>
      <c r="B219" s="7">
        <v>8880.75</v>
      </c>
      <c r="C219" s="7">
        <v>8885.2000000000007</v>
      </c>
      <c r="D219" s="7">
        <v>8820.2999999999993</v>
      </c>
      <c r="E219" s="7">
        <v>8831.5499999999993</v>
      </c>
      <c r="F219" s="7">
        <v>191618169</v>
      </c>
      <c r="G219" s="42">
        <v>9793.98</v>
      </c>
    </row>
    <row r="220" spans="1:7" ht="14.25" customHeight="1">
      <c r="A220" s="41">
        <v>42639</v>
      </c>
      <c r="B220" s="7">
        <v>8807.9</v>
      </c>
      <c r="C220" s="7">
        <v>8809.5499999999993</v>
      </c>
      <c r="D220" s="7">
        <v>8715.1</v>
      </c>
      <c r="E220" s="7">
        <v>8723.0499999999993</v>
      </c>
      <c r="F220" s="7">
        <v>169050086</v>
      </c>
      <c r="G220" s="42">
        <v>8518.5</v>
      </c>
    </row>
    <row r="221" spans="1:7" ht="14.25" customHeight="1">
      <c r="A221" s="41">
        <v>42640</v>
      </c>
      <c r="B221" s="7">
        <v>8748.9</v>
      </c>
      <c r="C221" s="7">
        <v>8768.5</v>
      </c>
      <c r="D221" s="7">
        <v>8690.5</v>
      </c>
      <c r="E221" s="7">
        <v>8706.4</v>
      </c>
      <c r="F221" s="7">
        <v>156100521</v>
      </c>
      <c r="G221" s="42">
        <v>7446.12</v>
      </c>
    </row>
    <row r="222" spans="1:7" ht="14.25" customHeight="1">
      <c r="A222" s="41">
        <v>42641</v>
      </c>
      <c r="B222" s="7">
        <v>8711.2000000000007</v>
      </c>
      <c r="C222" s="7">
        <v>8767.0499999999993</v>
      </c>
      <c r="D222" s="7">
        <v>8703.15</v>
      </c>
      <c r="E222" s="7">
        <v>8745.15</v>
      </c>
      <c r="F222" s="7">
        <v>170643694</v>
      </c>
      <c r="G222" s="42">
        <v>8348.19</v>
      </c>
    </row>
    <row r="223" spans="1:7" ht="14.25" customHeight="1">
      <c r="A223" s="41">
        <v>42642</v>
      </c>
      <c r="B223" s="7">
        <v>8792.7000000000007</v>
      </c>
      <c r="C223" s="7">
        <v>8800.65</v>
      </c>
      <c r="D223" s="7">
        <v>8558.25</v>
      </c>
      <c r="E223" s="7">
        <v>8591.25</v>
      </c>
      <c r="F223" s="7">
        <v>384395249</v>
      </c>
      <c r="G223" s="42">
        <v>19467.3</v>
      </c>
    </row>
    <row r="224" spans="1:7" ht="14.25" customHeight="1">
      <c r="A224" s="41">
        <v>42643</v>
      </c>
      <c r="B224" s="7">
        <v>8581.5</v>
      </c>
      <c r="C224" s="7">
        <v>8637.15</v>
      </c>
      <c r="D224" s="7">
        <v>8555.2000000000007</v>
      </c>
      <c r="E224" s="7">
        <v>8611.15</v>
      </c>
      <c r="F224" s="7">
        <v>187333285</v>
      </c>
      <c r="G224" s="42">
        <v>8849.27</v>
      </c>
    </row>
    <row r="225" spans="1:7" ht="14.25" customHeight="1">
      <c r="A225" s="41">
        <v>42646</v>
      </c>
      <c r="B225" s="7">
        <v>8666.15</v>
      </c>
      <c r="C225" s="7">
        <v>8745.2000000000007</v>
      </c>
      <c r="D225" s="7">
        <v>8635</v>
      </c>
      <c r="E225" s="7">
        <v>8738.1</v>
      </c>
      <c r="F225" s="7">
        <v>141472076</v>
      </c>
      <c r="G225" s="42">
        <v>7173.62</v>
      </c>
    </row>
    <row r="226" spans="1:7" ht="14.25" customHeight="1">
      <c r="A226" s="41">
        <v>42647</v>
      </c>
      <c r="B226" s="7">
        <v>8770</v>
      </c>
      <c r="C226" s="7">
        <v>8783.65</v>
      </c>
      <c r="D226" s="7">
        <v>8736.1</v>
      </c>
      <c r="E226" s="7">
        <v>8769.15</v>
      </c>
      <c r="F226" s="7">
        <v>189990151</v>
      </c>
      <c r="G226" s="42">
        <v>8251.59</v>
      </c>
    </row>
    <row r="227" spans="1:7" ht="14.25" customHeight="1">
      <c r="A227" s="41">
        <v>42648</v>
      </c>
      <c r="B227" s="7">
        <v>8806.35</v>
      </c>
      <c r="C227" s="7">
        <v>8806.9500000000007</v>
      </c>
      <c r="D227" s="7">
        <v>8731.4</v>
      </c>
      <c r="E227" s="7">
        <v>8743.9500000000007</v>
      </c>
      <c r="F227" s="7">
        <v>162103951</v>
      </c>
      <c r="G227" s="42">
        <v>6866.33</v>
      </c>
    </row>
    <row r="228" spans="1:7" ht="14.25" customHeight="1">
      <c r="A228" s="41">
        <v>42649</v>
      </c>
      <c r="B228" s="7">
        <v>8768.7000000000007</v>
      </c>
      <c r="C228" s="7">
        <v>8781.15</v>
      </c>
      <c r="D228" s="7">
        <v>8684.65</v>
      </c>
      <c r="E228" s="7">
        <v>8709.5499999999993</v>
      </c>
      <c r="F228" s="7">
        <v>168713605</v>
      </c>
      <c r="G228" s="42">
        <v>8114.93</v>
      </c>
    </row>
    <row r="229" spans="1:7" ht="14.25" customHeight="1">
      <c r="A229" s="41">
        <v>42650</v>
      </c>
      <c r="B229" s="7">
        <v>8721.7000000000007</v>
      </c>
      <c r="C229" s="7">
        <v>8723.7000000000007</v>
      </c>
      <c r="D229" s="7">
        <v>8663.7999999999993</v>
      </c>
      <c r="E229" s="7">
        <v>8697.6</v>
      </c>
      <c r="F229" s="7">
        <v>155053800</v>
      </c>
      <c r="G229" s="42">
        <v>8144.3</v>
      </c>
    </row>
    <row r="230" spans="1:7" ht="14.25" customHeight="1">
      <c r="A230" s="41">
        <v>42653</v>
      </c>
      <c r="B230" s="7">
        <v>8735.35</v>
      </c>
      <c r="C230" s="7">
        <v>8745.7999999999993</v>
      </c>
      <c r="D230" s="7">
        <v>8703.9500000000007</v>
      </c>
      <c r="E230" s="7">
        <v>8708.7999999999993</v>
      </c>
      <c r="F230" s="7">
        <v>111794053</v>
      </c>
      <c r="G230" s="42">
        <v>5159.83</v>
      </c>
    </row>
    <row r="231" spans="1:7" ht="14.25" customHeight="1">
      <c r="A231" s="41">
        <v>42656</v>
      </c>
      <c r="B231" s="7">
        <v>8671.5</v>
      </c>
      <c r="C231" s="7">
        <v>8681.5499999999993</v>
      </c>
      <c r="D231" s="7">
        <v>8541.35</v>
      </c>
      <c r="E231" s="7">
        <v>8573.35</v>
      </c>
      <c r="F231" s="7">
        <v>218861324</v>
      </c>
      <c r="G231" s="42">
        <v>10581.55</v>
      </c>
    </row>
    <row r="232" spans="1:7" ht="14.25" customHeight="1">
      <c r="A232" s="41">
        <v>42657</v>
      </c>
      <c r="B232" s="7">
        <v>8594</v>
      </c>
      <c r="C232" s="7">
        <v>8604.4500000000007</v>
      </c>
      <c r="D232" s="7">
        <v>8549.7999999999993</v>
      </c>
      <c r="E232" s="7">
        <v>8583.4</v>
      </c>
      <c r="F232" s="7">
        <v>167848947</v>
      </c>
      <c r="G232" s="42">
        <v>9613.4699999999993</v>
      </c>
    </row>
    <row r="233" spans="1:7" ht="14.25" customHeight="1">
      <c r="A233" s="41">
        <v>42660</v>
      </c>
      <c r="B233" s="7">
        <v>8612.9500000000007</v>
      </c>
      <c r="C233" s="7">
        <v>8615.4</v>
      </c>
      <c r="D233" s="7">
        <v>8506.15</v>
      </c>
      <c r="E233" s="7">
        <v>8520.4</v>
      </c>
      <c r="F233" s="7">
        <v>203516577</v>
      </c>
      <c r="G233" s="42">
        <v>8590.35</v>
      </c>
    </row>
    <row r="234" spans="1:7" ht="14.25" customHeight="1">
      <c r="A234" s="41">
        <v>42661</v>
      </c>
      <c r="B234" s="7">
        <v>8556.0499999999993</v>
      </c>
      <c r="C234" s="7">
        <v>8685.1</v>
      </c>
      <c r="D234" s="7">
        <v>8555.9</v>
      </c>
      <c r="E234" s="7">
        <v>8677.9</v>
      </c>
      <c r="F234" s="7">
        <v>216626083</v>
      </c>
      <c r="G234" s="42">
        <v>9162.11</v>
      </c>
    </row>
    <row r="235" spans="1:7" ht="14.25" customHeight="1">
      <c r="A235" s="41">
        <v>42662</v>
      </c>
      <c r="B235" s="7">
        <v>8697.5</v>
      </c>
      <c r="C235" s="7">
        <v>8698.75</v>
      </c>
      <c r="D235" s="7">
        <v>8636.7000000000007</v>
      </c>
      <c r="E235" s="7">
        <v>8659.1</v>
      </c>
      <c r="F235" s="7">
        <v>177397872</v>
      </c>
      <c r="G235" s="42">
        <v>7790.01</v>
      </c>
    </row>
    <row r="236" spans="1:7" ht="14.25" customHeight="1">
      <c r="A236" s="41">
        <v>42663</v>
      </c>
      <c r="B236" s="7">
        <v>8693.35</v>
      </c>
      <c r="C236" s="7">
        <v>8727</v>
      </c>
      <c r="D236" s="7">
        <v>8678.2999999999993</v>
      </c>
      <c r="E236" s="7">
        <v>8699.4</v>
      </c>
      <c r="F236" s="7">
        <v>165952091</v>
      </c>
      <c r="G236" s="42">
        <v>7120.32</v>
      </c>
    </row>
    <row r="237" spans="1:7" ht="14.25" customHeight="1">
      <c r="A237" s="41">
        <v>42664</v>
      </c>
      <c r="B237" s="7">
        <v>8708.6</v>
      </c>
      <c r="C237" s="7">
        <v>8709.1</v>
      </c>
      <c r="D237" s="7">
        <v>8652.0499999999993</v>
      </c>
      <c r="E237" s="7">
        <v>8693.0499999999993</v>
      </c>
      <c r="F237" s="7">
        <v>162162047</v>
      </c>
      <c r="G237" s="42">
        <v>8022.44</v>
      </c>
    </row>
    <row r="238" spans="1:7" ht="14.25" customHeight="1">
      <c r="A238" s="41">
        <v>42667</v>
      </c>
      <c r="B238" s="7">
        <v>8709.85</v>
      </c>
      <c r="C238" s="7">
        <v>8736.9500000000007</v>
      </c>
      <c r="D238" s="7">
        <v>8684.15</v>
      </c>
      <c r="E238" s="7">
        <v>8708.9500000000007</v>
      </c>
      <c r="F238" s="7">
        <v>161966274</v>
      </c>
      <c r="G238" s="42">
        <v>6876.28</v>
      </c>
    </row>
    <row r="239" spans="1:7" ht="14.25" customHeight="1">
      <c r="A239" s="41">
        <v>42668</v>
      </c>
      <c r="B239" s="7">
        <v>8721.7000000000007</v>
      </c>
      <c r="C239" s="7">
        <v>8722.65</v>
      </c>
      <c r="D239" s="7">
        <v>8663.4500000000007</v>
      </c>
      <c r="E239" s="7">
        <v>8691.2999999999993</v>
      </c>
      <c r="F239" s="7">
        <v>195696479</v>
      </c>
      <c r="G239" s="42">
        <v>8718.02</v>
      </c>
    </row>
    <row r="240" spans="1:7" ht="14.25" customHeight="1">
      <c r="A240" s="41">
        <v>42669</v>
      </c>
      <c r="B240" s="7">
        <v>8657.2999999999993</v>
      </c>
      <c r="C240" s="7">
        <v>8657.2999999999993</v>
      </c>
      <c r="D240" s="7">
        <v>8596.6</v>
      </c>
      <c r="E240" s="7">
        <v>8615.25</v>
      </c>
      <c r="F240" s="7">
        <v>226133074</v>
      </c>
      <c r="G240" s="42">
        <v>9696.9</v>
      </c>
    </row>
    <row r="241" spans="1:7" ht="14.25" customHeight="1">
      <c r="A241" s="41">
        <v>42670</v>
      </c>
      <c r="B241" s="7">
        <v>8607.1</v>
      </c>
      <c r="C241" s="7">
        <v>8624.85</v>
      </c>
      <c r="D241" s="7">
        <v>8550.25</v>
      </c>
      <c r="E241" s="7">
        <v>8615.25</v>
      </c>
      <c r="F241" s="7">
        <v>250336333</v>
      </c>
      <c r="G241" s="42">
        <v>12300.53</v>
      </c>
    </row>
    <row r="242" spans="1:7" ht="14.25" customHeight="1">
      <c r="A242" s="41">
        <v>42671</v>
      </c>
      <c r="B242" s="7">
        <v>8625</v>
      </c>
      <c r="C242" s="7">
        <v>8653.75</v>
      </c>
      <c r="D242" s="7">
        <v>8581.75</v>
      </c>
      <c r="E242" s="7">
        <v>8638</v>
      </c>
      <c r="F242" s="7">
        <v>180906084</v>
      </c>
      <c r="G242" s="42">
        <v>8953.7199999999993</v>
      </c>
    </row>
    <row r="243" spans="1:7" ht="14.25" customHeight="1">
      <c r="A243" s="41">
        <v>42673</v>
      </c>
      <c r="B243" s="7">
        <v>8672.35</v>
      </c>
      <c r="C243" s="7">
        <v>8678.25</v>
      </c>
      <c r="D243" s="7">
        <v>8616.25</v>
      </c>
      <c r="E243" s="7">
        <v>8625.7000000000007</v>
      </c>
      <c r="F243" s="7">
        <v>16610872</v>
      </c>
      <c r="G243" s="42">
        <v>805.89</v>
      </c>
    </row>
    <row r="244" spans="1:7" ht="14.25" customHeight="1">
      <c r="A244" s="41">
        <v>42675</v>
      </c>
      <c r="B244" s="7">
        <v>8653.15</v>
      </c>
      <c r="C244" s="7">
        <v>8669.6</v>
      </c>
      <c r="D244" s="7">
        <v>8614.5</v>
      </c>
      <c r="E244" s="7">
        <v>8626.25</v>
      </c>
      <c r="F244" s="7">
        <v>170068995</v>
      </c>
      <c r="G244" s="42">
        <v>8441.2999999999993</v>
      </c>
    </row>
    <row r="245" spans="1:7" ht="14.25" customHeight="1">
      <c r="A245" s="41">
        <v>42676</v>
      </c>
      <c r="B245" s="7">
        <v>8542.7999999999993</v>
      </c>
      <c r="C245" s="7">
        <v>8549.5</v>
      </c>
      <c r="D245" s="7">
        <v>8504.85</v>
      </c>
      <c r="E245" s="7">
        <v>8514</v>
      </c>
      <c r="F245" s="7">
        <v>160130480</v>
      </c>
      <c r="G245" s="42">
        <v>7683.07</v>
      </c>
    </row>
    <row r="246" spans="1:7" ht="14.25" customHeight="1">
      <c r="A246" s="41">
        <v>42677</v>
      </c>
      <c r="B246" s="7">
        <v>8499.85</v>
      </c>
      <c r="C246" s="7">
        <v>8537.65</v>
      </c>
      <c r="D246" s="7">
        <v>8476.15</v>
      </c>
      <c r="E246" s="7">
        <v>8484.9500000000007</v>
      </c>
      <c r="F246" s="7">
        <v>175773254</v>
      </c>
      <c r="G246" s="42">
        <v>7558.06</v>
      </c>
    </row>
    <row r="247" spans="1:7" ht="14.25" customHeight="1">
      <c r="A247" s="41">
        <v>42678</v>
      </c>
      <c r="B247" s="7">
        <v>8503.6</v>
      </c>
      <c r="C247" s="7">
        <v>8504</v>
      </c>
      <c r="D247" s="7">
        <v>8400.25</v>
      </c>
      <c r="E247" s="7">
        <v>8433.75</v>
      </c>
      <c r="F247" s="7">
        <v>231783152</v>
      </c>
      <c r="G247" s="42">
        <v>11798.48</v>
      </c>
    </row>
    <row r="248" spans="1:7" ht="14.25" customHeight="1">
      <c r="A248" s="41">
        <v>42681</v>
      </c>
      <c r="B248" s="7">
        <v>8535.75</v>
      </c>
      <c r="C248" s="7">
        <v>8535.85</v>
      </c>
      <c r="D248" s="7">
        <v>8481.4500000000007</v>
      </c>
      <c r="E248" s="7">
        <v>8497.0499999999993</v>
      </c>
      <c r="F248" s="7">
        <v>178070534</v>
      </c>
      <c r="G248" s="42">
        <v>8436.7000000000007</v>
      </c>
    </row>
    <row r="249" spans="1:7" ht="14.25" customHeight="1">
      <c r="A249" s="41">
        <v>42682</v>
      </c>
      <c r="B249" s="7">
        <v>8540</v>
      </c>
      <c r="C249" s="7">
        <v>8559.4</v>
      </c>
      <c r="D249" s="7">
        <v>8480.1</v>
      </c>
      <c r="E249" s="7">
        <v>8543.5499999999993</v>
      </c>
      <c r="F249" s="7">
        <v>201759648</v>
      </c>
      <c r="G249" s="42">
        <v>8515.57</v>
      </c>
    </row>
    <row r="250" spans="1:7" ht="14.25" customHeight="1">
      <c r="A250" s="41">
        <v>42683</v>
      </c>
      <c r="B250" s="7">
        <v>8067.5</v>
      </c>
      <c r="C250" s="7">
        <v>8476.2000000000007</v>
      </c>
      <c r="D250" s="7">
        <v>8002.25</v>
      </c>
      <c r="E250" s="7">
        <v>8432</v>
      </c>
      <c r="F250" s="7">
        <v>323968654</v>
      </c>
      <c r="G250" s="42">
        <v>15536.37</v>
      </c>
    </row>
    <row r="251" spans="1:7" ht="14.25" customHeight="1">
      <c r="A251" s="41">
        <v>42684</v>
      </c>
      <c r="B251" s="7">
        <v>8555.6</v>
      </c>
      <c r="C251" s="7">
        <v>8598.4500000000007</v>
      </c>
      <c r="D251" s="7">
        <v>8510.7000000000007</v>
      </c>
      <c r="E251" s="7">
        <v>8525.75</v>
      </c>
      <c r="F251" s="7">
        <v>271196930</v>
      </c>
      <c r="G251" s="42">
        <v>12386.39</v>
      </c>
    </row>
    <row r="252" spans="1:7" ht="14.25" customHeight="1">
      <c r="A252" s="41">
        <v>42685</v>
      </c>
      <c r="B252" s="7">
        <v>8456.65</v>
      </c>
      <c r="C252" s="7">
        <v>8460.6</v>
      </c>
      <c r="D252" s="7">
        <v>8284.9500000000007</v>
      </c>
      <c r="E252" s="7">
        <v>8296.2999999999993</v>
      </c>
      <c r="F252" s="7">
        <v>275221694</v>
      </c>
      <c r="G252" s="42">
        <v>12485.11</v>
      </c>
    </row>
    <row r="253" spans="1:7" ht="14.25" customHeight="1">
      <c r="A253" s="41">
        <v>42689</v>
      </c>
      <c r="B253" s="7">
        <v>8284.85</v>
      </c>
      <c r="C253" s="7">
        <v>8288.5499999999993</v>
      </c>
      <c r="D253" s="7">
        <v>8093.2</v>
      </c>
      <c r="E253" s="7">
        <v>8108.45</v>
      </c>
      <c r="F253" s="7">
        <v>370298063</v>
      </c>
      <c r="G253" s="42">
        <v>17387.22</v>
      </c>
    </row>
    <row r="254" spans="1:7" ht="14.25" customHeight="1">
      <c r="A254" s="41">
        <v>42690</v>
      </c>
      <c r="B254" s="7">
        <v>8205.65</v>
      </c>
      <c r="C254" s="7">
        <v>8210.0499999999993</v>
      </c>
      <c r="D254" s="7">
        <v>8089.4</v>
      </c>
      <c r="E254" s="7">
        <v>8111.6</v>
      </c>
      <c r="F254" s="7">
        <v>277801233</v>
      </c>
      <c r="G254" s="42">
        <v>13705.03</v>
      </c>
    </row>
    <row r="255" spans="1:7" ht="14.25" customHeight="1">
      <c r="A255" s="41">
        <v>42691</v>
      </c>
      <c r="B255" s="7">
        <v>8105.1</v>
      </c>
      <c r="C255" s="7">
        <v>8151.25</v>
      </c>
      <c r="D255" s="7">
        <v>8060.3</v>
      </c>
      <c r="E255" s="7">
        <v>8079.95</v>
      </c>
      <c r="F255" s="7">
        <v>197183084</v>
      </c>
      <c r="G255" s="42">
        <v>8713.06</v>
      </c>
    </row>
    <row r="256" spans="1:7" ht="14.25" customHeight="1">
      <c r="A256" s="41">
        <v>42692</v>
      </c>
      <c r="B256" s="7">
        <v>8097.55</v>
      </c>
      <c r="C256" s="7">
        <v>8128.95</v>
      </c>
      <c r="D256" s="7">
        <v>8048.3</v>
      </c>
      <c r="E256" s="7">
        <v>8074.1</v>
      </c>
      <c r="F256" s="7">
        <v>166199545</v>
      </c>
      <c r="G256" s="42">
        <v>7901.64</v>
      </c>
    </row>
    <row r="257" spans="1:7" ht="14.25" customHeight="1">
      <c r="A257" s="41">
        <v>42695</v>
      </c>
      <c r="B257" s="7">
        <v>8102.1</v>
      </c>
      <c r="C257" s="7">
        <v>8102.45</v>
      </c>
      <c r="D257" s="7">
        <v>7916.4</v>
      </c>
      <c r="E257" s="7">
        <v>7929.1</v>
      </c>
      <c r="F257" s="7">
        <v>225608889</v>
      </c>
      <c r="G257" s="42">
        <v>9199.11</v>
      </c>
    </row>
    <row r="258" spans="1:7" ht="14.25" customHeight="1">
      <c r="A258" s="41">
        <v>42696</v>
      </c>
      <c r="B258" s="7">
        <v>7989.15</v>
      </c>
      <c r="C258" s="7">
        <v>8019.05</v>
      </c>
      <c r="D258" s="7">
        <v>7938.15</v>
      </c>
      <c r="E258" s="7">
        <v>8002.3</v>
      </c>
      <c r="F258" s="7">
        <v>216677654</v>
      </c>
      <c r="G258" s="42">
        <v>9000.44</v>
      </c>
    </row>
    <row r="259" spans="1:7" ht="14.25" customHeight="1">
      <c r="A259" s="41">
        <v>42697</v>
      </c>
      <c r="B259" s="7">
        <v>8051.2</v>
      </c>
      <c r="C259" s="7">
        <v>8055.2</v>
      </c>
      <c r="D259" s="7">
        <v>7973.1</v>
      </c>
      <c r="E259" s="7">
        <v>8033.3</v>
      </c>
      <c r="F259" s="7">
        <v>186602328</v>
      </c>
      <c r="G259" s="42">
        <v>8681.67</v>
      </c>
    </row>
    <row r="260" spans="1:7" ht="14.25" customHeight="1">
      <c r="A260" s="41">
        <v>42698</v>
      </c>
      <c r="B260" s="7">
        <v>8011.8</v>
      </c>
      <c r="C260" s="7">
        <v>8024.85</v>
      </c>
      <c r="D260" s="7">
        <v>7952.55</v>
      </c>
      <c r="E260" s="7">
        <v>7965.5</v>
      </c>
      <c r="F260" s="7">
        <v>268619026</v>
      </c>
      <c r="G260" s="42">
        <v>11868.11</v>
      </c>
    </row>
    <row r="261" spans="1:7" ht="14.25" customHeight="1">
      <c r="A261" s="41">
        <v>42699</v>
      </c>
      <c r="B261" s="7">
        <v>8007.95</v>
      </c>
      <c r="C261" s="7">
        <v>8122.25</v>
      </c>
      <c r="D261" s="7">
        <v>7976.75</v>
      </c>
      <c r="E261" s="7">
        <v>8114.3</v>
      </c>
      <c r="F261" s="7">
        <v>183355873</v>
      </c>
      <c r="G261" s="42">
        <v>8920.7900000000009</v>
      </c>
    </row>
    <row r="262" spans="1:7" ht="14.25" customHeight="1">
      <c r="A262" s="41">
        <v>42702</v>
      </c>
      <c r="B262" s="7">
        <v>8080.65</v>
      </c>
      <c r="C262" s="7">
        <v>8146.5</v>
      </c>
      <c r="D262" s="7">
        <v>8066.5</v>
      </c>
      <c r="E262" s="7">
        <v>8126.9</v>
      </c>
      <c r="F262" s="7">
        <v>195595287</v>
      </c>
      <c r="G262" s="42">
        <v>8666.8700000000008</v>
      </c>
    </row>
    <row r="263" spans="1:7" ht="14.25" customHeight="1">
      <c r="A263" s="41">
        <v>42703</v>
      </c>
      <c r="B263" s="7">
        <v>8131.55</v>
      </c>
      <c r="C263" s="7">
        <v>8197.35</v>
      </c>
      <c r="D263" s="7">
        <v>8128.7</v>
      </c>
      <c r="E263" s="7">
        <v>8142.15</v>
      </c>
      <c r="F263" s="7">
        <v>195618384</v>
      </c>
      <c r="G263" s="42">
        <v>8486.32</v>
      </c>
    </row>
    <row r="264" spans="1:7" ht="14.25" customHeight="1">
      <c r="A264" s="41">
        <v>42704</v>
      </c>
      <c r="B264" s="7">
        <v>8172.15</v>
      </c>
      <c r="C264" s="7">
        <v>8234.25</v>
      </c>
      <c r="D264" s="7">
        <v>8139.25</v>
      </c>
      <c r="E264" s="7">
        <v>8224.5</v>
      </c>
      <c r="F264" s="7">
        <v>255725357</v>
      </c>
      <c r="G264" s="42">
        <v>14473.78</v>
      </c>
    </row>
    <row r="265" spans="1:7" ht="14.25" customHeight="1">
      <c r="A265" s="41">
        <v>42705</v>
      </c>
      <c r="B265" s="7">
        <v>8244</v>
      </c>
      <c r="C265" s="7">
        <v>8250.7999999999993</v>
      </c>
      <c r="D265" s="7">
        <v>8185.05</v>
      </c>
      <c r="E265" s="7">
        <v>8192.9</v>
      </c>
      <c r="F265" s="7">
        <v>162597213</v>
      </c>
      <c r="G265" s="42">
        <v>7720.96</v>
      </c>
    </row>
    <row r="266" spans="1:7" ht="14.25" customHeight="1">
      <c r="A266" s="41">
        <v>42706</v>
      </c>
      <c r="B266" s="7">
        <v>8153.55</v>
      </c>
      <c r="C266" s="7">
        <v>8159.3</v>
      </c>
      <c r="D266" s="7">
        <v>8070.05</v>
      </c>
      <c r="E266" s="7">
        <v>8086.8</v>
      </c>
      <c r="F266" s="7">
        <v>176767415</v>
      </c>
      <c r="G266" s="42">
        <v>8050.5</v>
      </c>
    </row>
    <row r="267" spans="1:7" ht="14.25" customHeight="1">
      <c r="A267" s="41">
        <v>42709</v>
      </c>
      <c r="B267" s="7">
        <v>8088.75</v>
      </c>
      <c r="C267" s="7">
        <v>8141.9</v>
      </c>
      <c r="D267" s="7">
        <v>8056.85</v>
      </c>
      <c r="E267" s="7">
        <v>8128.75</v>
      </c>
      <c r="F267" s="7">
        <v>130435865</v>
      </c>
      <c r="G267" s="42">
        <v>6432.02</v>
      </c>
    </row>
    <row r="268" spans="1:7" ht="14.25" customHeight="1">
      <c r="A268" s="41">
        <v>42710</v>
      </c>
      <c r="B268" s="7">
        <v>8153.15</v>
      </c>
      <c r="C268" s="7">
        <v>8178.7</v>
      </c>
      <c r="D268" s="7">
        <v>8130.85</v>
      </c>
      <c r="E268" s="7">
        <v>8143.15</v>
      </c>
      <c r="F268" s="7">
        <v>118854323</v>
      </c>
      <c r="G268" s="42">
        <v>5417.56</v>
      </c>
    </row>
    <row r="269" spans="1:7" ht="14.25" customHeight="1">
      <c r="A269" s="41">
        <v>42711</v>
      </c>
      <c r="B269" s="7">
        <v>8168.4</v>
      </c>
      <c r="C269" s="7">
        <v>8190.45</v>
      </c>
      <c r="D269" s="7">
        <v>8077.5</v>
      </c>
      <c r="E269" s="7">
        <v>8102.05</v>
      </c>
      <c r="F269" s="7">
        <v>175024334</v>
      </c>
      <c r="G269" s="42">
        <v>7900.03</v>
      </c>
    </row>
    <row r="270" spans="1:7" ht="14.25" customHeight="1">
      <c r="A270" s="41">
        <v>42712</v>
      </c>
      <c r="B270" s="7">
        <v>8152.1</v>
      </c>
      <c r="C270" s="7">
        <v>8256.25</v>
      </c>
      <c r="D270" s="7">
        <v>8151.75</v>
      </c>
      <c r="E270" s="7">
        <v>8246.85</v>
      </c>
      <c r="F270" s="7">
        <v>146857616</v>
      </c>
      <c r="G270" s="42">
        <v>7275.01</v>
      </c>
    </row>
    <row r="271" spans="1:7" ht="14.25" customHeight="1">
      <c r="A271" s="41">
        <v>42713</v>
      </c>
      <c r="B271" s="7">
        <v>8271.7000000000007</v>
      </c>
      <c r="C271" s="7">
        <v>8274.9500000000007</v>
      </c>
      <c r="D271" s="7">
        <v>8241.9500000000007</v>
      </c>
      <c r="E271" s="7">
        <v>8261.75</v>
      </c>
      <c r="F271" s="7">
        <v>154344775</v>
      </c>
      <c r="G271" s="42">
        <v>6866.81</v>
      </c>
    </row>
    <row r="272" spans="1:7" ht="14.25" customHeight="1">
      <c r="A272" s="41">
        <v>42716</v>
      </c>
      <c r="B272" s="7">
        <v>8230.65</v>
      </c>
      <c r="C272" s="7">
        <v>8230.65</v>
      </c>
      <c r="D272" s="7">
        <v>8154.45</v>
      </c>
      <c r="E272" s="7">
        <v>8170.8</v>
      </c>
      <c r="F272" s="7">
        <v>111432551</v>
      </c>
      <c r="G272" s="42">
        <v>5026.0200000000004</v>
      </c>
    </row>
    <row r="273" spans="1:7" ht="14.25" customHeight="1">
      <c r="A273" s="41">
        <v>42717</v>
      </c>
      <c r="B273" s="7">
        <v>8196.15</v>
      </c>
      <c r="C273" s="7">
        <v>8228.85</v>
      </c>
      <c r="D273" s="7">
        <v>8155.8</v>
      </c>
      <c r="E273" s="7">
        <v>8221.7999999999993</v>
      </c>
      <c r="F273" s="7">
        <v>189739559</v>
      </c>
      <c r="G273" s="42">
        <v>8976.5400000000009</v>
      </c>
    </row>
    <row r="274" spans="1:7" ht="14.25" customHeight="1">
      <c r="A274" s="41">
        <v>42718</v>
      </c>
      <c r="B274" s="7">
        <v>8229.35</v>
      </c>
      <c r="C274" s="7">
        <v>8229.4</v>
      </c>
      <c r="D274" s="7">
        <v>8165.1</v>
      </c>
      <c r="E274" s="7">
        <v>8182.45</v>
      </c>
      <c r="F274" s="7">
        <v>149132520</v>
      </c>
      <c r="G274" s="42">
        <v>6763.63</v>
      </c>
    </row>
    <row r="275" spans="1:7" ht="14.25" customHeight="1">
      <c r="A275" s="41">
        <v>42719</v>
      </c>
      <c r="B275" s="7">
        <v>8128.4</v>
      </c>
      <c r="C275" s="7">
        <v>8225.9</v>
      </c>
      <c r="D275" s="7">
        <v>8121.95</v>
      </c>
      <c r="E275" s="7">
        <v>8153.6</v>
      </c>
      <c r="F275" s="7">
        <v>187425988</v>
      </c>
      <c r="G275" s="42">
        <v>8579.44</v>
      </c>
    </row>
    <row r="276" spans="1:7" ht="14.25" customHeight="1">
      <c r="A276" s="41">
        <v>42720</v>
      </c>
      <c r="B276" s="7">
        <v>8178.2</v>
      </c>
      <c r="C276" s="7">
        <v>8178.7</v>
      </c>
      <c r="D276" s="7">
        <v>8127.45</v>
      </c>
      <c r="E276" s="7">
        <v>8139.45</v>
      </c>
      <c r="F276" s="7">
        <v>209268331</v>
      </c>
      <c r="G276" s="42">
        <v>9854.07</v>
      </c>
    </row>
    <row r="277" spans="1:7" ht="14.25" customHeight="1">
      <c r="A277" s="41">
        <v>42723</v>
      </c>
      <c r="B277" s="7">
        <v>8126</v>
      </c>
      <c r="C277" s="7">
        <v>8132.5</v>
      </c>
      <c r="D277" s="7">
        <v>8094.85</v>
      </c>
      <c r="E277" s="7">
        <v>8104.35</v>
      </c>
      <c r="F277" s="7">
        <v>110669713</v>
      </c>
      <c r="G277" s="42">
        <v>5272.2</v>
      </c>
    </row>
    <row r="278" spans="1:7" ht="14.25" customHeight="1">
      <c r="A278" s="41">
        <v>42724</v>
      </c>
      <c r="B278" s="7">
        <v>8110.6</v>
      </c>
      <c r="C278" s="7">
        <v>8124.1</v>
      </c>
      <c r="D278" s="7">
        <v>8062.75</v>
      </c>
      <c r="E278" s="7">
        <v>8082.4</v>
      </c>
      <c r="F278" s="7">
        <v>132026742</v>
      </c>
      <c r="G278" s="42">
        <v>6296.67</v>
      </c>
    </row>
    <row r="279" spans="1:7" ht="14.25" customHeight="1">
      <c r="A279" s="41">
        <v>42725</v>
      </c>
      <c r="B279" s="7">
        <v>8105.85</v>
      </c>
      <c r="C279" s="7">
        <v>8112.55</v>
      </c>
      <c r="D279" s="7">
        <v>8053.25</v>
      </c>
      <c r="E279" s="7">
        <v>8061.3</v>
      </c>
      <c r="F279" s="7">
        <v>127543733</v>
      </c>
      <c r="G279" s="42">
        <v>6304.6</v>
      </c>
    </row>
    <row r="280" spans="1:7" ht="14.25" customHeight="1">
      <c r="A280" s="41">
        <v>42726</v>
      </c>
      <c r="B280" s="7">
        <v>8043.85</v>
      </c>
      <c r="C280" s="7">
        <v>8046.45</v>
      </c>
      <c r="D280" s="7">
        <v>7964.95</v>
      </c>
      <c r="E280" s="7">
        <v>7979.1</v>
      </c>
      <c r="F280" s="7">
        <v>126409580</v>
      </c>
      <c r="G280" s="42">
        <v>6206.58</v>
      </c>
    </row>
    <row r="281" spans="1:7" ht="14.25" customHeight="1">
      <c r="A281" s="41">
        <v>42727</v>
      </c>
      <c r="B281" s="7">
        <v>7972.5</v>
      </c>
      <c r="C281" s="7">
        <v>8022.6</v>
      </c>
      <c r="D281" s="7">
        <v>7942.05</v>
      </c>
      <c r="E281" s="7">
        <v>7985.75</v>
      </c>
      <c r="F281" s="7">
        <v>127921701</v>
      </c>
      <c r="G281" s="42">
        <v>5907.28</v>
      </c>
    </row>
    <row r="282" spans="1:7" ht="14.25" customHeight="1">
      <c r="A282" s="41">
        <v>42730</v>
      </c>
      <c r="B282" s="7">
        <v>7965.1</v>
      </c>
      <c r="C282" s="7">
        <v>7970.05</v>
      </c>
      <c r="D282" s="7">
        <v>7893.8</v>
      </c>
      <c r="E282" s="7">
        <v>7908.25</v>
      </c>
      <c r="F282" s="7">
        <v>110171222</v>
      </c>
      <c r="G282" s="42">
        <v>4808.67</v>
      </c>
    </row>
    <row r="283" spans="1:7" ht="14.25" customHeight="1">
      <c r="A283" s="41">
        <v>42731</v>
      </c>
      <c r="B283" s="7">
        <v>7915.05</v>
      </c>
      <c r="C283" s="7">
        <v>8044.65</v>
      </c>
      <c r="D283" s="7">
        <v>7903.7</v>
      </c>
      <c r="E283" s="7">
        <v>8032.85</v>
      </c>
      <c r="F283" s="7">
        <v>122463312</v>
      </c>
      <c r="G283" s="42">
        <v>5282.66</v>
      </c>
    </row>
    <row r="284" spans="1:7" ht="14.25" customHeight="1">
      <c r="A284" s="41">
        <v>42732</v>
      </c>
      <c r="B284" s="7">
        <v>8047.55</v>
      </c>
      <c r="C284" s="7">
        <v>8100.55</v>
      </c>
      <c r="D284" s="7">
        <v>8028.4</v>
      </c>
      <c r="E284" s="7">
        <v>8034.85</v>
      </c>
      <c r="F284" s="7">
        <v>130580701</v>
      </c>
      <c r="G284" s="42">
        <v>5816.34</v>
      </c>
    </row>
    <row r="285" spans="1:7" ht="14.25" customHeight="1">
      <c r="A285" s="41">
        <v>42733</v>
      </c>
      <c r="B285" s="7">
        <v>8030.6</v>
      </c>
      <c r="C285" s="7">
        <v>8111.1</v>
      </c>
      <c r="D285" s="7">
        <v>8020.8</v>
      </c>
      <c r="E285" s="7">
        <v>8103.6</v>
      </c>
      <c r="F285" s="7">
        <v>183984077</v>
      </c>
      <c r="G285" s="42">
        <v>7635.4</v>
      </c>
    </row>
    <row r="286" spans="1:7" ht="14.25" customHeight="1">
      <c r="A286" s="41">
        <v>42734</v>
      </c>
      <c r="B286" s="7">
        <v>8119.65</v>
      </c>
      <c r="C286" s="7">
        <v>8197</v>
      </c>
      <c r="D286" s="7">
        <v>8114.75</v>
      </c>
      <c r="E286" s="7">
        <v>8185.8</v>
      </c>
      <c r="F286" s="7">
        <v>131457250</v>
      </c>
      <c r="G286" s="42">
        <v>5800.7</v>
      </c>
    </row>
    <row r="287" spans="1:7" ht="14.25" customHeight="1">
      <c r="A287" s="41">
        <v>42737</v>
      </c>
      <c r="B287" s="7">
        <v>8210.1</v>
      </c>
      <c r="C287" s="7">
        <v>8212</v>
      </c>
      <c r="D287" s="7">
        <v>8133.8</v>
      </c>
      <c r="E287" s="7">
        <v>8179.5</v>
      </c>
      <c r="F287" s="7">
        <v>122016111</v>
      </c>
      <c r="G287" s="42">
        <v>5255.49</v>
      </c>
    </row>
    <row r="288" spans="1:7" ht="14.25" customHeight="1">
      <c r="A288" s="41">
        <v>42738</v>
      </c>
      <c r="B288" s="7">
        <v>8196.0499999999993</v>
      </c>
      <c r="C288" s="7">
        <v>8219.1</v>
      </c>
      <c r="D288" s="7">
        <v>8148.6</v>
      </c>
      <c r="E288" s="7">
        <v>8192.25</v>
      </c>
      <c r="F288" s="7">
        <v>131186021</v>
      </c>
      <c r="G288" s="42">
        <v>6053.67</v>
      </c>
    </row>
    <row r="289" spans="1:7" ht="14.25" customHeight="1">
      <c r="A289" s="41">
        <v>42739</v>
      </c>
      <c r="B289" s="7">
        <v>8202.65</v>
      </c>
      <c r="C289" s="7">
        <v>8218.5</v>
      </c>
      <c r="D289" s="7">
        <v>8180.9</v>
      </c>
      <c r="E289" s="7">
        <v>8190.5</v>
      </c>
      <c r="F289" s="7">
        <v>136476345</v>
      </c>
      <c r="G289" s="42">
        <v>6543.13</v>
      </c>
    </row>
    <row r="290" spans="1:7" ht="14.25" customHeight="1">
      <c r="A290" s="41">
        <v>42740</v>
      </c>
      <c r="B290" s="7">
        <v>8226.65</v>
      </c>
      <c r="C290" s="7">
        <v>8282.65</v>
      </c>
      <c r="D290" s="7">
        <v>8223.7000000000007</v>
      </c>
      <c r="E290" s="7">
        <v>8273.7999999999993</v>
      </c>
      <c r="F290" s="7">
        <v>163957452</v>
      </c>
      <c r="G290" s="42">
        <v>8180.68</v>
      </c>
    </row>
    <row r="291" spans="1:7" ht="14.25" customHeight="1">
      <c r="A291" s="41">
        <v>42741</v>
      </c>
      <c r="B291" s="7">
        <v>8281.85</v>
      </c>
      <c r="C291" s="7">
        <v>8306.85</v>
      </c>
      <c r="D291" s="7">
        <v>8233.25</v>
      </c>
      <c r="E291" s="7">
        <v>8243.7999999999993</v>
      </c>
      <c r="F291" s="7">
        <v>143689850</v>
      </c>
      <c r="G291" s="42">
        <v>7298.74</v>
      </c>
    </row>
    <row r="292" spans="1:7" ht="14.25" customHeight="1">
      <c r="A292" s="41">
        <v>42744</v>
      </c>
      <c r="B292" s="7">
        <v>8259.35</v>
      </c>
      <c r="C292" s="7">
        <v>8263</v>
      </c>
      <c r="D292" s="7">
        <v>8227.75</v>
      </c>
      <c r="E292" s="7">
        <v>8236.0499999999993</v>
      </c>
      <c r="F292" s="7">
        <v>102211190</v>
      </c>
      <c r="G292" s="42">
        <v>5197.62</v>
      </c>
    </row>
    <row r="293" spans="1:7" ht="14.25" customHeight="1">
      <c r="A293" s="41">
        <v>42745</v>
      </c>
      <c r="B293" s="7">
        <v>8262.7000000000007</v>
      </c>
      <c r="C293" s="7">
        <v>8293.7999999999993</v>
      </c>
      <c r="D293" s="7">
        <v>8261</v>
      </c>
      <c r="E293" s="7">
        <v>8288.6</v>
      </c>
      <c r="F293" s="7">
        <v>147312927</v>
      </c>
      <c r="G293" s="42">
        <v>6904.57</v>
      </c>
    </row>
    <row r="294" spans="1:7" ht="14.25" customHeight="1">
      <c r="A294" s="41">
        <v>42746</v>
      </c>
      <c r="B294" s="7">
        <v>8327.7999999999993</v>
      </c>
      <c r="C294" s="7">
        <v>8389</v>
      </c>
      <c r="D294" s="7">
        <v>8322.25</v>
      </c>
      <c r="E294" s="7">
        <v>8380.65</v>
      </c>
      <c r="F294" s="7">
        <v>192285417</v>
      </c>
      <c r="G294" s="42">
        <v>8938.68</v>
      </c>
    </row>
    <row r="295" spans="1:7" ht="14.25" customHeight="1">
      <c r="A295" s="41">
        <v>42747</v>
      </c>
      <c r="B295" s="7">
        <v>8391.0499999999993</v>
      </c>
      <c r="C295" s="7">
        <v>8417.2000000000007</v>
      </c>
      <c r="D295" s="7">
        <v>8382.2999999999993</v>
      </c>
      <c r="E295" s="7">
        <v>8407.2000000000007</v>
      </c>
      <c r="F295" s="7">
        <v>177948383</v>
      </c>
      <c r="G295" s="42">
        <v>7359.24</v>
      </c>
    </row>
    <row r="296" spans="1:7" ht="14.25" customHeight="1">
      <c r="A296" s="41">
        <v>42748</v>
      </c>
      <c r="B296" s="7">
        <v>8457.65</v>
      </c>
      <c r="C296" s="7">
        <v>8461.0499999999993</v>
      </c>
      <c r="D296" s="7">
        <v>8373.15</v>
      </c>
      <c r="E296" s="7">
        <v>8400.35</v>
      </c>
      <c r="F296" s="7">
        <v>190949616</v>
      </c>
      <c r="G296" s="42">
        <v>9156.16</v>
      </c>
    </row>
    <row r="297" spans="1:7" ht="14.25" customHeight="1">
      <c r="A297" s="41">
        <v>42751</v>
      </c>
      <c r="B297" s="7">
        <v>8390.9500000000007</v>
      </c>
      <c r="C297" s="7">
        <v>8426.7000000000007</v>
      </c>
      <c r="D297" s="7">
        <v>8374.4</v>
      </c>
      <c r="E297" s="7">
        <v>8412.7999999999993</v>
      </c>
      <c r="F297" s="7">
        <v>127938836</v>
      </c>
      <c r="G297" s="42">
        <v>6043.67</v>
      </c>
    </row>
    <row r="298" spans="1:7" ht="14.25" customHeight="1">
      <c r="A298" s="41">
        <v>42752</v>
      </c>
      <c r="B298" s="7">
        <v>8415.0499999999993</v>
      </c>
      <c r="C298" s="7">
        <v>8440.9</v>
      </c>
      <c r="D298" s="7">
        <v>8378.2999999999993</v>
      </c>
      <c r="E298" s="7">
        <v>8398</v>
      </c>
      <c r="F298" s="7">
        <v>125781216</v>
      </c>
      <c r="G298" s="42">
        <v>6389.21</v>
      </c>
    </row>
    <row r="299" spans="1:7" ht="14.25" customHeight="1">
      <c r="A299" s="41">
        <v>42753</v>
      </c>
      <c r="B299" s="7">
        <v>8403.85</v>
      </c>
      <c r="C299" s="7">
        <v>8460.2999999999993</v>
      </c>
      <c r="D299" s="7">
        <v>8397.4</v>
      </c>
      <c r="E299" s="7">
        <v>8417</v>
      </c>
      <c r="F299" s="7">
        <v>168867039</v>
      </c>
      <c r="G299" s="42">
        <v>7411.23</v>
      </c>
    </row>
    <row r="300" spans="1:7" ht="14.25" customHeight="1">
      <c r="A300" s="41">
        <v>42754</v>
      </c>
      <c r="B300" s="7">
        <v>8418.4</v>
      </c>
      <c r="C300" s="7">
        <v>8445.15</v>
      </c>
      <c r="D300" s="7">
        <v>8404.0499999999993</v>
      </c>
      <c r="E300" s="7">
        <v>8435.1</v>
      </c>
      <c r="F300" s="7">
        <v>170956149</v>
      </c>
      <c r="G300" s="42">
        <v>7324.14</v>
      </c>
    </row>
    <row r="301" spans="1:7" ht="14.25" customHeight="1">
      <c r="A301" s="41">
        <v>42755</v>
      </c>
      <c r="B301" s="7">
        <v>8404.35</v>
      </c>
      <c r="C301" s="7">
        <v>8423.65</v>
      </c>
      <c r="D301" s="7">
        <v>8340.9500000000007</v>
      </c>
      <c r="E301" s="7">
        <v>8349.35</v>
      </c>
      <c r="F301" s="7">
        <v>208901233</v>
      </c>
      <c r="G301" s="42">
        <v>9014.51</v>
      </c>
    </row>
    <row r="302" spans="1:7" ht="14.25" customHeight="1">
      <c r="A302" s="41">
        <v>42758</v>
      </c>
      <c r="B302" s="7">
        <v>8329.6</v>
      </c>
      <c r="C302" s="7">
        <v>8404.15</v>
      </c>
      <c r="D302" s="7">
        <v>8327.2000000000007</v>
      </c>
      <c r="E302" s="7">
        <v>8391.5</v>
      </c>
      <c r="F302" s="7">
        <v>200993100</v>
      </c>
      <c r="G302" s="42">
        <v>8664.94</v>
      </c>
    </row>
    <row r="303" spans="1:7" ht="14.25" customHeight="1">
      <c r="A303" s="41">
        <v>42759</v>
      </c>
      <c r="B303" s="7">
        <v>8407.0499999999993</v>
      </c>
      <c r="C303" s="7">
        <v>8480.9500000000007</v>
      </c>
      <c r="D303" s="7">
        <v>8398.15</v>
      </c>
      <c r="E303" s="7">
        <v>8475.7999999999993</v>
      </c>
      <c r="F303" s="7">
        <v>184745781</v>
      </c>
      <c r="G303" s="42">
        <v>8524.17</v>
      </c>
    </row>
    <row r="304" spans="1:7" ht="14.25" customHeight="1">
      <c r="A304" s="41">
        <v>42760</v>
      </c>
      <c r="B304" s="7">
        <v>8499.4500000000007</v>
      </c>
      <c r="C304" s="7">
        <v>8612.6</v>
      </c>
      <c r="D304" s="7">
        <v>8493.9500000000007</v>
      </c>
      <c r="E304" s="7">
        <v>8602.75</v>
      </c>
      <c r="F304" s="7">
        <v>301490150</v>
      </c>
      <c r="G304" s="42">
        <v>13901.89</v>
      </c>
    </row>
    <row r="305" spans="1:7" ht="14.25" customHeight="1">
      <c r="A305" s="41">
        <v>42762</v>
      </c>
      <c r="B305" s="7">
        <v>8610.5</v>
      </c>
      <c r="C305" s="7">
        <v>8672.7000000000007</v>
      </c>
      <c r="D305" s="7">
        <v>8606.9</v>
      </c>
      <c r="E305" s="7">
        <v>8641.25</v>
      </c>
      <c r="F305" s="7">
        <v>283905821</v>
      </c>
      <c r="G305" s="42">
        <v>11568.92</v>
      </c>
    </row>
    <row r="306" spans="1:7" ht="14.25" customHeight="1">
      <c r="A306" s="41">
        <v>42765</v>
      </c>
      <c r="B306" s="7">
        <v>8635.5499999999993</v>
      </c>
      <c r="C306" s="7">
        <v>8662.6</v>
      </c>
      <c r="D306" s="7">
        <v>8617.75</v>
      </c>
      <c r="E306" s="7">
        <v>8632.75</v>
      </c>
      <c r="F306" s="7">
        <v>314110760</v>
      </c>
      <c r="G306" s="42">
        <v>9333.49</v>
      </c>
    </row>
    <row r="307" spans="1:7" ht="14.25" customHeight="1">
      <c r="A307" s="41">
        <v>42766</v>
      </c>
      <c r="B307" s="7">
        <v>8629.4500000000007</v>
      </c>
      <c r="C307" s="7">
        <v>8631.75</v>
      </c>
      <c r="D307" s="7">
        <v>8552.4</v>
      </c>
      <c r="E307" s="7">
        <v>8561.2999999999993</v>
      </c>
      <c r="F307" s="7">
        <v>537110119</v>
      </c>
      <c r="G307" s="42">
        <v>14721.17</v>
      </c>
    </row>
    <row r="308" spans="1:7" ht="14.25" customHeight="1">
      <c r="A308" s="41">
        <v>42767</v>
      </c>
      <c r="B308" s="7">
        <v>8570.35</v>
      </c>
      <c r="C308" s="7">
        <v>8722.4</v>
      </c>
      <c r="D308" s="7">
        <v>8537.5</v>
      </c>
      <c r="E308" s="7">
        <v>8716.4</v>
      </c>
      <c r="F308" s="7">
        <v>337797412</v>
      </c>
      <c r="G308" s="42">
        <v>13494.05</v>
      </c>
    </row>
    <row r="309" spans="1:7" ht="14.25" customHeight="1">
      <c r="A309" s="41">
        <v>42768</v>
      </c>
      <c r="B309" s="7">
        <v>8724.75</v>
      </c>
      <c r="C309" s="7">
        <v>8757.6</v>
      </c>
      <c r="D309" s="7">
        <v>8685.7999999999993</v>
      </c>
      <c r="E309" s="7">
        <v>8734.25</v>
      </c>
      <c r="F309" s="7">
        <v>292329202</v>
      </c>
      <c r="G309" s="42">
        <v>11555.02</v>
      </c>
    </row>
    <row r="310" spans="1:7" ht="14.25" customHeight="1">
      <c r="A310" s="41">
        <v>42769</v>
      </c>
      <c r="B310" s="7">
        <v>8735.15</v>
      </c>
      <c r="C310" s="7">
        <v>8748.25</v>
      </c>
      <c r="D310" s="7">
        <v>8707.75</v>
      </c>
      <c r="E310" s="7">
        <v>8740.9500000000007</v>
      </c>
      <c r="F310" s="7">
        <v>196936238</v>
      </c>
      <c r="G310" s="42">
        <v>8193.4500000000007</v>
      </c>
    </row>
    <row r="311" spans="1:7" ht="14.25" customHeight="1">
      <c r="A311" s="41">
        <v>42772</v>
      </c>
      <c r="B311" s="7">
        <v>8785.4500000000007</v>
      </c>
      <c r="C311" s="7">
        <v>8814.1</v>
      </c>
      <c r="D311" s="7">
        <v>8770.2000000000007</v>
      </c>
      <c r="E311" s="7">
        <v>8801.0499999999993</v>
      </c>
      <c r="F311" s="7">
        <v>200403782</v>
      </c>
      <c r="G311" s="42">
        <v>8701.51</v>
      </c>
    </row>
    <row r="312" spans="1:7" ht="14.25" customHeight="1">
      <c r="A312" s="41">
        <v>42773</v>
      </c>
      <c r="B312" s="7">
        <v>8805.7000000000007</v>
      </c>
      <c r="C312" s="7">
        <v>8809.2999999999993</v>
      </c>
      <c r="D312" s="7">
        <v>8741.0499999999993</v>
      </c>
      <c r="E312" s="7">
        <v>8768.2999999999993</v>
      </c>
      <c r="F312" s="7">
        <v>233294532</v>
      </c>
      <c r="G312" s="42">
        <v>9060.6299999999992</v>
      </c>
    </row>
    <row r="313" spans="1:7" ht="14.25" customHeight="1">
      <c r="A313" s="41">
        <v>42774</v>
      </c>
      <c r="B313" s="7">
        <v>8774.5499999999993</v>
      </c>
      <c r="C313" s="7">
        <v>8791.25</v>
      </c>
      <c r="D313" s="7">
        <v>8715</v>
      </c>
      <c r="E313" s="7">
        <v>8769.0499999999993</v>
      </c>
      <c r="F313" s="7">
        <v>225485726</v>
      </c>
      <c r="G313" s="42">
        <v>9110.24</v>
      </c>
    </row>
    <row r="314" spans="1:7" ht="14.25" customHeight="1">
      <c r="A314" s="41">
        <v>42775</v>
      </c>
      <c r="B314" s="7">
        <v>8795.5499999999993</v>
      </c>
      <c r="C314" s="7">
        <v>8821.4</v>
      </c>
      <c r="D314" s="7">
        <v>8724.1</v>
      </c>
      <c r="E314" s="7">
        <v>8778.4</v>
      </c>
      <c r="F314" s="7">
        <v>193282248</v>
      </c>
      <c r="G314" s="42">
        <v>8972.67</v>
      </c>
    </row>
    <row r="315" spans="1:7" ht="14.25" customHeight="1">
      <c r="A315" s="41">
        <v>42776</v>
      </c>
      <c r="B315" s="7">
        <v>8812.35</v>
      </c>
      <c r="C315" s="7">
        <v>8822.1</v>
      </c>
      <c r="D315" s="7">
        <v>8771.2000000000007</v>
      </c>
      <c r="E315" s="7">
        <v>8793.5499999999993</v>
      </c>
      <c r="F315" s="7">
        <v>232947341</v>
      </c>
      <c r="G315" s="42">
        <v>10320.17</v>
      </c>
    </row>
    <row r="316" spans="1:7" ht="14.25" customHeight="1">
      <c r="A316" s="41">
        <v>42779</v>
      </c>
      <c r="B316" s="7">
        <v>8819.7999999999993</v>
      </c>
      <c r="C316" s="7">
        <v>8826.9</v>
      </c>
      <c r="D316" s="7">
        <v>8754.2000000000007</v>
      </c>
      <c r="E316" s="7">
        <v>8805.0499999999993</v>
      </c>
      <c r="F316" s="7">
        <v>211180353</v>
      </c>
      <c r="G316" s="42">
        <v>8659.48</v>
      </c>
    </row>
    <row r="317" spans="1:7" ht="14.25" customHeight="1">
      <c r="A317" s="41">
        <v>42780</v>
      </c>
      <c r="B317" s="7">
        <v>8819.9</v>
      </c>
      <c r="C317" s="7">
        <v>8820.4500000000007</v>
      </c>
      <c r="D317" s="7">
        <v>8772.5</v>
      </c>
      <c r="E317" s="7">
        <v>8792.2999999999993</v>
      </c>
      <c r="F317" s="7">
        <v>194133563</v>
      </c>
      <c r="G317" s="42">
        <v>8494.44</v>
      </c>
    </row>
    <row r="318" spans="1:7" ht="14.25" customHeight="1">
      <c r="A318" s="41">
        <v>42781</v>
      </c>
      <c r="B318" s="7">
        <v>8778.9500000000007</v>
      </c>
      <c r="C318" s="7">
        <v>8807.9</v>
      </c>
      <c r="D318" s="7">
        <v>8712.85</v>
      </c>
      <c r="E318" s="7">
        <v>8724.7000000000007</v>
      </c>
      <c r="F318" s="7">
        <v>222828919</v>
      </c>
      <c r="G318" s="42">
        <v>10472.370000000001</v>
      </c>
    </row>
    <row r="319" spans="1:7" ht="14.25" customHeight="1">
      <c r="A319" s="41">
        <v>42782</v>
      </c>
      <c r="B319" s="7">
        <v>8739</v>
      </c>
      <c r="C319" s="7">
        <v>8783.9500000000007</v>
      </c>
      <c r="D319" s="7">
        <v>8719.6</v>
      </c>
      <c r="E319" s="7">
        <v>8778</v>
      </c>
      <c r="F319" s="7">
        <v>190277738</v>
      </c>
      <c r="G319" s="42">
        <v>9695.6299999999992</v>
      </c>
    </row>
    <row r="320" spans="1:7" ht="14.25" customHeight="1">
      <c r="A320" s="41">
        <v>42783</v>
      </c>
      <c r="B320" s="7">
        <v>8883.7000000000007</v>
      </c>
      <c r="C320" s="7">
        <v>8896.4500000000007</v>
      </c>
      <c r="D320" s="7">
        <v>8804.25</v>
      </c>
      <c r="E320" s="7">
        <v>8821.7000000000007</v>
      </c>
      <c r="F320" s="7">
        <v>307526025</v>
      </c>
      <c r="G320" s="42">
        <v>23432.58</v>
      </c>
    </row>
    <row r="321" spans="1:7" ht="14.25" customHeight="1">
      <c r="A321" s="41">
        <v>42786</v>
      </c>
      <c r="B321" s="7">
        <v>8818.5499999999993</v>
      </c>
      <c r="C321" s="7">
        <v>8886.25</v>
      </c>
      <c r="D321" s="7">
        <v>8809.7999999999993</v>
      </c>
      <c r="E321" s="7">
        <v>8879.2000000000007</v>
      </c>
      <c r="F321" s="7">
        <v>173022362</v>
      </c>
      <c r="G321" s="42">
        <v>7833.53</v>
      </c>
    </row>
    <row r="322" spans="1:7" ht="14.25" customHeight="1">
      <c r="A322" s="41">
        <v>42787</v>
      </c>
      <c r="B322" s="7">
        <v>8890.75</v>
      </c>
      <c r="C322" s="7">
        <v>8920.7999999999993</v>
      </c>
      <c r="D322" s="7">
        <v>8860.9500000000007</v>
      </c>
      <c r="E322" s="7">
        <v>8907.85</v>
      </c>
      <c r="F322" s="7">
        <v>181091326</v>
      </c>
      <c r="G322" s="42">
        <v>8863.7099999999991</v>
      </c>
    </row>
    <row r="323" spans="1:7" ht="14.25" customHeight="1">
      <c r="A323" s="41">
        <v>42788</v>
      </c>
      <c r="B323" s="7">
        <v>8931.6</v>
      </c>
      <c r="C323" s="7">
        <v>8960.75</v>
      </c>
      <c r="D323" s="7">
        <v>8905.25</v>
      </c>
      <c r="E323" s="7">
        <v>8926.9</v>
      </c>
      <c r="F323" s="7">
        <v>254677956</v>
      </c>
      <c r="G323" s="42">
        <v>13514.08</v>
      </c>
    </row>
    <row r="324" spans="1:7" ht="14.25" customHeight="1">
      <c r="A324" s="41">
        <v>42789</v>
      </c>
      <c r="B324" s="7">
        <v>8956.4</v>
      </c>
      <c r="C324" s="7">
        <v>8982.15</v>
      </c>
      <c r="D324" s="7">
        <v>8927.5499999999993</v>
      </c>
      <c r="E324" s="7">
        <v>8939.5</v>
      </c>
      <c r="F324" s="7">
        <v>388874096</v>
      </c>
      <c r="G324" s="42">
        <v>17243.080000000002</v>
      </c>
    </row>
    <row r="325" spans="1:7" ht="14.25" customHeight="1">
      <c r="A325" s="41">
        <v>42793</v>
      </c>
      <c r="B325" s="7">
        <v>8943.7000000000007</v>
      </c>
      <c r="C325" s="7">
        <v>8951.7999999999993</v>
      </c>
      <c r="D325" s="7">
        <v>8888.65</v>
      </c>
      <c r="E325" s="7">
        <v>8896.7000000000007</v>
      </c>
      <c r="F325" s="7">
        <v>195847099</v>
      </c>
      <c r="G325" s="42">
        <v>10388.83</v>
      </c>
    </row>
    <row r="326" spans="1:7" ht="14.25" customHeight="1">
      <c r="A326" s="41">
        <v>42794</v>
      </c>
      <c r="B326" s="7">
        <v>8898.9500000000007</v>
      </c>
      <c r="C326" s="7">
        <v>8914.75</v>
      </c>
      <c r="D326" s="7">
        <v>8867.6</v>
      </c>
      <c r="E326" s="7">
        <v>8879.6</v>
      </c>
      <c r="F326" s="7">
        <v>302722890</v>
      </c>
      <c r="G326" s="42">
        <v>13819.57</v>
      </c>
    </row>
    <row r="327" spans="1:7" ht="14.25" customHeight="1">
      <c r="A327" s="41">
        <v>42795</v>
      </c>
      <c r="B327" s="7">
        <v>8904.4</v>
      </c>
      <c r="C327" s="7">
        <v>8960.7999999999993</v>
      </c>
      <c r="D327" s="7">
        <v>8898.6</v>
      </c>
      <c r="E327" s="7">
        <v>8945.7999999999993</v>
      </c>
      <c r="F327" s="7">
        <v>212328974</v>
      </c>
      <c r="G327" s="42">
        <v>9681.99</v>
      </c>
    </row>
    <row r="328" spans="1:7" ht="14.25" customHeight="1">
      <c r="A328" s="41">
        <v>42796</v>
      </c>
      <c r="B328" s="7">
        <v>8982.85</v>
      </c>
      <c r="C328" s="7">
        <v>8992.5</v>
      </c>
      <c r="D328" s="7">
        <v>8879.7999999999993</v>
      </c>
      <c r="E328" s="7">
        <v>8899.75</v>
      </c>
      <c r="F328" s="7">
        <v>225608140</v>
      </c>
      <c r="G328" s="42">
        <v>10075.19</v>
      </c>
    </row>
    <row r="329" spans="1:7" ht="14.25" customHeight="1">
      <c r="A329" s="41">
        <v>42797</v>
      </c>
      <c r="B329" s="7">
        <v>8883.5</v>
      </c>
      <c r="C329" s="7">
        <v>8907.1</v>
      </c>
      <c r="D329" s="7">
        <v>8860.1</v>
      </c>
      <c r="E329" s="7">
        <v>8897.5499999999993</v>
      </c>
      <c r="F329" s="7">
        <v>208915878</v>
      </c>
      <c r="G329" s="42">
        <v>9783.57</v>
      </c>
    </row>
    <row r="330" spans="1:7" ht="14.25" customHeight="1">
      <c r="A330" s="41">
        <v>42800</v>
      </c>
      <c r="B330" s="7">
        <v>8915.1</v>
      </c>
      <c r="C330" s="7">
        <v>8967.7999999999993</v>
      </c>
      <c r="D330" s="7">
        <v>8914</v>
      </c>
      <c r="E330" s="7">
        <v>8963.4500000000007</v>
      </c>
      <c r="F330" s="7">
        <v>180194586</v>
      </c>
      <c r="G330" s="42">
        <v>8955.06</v>
      </c>
    </row>
    <row r="331" spans="1:7" ht="14.25" customHeight="1">
      <c r="A331" s="41">
        <v>42801</v>
      </c>
      <c r="B331" s="7">
        <v>8977.75</v>
      </c>
      <c r="C331" s="7">
        <v>8977.85</v>
      </c>
      <c r="D331" s="7">
        <v>8932.7999999999993</v>
      </c>
      <c r="E331" s="7">
        <v>8946.9</v>
      </c>
      <c r="F331" s="7">
        <v>178827506</v>
      </c>
      <c r="G331" s="42">
        <v>8149.28</v>
      </c>
    </row>
    <row r="332" spans="1:7" ht="14.25" customHeight="1">
      <c r="A332" s="41">
        <v>42802</v>
      </c>
      <c r="B332" s="7">
        <v>8950.7000000000007</v>
      </c>
      <c r="C332" s="7">
        <v>8957.0499999999993</v>
      </c>
      <c r="D332" s="7">
        <v>8891.9500000000007</v>
      </c>
      <c r="E332" s="7">
        <v>8924.2999999999993</v>
      </c>
      <c r="F332" s="7">
        <v>183325544</v>
      </c>
      <c r="G332" s="42">
        <v>9489.36</v>
      </c>
    </row>
    <row r="333" spans="1:7" ht="14.25" customHeight="1">
      <c r="A333" s="41">
        <v>42803</v>
      </c>
      <c r="B333" s="7">
        <v>8914.5</v>
      </c>
      <c r="C333" s="7">
        <v>8945.7999999999993</v>
      </c>
      <c r="D333" s="7">
        <v>8899.5</v>
      </c>
      <c r="E333" s="7">
        <v>8927</v>
      </c>
      <c r="F333" s="7">
        <v>176810453</v>
      </c>
      <c r="G333" s="42">
        <v>8493.2099999999991</v>
      </c>
    </row>
    <row r="334" spans="1:7" ht="14.25" customHeight="1">
      <c r="A334" s="41">
        <v>42804</v>
      </c>
      <c r="B334" s="7">
        <v>8953.7000000000007</v>
      </c>
      <c r="C334" s="7">
        <v>8975.7000000000007</v>
      </c>
      <c r="D334" s="7">
        <v>8903.9500000000007</v>
      </c>
      <c r="E334" s="7">
        <v>8934.5499999999993</v>
      </c>
      <c r="F334" s="7">
        <v>157419999</v>
      </c>
      <c r="G334" s="42">
        <v>7385.28</v>
      </c>
    </row>
    <row r="335" spans="1:7" ht="14.25" customHeight="1">
      <c r="A335" s="41">
        <v>42808</v>
      </c>
      <c r="B335" s="7">
        <v>9091.65</v>
      </c>
      <c r="C335" s="7">
        <v>9122.75</v>
      </c>
      <c r="D335" s="7">
        <v>9060.5</v>
      </c>
      <c r="E335" s="7">
        <v>9087</v>
      </c>
      <c r="F335" s="7">
        <v>278726933</v>
      </c>
      <c r="G335" s="42">
        <v>14087.57</v>
      </c>
    </row>
    <row r="336" spans="1:7" ht="14.25" customHeight="1">
      <c r="A336" s="41">
        <v>42809</v>
      </c>
      <c r="B336" s="7">
        <v>9086.85</v>
      </c>
      <c r="C336" s="7">
        <v>9106.5499999999993</v>
      </c>
      <c r="D336" s="7">
        <v>9075.5</v>
      </c>
      <c r="E336" s="7">
        <v>9084.7999999999993</v>
      </c>
      <c r="F336" s="7">
        <v>248033251</v>
      </c>
      <c r="G336" s="42">
        <v>9671.51</v>
      </c>
    </row>
    <row r="337" spans="1:7" ht="14.25" customHeight="1">
      <c r="A337" s="41">
        <v>42810</v>
      </c>
      <c r="B337" s="7">
        <v>9129.65</v>
      </c>
      <c r="C337" s="7">
        <v>9158.4500000000007</v>
      </c>
      <c r="D337" s="7">
        <v>9128.5499999999993</v>
      </c>
      <c r="E337" s="7">
        <v>9153.7000000000007</v>
      </c>
      <c r="F337" s="7">
        <v>215096446</v>
      </c>
      <c r="G337" s="42">
        <v>9275.0499999999993</v>
      </c>
    </row>
    <row r="338" spans="1:7" ht="14.25" customHeight="1">
      <c r="A338" s="41">
        <v>42811</v>
      </c>
      <c r="B338" s="7">
        <v>9207.7999999999993</v>
      </c>
      <c r="C338" s="7">
        <v>9218.4</v>
      </c>
      <c r="D338" s="7">
        <v>9147.6</v>
      </c>
      <c r="E338" s="7">
        <v>9160.0499999999993</v>
      </c>
      <c r="F338" s="7">
        <v>295554265</v>
      </c>
      <c r="G338" s="42">
        <v>13226.29</v>
      </c>
    </row>
    <row r="339" spans="1:7" ht="14.25" customHeight="1">
      <c r="A339" s="41">
        <v>42814</v>
      </c>
      <c r="B339" s="7">
        <v>9166.9500000000007</v>
      </c>
      <c r="C339" s="7">
        <v>9167.6</v>
      </c>
      <c r="D339" s="7">
        <v>9116.2999999999993</v>
      </c>
      <c r="E339" s="7">
        <v>9126.85</v>
      </c>
      <c r="F339" s="7">
        <v>342395900</v>
      </c>
      <c r="G339" s="42">
        <v>9251.16</v>
      </c>
    </row>
    <row r="340" spans="1:7" ht="14.25" customHeight="1">
      <c r="A340" s="41">
        <v>42815</v>
      </c>
      <c r="B340" s="7">
        <v>9133.9500000000007</v>
      </c>
      <c r="C340" s="7">
        <v>9147.75</v>
      </c>
      <c r="D340" s="7">
        <v>9087.2000000000007</v>
      </c>
      <c r="E340" s="7">
        <v>9121.5</v>
      </c>
      <c r="F340" s="7">
        <v>255396073</v>
      </c>
      <c r="G340" s="42">
        <v>10191.6</v>
      </c>
    </row>
    <row r="341" spans="1:7" ht="14.25" customHeight="1">
      <c r="A341" s="41">
        <v>42816</v>
      </c>
      <c r="B341" s="7">
        <v>9047.2000000000007</v>
      </c>
      <c r="C341" s="7">
        <v>9072.9</v>
      </c>
      <c r="D341" s="7">
        <v>9019.2999999999993</v>
      </c>
      <c r="E341" s="7">
        <v>9030.4500000000007</v>
      </c>
      <c r="F341" s="7">
        <v>239463699</v>
      </c>
      <c r="G341" s="42">
        <v>10065.92</v>
      </c>
    </row>
    <row r="342" spans="1:7" ht="14.25" customHeight="1">
      <c r="A342" s="41">
        <v>42817</v>
      </c>
      <c r="B342" s="7">
        <v>9048.75</v>
      </c>
      <c r="C342" s="7">
        <v>9099.0499999999993</v>
      </c>
      <c r="D342" s="7">
        <v>9048.6</v>
      </c>
      <c r="E342" s="7">
        <v>9086.2999999999993</v>
      </c>
      <c r="F342" s="7">
        <v>197705274</v>
      </c>
      <c r="G342" s="42">
        <v>8699.36</v>
      </c>
    </row>
    <row r="343" spans="1:7" ht="14.25" customHeight="1">
      <c r="A343" s="41">
        <v>42818</v>
      </c>
      <c r="B343" s="7">
        <v>9104</v>
      </c>
      <c r="C343" s="7">
        <v>9133.5499999999993</v>
      </c>
      <c r="D343" s="7">
        <v>9089.4</v>
      </c>
      <c r="E343" s="7">
        <v>9108</v>
      </c>
      <c r="F343" s="7">
        <v>210021581</v>
      </c>
      <c r="G343" s="42">
        <v>8853.0300000000007</v>
      </c>
    </row>
    <row r="344" spans="1:7" ht="14.25" customHeight="1">
      <c r="A344" s="41">
        <v>42821</v>
      </c>
      <c r="B344" s="7">
        <v>9093.4500000000007</v>
      </c>
      <c r="C344" s="7">
        <v>9094.85</v>
      </c>
      <c r="D344" s="7">
        <v>9024.65</v>
      </c>
      <c r="E344" s="7">
        <v>9045.2000000000007</v>
      </c>
      <c r="F344" s="7">
        <v>209036051</v>
      </c>
      <c r="G344" s="42">
        <v>8921.57</v>
      </c>
    </row>
    <row r="345" spans="1:7" ht="14.25" customHeight="1">
      <c r="A345" s="41">
        <v>42822</v>
      </c>
      <c r="B345" s="7">
        <v>9081.5</v>
      </c>
      <c r="C345" s="7">
        <v>9110.4</v>
      </c>
      <c r="D345" s="7">
        <v>9079.7999999999993</v>
      </c>
      <c r="E345" s="7">
        <v>9100.7999999999993</v>
      </c>
      <c r="F345" s="7">
        <v>188985603</v>
      </c>
      <c r="G345" s="42">
        <v>8139.28</v>
      </c>
    </row>
    <row r="346" spans="1:7" ht="14.25" customHeight="1">
      <c r="A346" s="41">
        <v>42823</v>
      </c>
      <c r="B346" s="7">
        <v>9128.7000000000007</v>
      </c>
      <c r="C346" s="7">
        <v>9153.15</v>
      </c>
      <c r="D346" s="7">
        <v>9109.1</v>
      </c>
      <c r="E346" s="7">
        <v>9143.7999999999993</v>
      </c>
      <c r="F346" s="7">
        <v>250902906</v>
      </c>
      <c r="G346" s="42">
        <v>11089.43</v>
      </c>
    </row>
    <row r="347" spans="1:7" ht="14.25" customHeight="1">
      <c r="A347" s="41">
        <v>42824</v>
      </c>
      <c r="B347" s="7">
        <v>9142.6</v>
      </c>
      <c r="C347" s="7">
        <v>9183.15</v>
      </c>
      <c r="D347" s="7">
        <v>9136.35</v>
      </c>
      <c r="E347" s="7">
        <v>9173.75</v>
      </c>
      <c r="F347" s="7">
        <v>333410368</v>
      </c>
      <c r="G347" s="42">
        <v>15585.42</v>
      </c>
    </row>
    <row r="348" spans="1:7" ht="14.25" customHeight="1">
      <c r="A348" s="41">
        <v>42825</v>
      </c>
      <c r="B348" s="7">
        <v>9158.9</v>
      </c>
      <c r="C348" s="7">
        <v>9191.7000000000007</v>
      </c>
      <c r="D348" s="7">
        <v>9152.1</v>
      </c>
      <c r="E348" s="7">
        <v>9173.75</v>
      </c>
      <c r="F348" s="7">
        <v>196771674</v>
      </c>
      <c r="G348" s="42">
        <v>10955.05</v>
      </c>
    </row>
    <row r="349" spans="1:7" ht="14.25" customHeight="1">
      <c r="A349" s="41">
        <v>42828</v>
      </c>
      <c r="B349" s="7">
        <v>9220.6</v>
      </c>
      <c r="C349" s="7">
        <v>9245.35</v>
      </c>
      <c r="D349" s="7">
        <v>9192.4</v>
      </c>
      <c r="E349" s="7">
        <v>9237.85</v>
      </c>
      <c r="F349" s="7">
        <v>143444541</v>
      </c>
      <c r="G349" s="42">
        <v>8337.06</v>
      </c>
    </row>
    <row r="350" spans="1:7" ht="14.25" customHeight="1">
      <c r="A350" s="41">
        <v>42830</v>
      </c>
      <c r="B350" s="7">
        <v>9264.4</v>
      </c>
      <c r="C350" s="7">
        <v>9273.9</v>
      </c>
      <c r="D350" s="7">
        <v>9215.4</v>
      </c>
      <c r="E350" s="7">
        <v>9265.15</v>
      </c>
      <c r="F350" s="7">
        <v>190529461</v>
      </c>
      <c r="G350" s="42">
        <v>11461.96</v>
      </c>
    </row>
    <row r="351" spans="1:7" ht="14.25" customHeight="1">
      <c r="A351" s="41">
        <v>42831</v>
      </c>
      <c r="B351" s="7">
        <v>9245.7999999999993</v>
      </c>
      <c r="C351" s="7">
        <v>9267.9500000000007</v>
      </c>
      <c r="D351" s="7">
        <v>9218.85</v>
      </c>
      <c r="E351" s="7">
        <v>9261.9500000000007</v>
      </c>
      <c r="F351" s="7">
        <v>191937207</v>
      </c>
      <c r="G351" s="42">
        <v>10332.6</v>
      </c>
    </row>
    <row r="352" spans="1:7" ht="14.25" customHeight="1">
      <c r="A352" s="41">
        <v>42832</v>
      </c>
      <c r="B352" s="7">
        <v>9223.7000000000007</v>
      </c>
      <c r="C352" s="7">
        <v>9250.5</v>
      </c>
      <c r="D352" s="7">
        <v>9188.1</v>
      </c>
      <c r="E352" s="7">
        <v>9198.2999999999993</v>
      </c>
      <c r="F352" s="7">
        <v>195918747</v>
      </c>
      <c r="G352" s="42">
        <v>10217.129999999999</v>
      </c>
    </row>
    <row r="353" spans="1:7" ht="14.25" customHeight="1">
      <c r="A353" s="41">
        <v>42835</v>
      </c>
      <c r="B353" s="7">
        <v>9225.6</v>
      </c>
      <c r="C353" s="7">
        <v>9225.65</v>
      </c>
      <c r="D353" s="7">
        <v>9174.85</v>
      </c>
      <c r="E353" s="7">
        <v>9181.4500000000007</v>
      </c>
      <c r="F353" s="7">
        <v>139968750</v>
      </c>
      <c r="G353" s="42">
        <v>8140.08</v>
      </c>
    </row>
    <row r="354" spans="1:7" ht="14.25" customHeight="1">
      <c r="A354" s="41">
        <v>42836</v>
      </c>
      <c r="B354" s="7">
        <v>9184.5499999999993</v>
      </c>
      <c r="C354" s="7">
        <v>9242.7000000000007</v>
      </c>
      <c r="D354" s="7">
        <v>9172.85</v>
      </c>
      <c r="E354" s="7">
        <v>9237</v>
      </c>
      <c r="F354" s="7">
        <v>206261727</v>
      </c>
      <c r="G354" s="42">
        <v>9385.2000000000007</v>
      </c>
    </row>
    <row r="355" spans="1:7" ht="14.25" customHeight="1">
      <c r="A355" s="41">
        <v>42837</v>
      </c>
      <c r="B355" s="7">
        <v>9242.5</v>
      </c>
      <c r="C355" s="7">
        <v>9246.4</v>
      </c>
      <c r="D355" s="7">
        <v>9161.7999999999993</v>
      </c>
      <c r="E355" s="7">
        <v>9203.4500000000007</v>
      </c>
      <c r="F355" s="7">
        <v>166755013</v>
      </c>
      <c r="G355" s="42">
        <v>8412.9699999999993</v>
      </c>
    </row>
    <row r="356" spans="1:7" ht="14.25" customHeight="1">
      <c r="A356" s="41">
        <v>42838</v>
      </c>
      <c r="B356" s="7">
        <v>9202.5</v>
      </c>
      <c r="C356" s="7">
        <v>9202.65</v>
      </c>
      <c r="D356" s="7">
        <v>9144.9500000000007</v>
      </c>
      <c r="E356" s="7">
        <v>9150.7999999999993</v>
      </c>
      <c r="F356" s="7">
        <v>171695600</v>
      </c>
      <c r="G356" s="42">
        <v>8908.17</v>
      </c>
    </row>
    <row r="357" spans="1:7" ht="14.25" customHeight="1">
      <c r="A357" s="41">
        <v>42842</v>
      </c>
      <c r="B357" s="7">
        <v>9144.75</v>
      </c>
      <c r="C357" s="7">
        <v>9160</v>
      </c>
      <c r="D357" s="7">
        <v>9120.25</v>
      </c>
      <c r="E357" s="7">
        <v>9139.2999999999993</v>
      </c>
      <c r="F357" s="7">
        <v>132244225</v>
      </c>
      <c r="G357" s="42">
        <v>6473.27</v>
      </c>
    </row>
    <row r="358" spans="1:7" ht="14.25" customHeight="1">
      <c r="A358" s="41">
        <v>42843</v>
      </c>
      <c r="B358" s="7">
        <v>9163</v>
      </c>
      <c r="C358" s="7">
        <v>9217.9</v>
      </c>
      <c r="D358" s="7">
        <v>9095.4500000000007</v>
      </c>
      <c r="E358" s="7">
        <v>9105.15</v>
      </c>
      <c r="F358" s="7">
        <v>179569574</v>
      </c>
      <c r="G358" s="42">
        <v>8527.5</v>
      </c>
    </row>
    <row r="359" spans="1:7" ht="14.25" customHeight="1">
      <c r="A359" s="41">
        <v>42844</v>
      </c>
      <c r="B359" s="7">
        <v>9112.2000000000007</v>
      </c>
      <c r="C359" s="7">
        <v>9120.5</v>
      </c>
      <c r="D359" s="7">
        <v>9075.15</v>
      </c>
      <c r="E359" s="7">
        <v>9103.5</v>
      </c>
      <c r="F359" s="7">
        <v>179117382</v>
      </c>
      <c r="G359" s="42">
        <v>8950.27</v>
      </c>
    </row>
    <row r="360" spans="1:7" ht="14.25" customHeight="1">
      <c r="A360" s="41">
        <v>42845</v>
      </c>
      <c r="B360" s="7">
        <v>9108.1</v>
      </c>
      <c r="C360" s="7">
        <v>9143.9</v>
      </c>
      <c r="D360" s="7">
        <v>9102.65</v>
      </c>
      <c r="E360" s="7">
        <v>9136.4</v>
      </c>
      <c r="F360" s="7">
        <v>175629897</v>
      </c>
      <c r="G360" s="42">
        <v>8843.5</v>
      </c>
    </row>
    <row r="361" spans="1:7" ht="14.25" customHeight="1">
      <c r="A361" s="41">
        <v>42846</v>
      </c>
      <c r="B361" s="7">
        <v>9179.1</v>
      </c>
      <c r="C361" s="7">
        <v>9183.65</v>
      </c>
      <c r="D361" s="7">
        <v>9088.75</v>
      </c>
      <c r="E361" s="7">
        <v>9119.4</v>
      </c>
      <c r="F361" s="7">
        <v>159981265</v>
      </c>
      <c r="G361" s="42">
        <v>8476.6299999999992</v>
      </c>
    </row>
    <row r="362" spans="1:7" ht="14.25" customHeight="1">
      <c r="A362" s="41">
        <v>42849</v>
      </c>
      <c r="B362" s="7">
        <v>9135.35</v>
      </c>
      <c r="C362" s="7">
        <v>9225.4</v>
      </c>
      <c r="D362" s="7">
        <v>9130.5499999999993</v>
      </c>
      <c r="E362" s="7">
        <v>9217.9500000000007</v>
      </c>
      <c r="F362" s="7">
        <v>172908048</v>
      </c>
      <c r="G362" s="42">
        <v>9720.75</v>
      </c>
    </row>
    <row r="363" spans="1:7" ht="14.25" customHeight="1">
      <c r="A363" s="41">
        <v>42850</v>
      </c>
      <c r="B363" s="7">
        <v>9273.0499999999993</v>
      </c>
      <c r="C363" s="7">
        <v>9309.2000000000007</v>
      </c>
      <c r="D363" s="7">
        <v>9250.35</v>
      </c>
      <c r="E363" s="7">
        <v>9306.6</v>
      </c>
      <c r="F363" s="7">
        <v>173896951</v>
      </c>
      <c r="G363" s="42">
        <v>10426.02</v>
      </c>
    </row>
    <row r="364" spans="1:7" ht="14.25" customHeight="1">
      <c r="A364" s="41">
        <v>42851</v>
      </c>
      <c r="B364" s="7">
        <v>9336.2000000000007</v>
      </c>
      <c r="C364" s="7">
        <v>9367</v>
      </c>
      <c r="D364" s="7">
        <v>9301.35</v>
      </c>
      <c r="E364" s="7">
        <v>9351.85</v>
      </c>
      <c r="F364" s="7">
        <v>191395120</v>
      </c>
      <c r="G364" s="42">
        <v>10483.32</v>
      </c>
    </row>
    <row r="365" spans="1:7" ht="14.25" customHeight="1">
      <c r="A365" s="41">
        <v>42852</v>
      </c>
      <c r="B365" s="7">
        <v>9359.15</v>
      </c>
      <c r="C365" s="7">
        <v>9367.15</v>
      </c>
      <c r="D365" s="7">
        <v>9322.65</v>
      </c>
      <c r="E365" s="7">
        <v>9342.15</v>
      </c>
      <c r="F365" s="7">
        <v>215881711</v>
      </c>
      <c r="G365" s="42">
        <v>12910.38</v>
      </c>
    </row>
    <row r="366" spans="1:7" ht="14.25" customHeight="1">
      <c r="A366" s="41">
        <v>42853</v>
      </c>
      <c r="B366" s="7">
        <v>9340.9500000000007</v>
      </c>
      <c r="C366" s="7">
        <v>9342.65</v>
      </c>
      <c r="D366" s="7">
        <v>9282.25</v>
      </c>
      <c r="E366" s="7">
        <v>9304.0499999999993</v>
      </c>
      <c r="F366" s="7">
        <v>167229353</v>
      </c>
      <c r="G366" s="42">
        <v>8673.32</v>
      </c>
    </row>
    <row r="367" spans="1:7" ht="14.25" customHeight="1">
      <c r="A367" s="41">
        <v>42857</v>
      </c>
      <c r="B367" s="7">
        <v>9339.85</v>
      </c>
      <c r="C367" s="7">
        <v>9352.5499999999993</v>
      </c>
      <c r="D367" s="7">
        <v>9269.9</v>
      </c>
      <c r="E367" s="7">
        <v>9313.7999999999993</v>
      </c>
      <c r="F367" s="7">
        <v>166558241</v>
      </c>
      <c r="G367" s="42">
        <v>9110.59</v>
      </c>
    </row>
    <row r="368" spans="1:7" ht="14.25" customHeight="1">
      <c r="A368" s="41">
        <v>42858</v>
      </c>
      <c r="B368" s="7">
        <v>9344.7000000000007</v>
      </c>
      <c r="C368" s="7">
        <v>9346.2999999999993</v>
      </c>
      <c r="D368" s="7">
        <v>9298.4</v>
      </c>
      <c r="E368" s="7">
        <v>9311.9500000000007</v>
      </c>
      <c r="F368" s="7">
        <v>156342492</v>
      </c>
      <c r="G368" s="42">
        <v>7975.14</v>
      </c>
    </row>
    <row r="369" spans="1:7" ht="14.25" customHeight="1">
      <c r="A369" s="41">
        <v>42859</v>
      </c>
      <c r="B369" s="7">
        <v>9360.9500000000007</v>
      </c>
      <c r="C369" s="7">
        <v>9365.65</v>
      </c>
      <c r="D369" s="7">
        <v>9323.25</v>
      </c>
      <c r="E369" s="7">
        <v>9359.9</v>
      </c>
      <c r="F369" s="7">
        <v>277895923</v>
      </c>
      <c r="G369" s="42">
        <v>12379.74</v>
      </c>
    </row>
    <row r="370" spans="1:7" ht="14.25" customHeight="1">
      <c r="A370" s="41">
        <v>42860</v>
      </c>
      <c r="B370" s="7">
        <v>9374.5499999999993</v>
      </c>
      <c r="C370" s="7">
        <v>9377.1</v>
      </c>
      <c r="D370" s="7">
        <v>9272</v>
      </c>
      <c r="E370" s="7">
        <v>9285.2999999999993</v>
      </c>
      <c r="F370" s="7">
        <v>239133531</v>
      </c>
      <c r="G370" s="42">
        <v>10466.68</v>
      </c>
    </row>
    <row r="371" spans="1:7" ht="14.25" customHeight="1">
      <c r="A371" s="41">
        <v>42863</v>
      </c>
      <c r="B371" s="7">
        <v>9311.4500000000007</v>
      </c>
      <c r="C371" s="7">
        <v>9338.7000000000007</v>
      </c>
      <c r="D371" s="7">
        <v>9297.9500000000007</v>
      </c>
      <c r="E371" s="7">
        <v>9314.0499999999993</v>
      </c>
      <c r="F371" s="7">
        <v>179709949</v>
      </c>
      <c r="G371" s="42">
        <v>8300.2199999999993</v>
      </c>
    </row>
    <row r="372" spans="1:7" ht="14.25" customHeight="1">
      <c r="A372" s="41">
        <v>42864</v>
      </c>
      <c r="B372" s="7">
        <v>9337.35</v>
      </c>
      <c r="C372" s="7">
        <v>9338.9500000000007</v>
      </c>
      <c r="D372" s="7">
        <v>9307.7000000000007</v>
      </c>
      <c r="E372" s="7">
        <v>9316.85</v>
      </c>
      <c r="F372" s="7">
        <v>136417428</v>
      </c>
      <c r="G372" s="42">
        <v>7504.66</v>
      </c>
    </row>
    <row r="373" spans="1:7" ht="14.25" customHeight="1">
      <c r="A373" s="41">
        <v>42865</v>
      </c>
      <c r="B373" s="7">
        <v>9339.65</v>
      </c>
      <c r="C373" s="7">
        <v>9414.75</v>
      </c>
      <c r="D373" s="7">
        <v>9336</v>
      </c>
      <c r="E373" s="7">
        <v>9407.2999999999993</v>
      </c>
      <c r="F373" s="7">
        <v>157363135</v>
      </c>
      <c r="G373" s="42">
        <v>8619.06</v>
      </c>
    </row>
    <row r="374" spans="1:7" ht="14.25" customHeight="1">
      <c r="A374" s="41">
        <v>42866</v>
      </c>
      <c r="B374" s="7">
        <v>9448.6</v>
      </c>
      <c r="C374" s="7">
        <v>9450.65</v>
      </c>
      <c r="D374" s="7">
        <v>9411.2999999999993</v>
      </c>
      <c r="E374" s="7">
        <v>9422.4</v>
      </c>
      <c r="F374" s="7">
        <v>176439840</v>
      </c>
      <c r="G374" s="42">
        <v>9289.89</v>
      </c>
    </row>
    <row r="375" spans="1:7" ht="14.25" customHeight="1">
      <c r="A375" s="41">
        <v>42867</v>
      </c>
      <c r="B375" s="7">
        <v>9436.65</v>
      </c>
      <c r="C375" s="7">
        <v>9437.75</v>
      </c>
      <c r="D375" s="7">
        <v>9372.5499999999993</v>
      </c>
      <c r="E375" s="7">
        <v>9400.9</v>
      </c>
      <c r="F375" s="7">
        <v>159079418</v>
      </c>
      <c r="G375" s="42">
        <v>9813.4699999999993</v>
      </c>
    </row>
    <row r="376" spans="1:7" ht="14.25" customHeight="1">
      <c r="A376" s="41">
        <v>42870</v>
      </c>
      <c r="B376" s="7">
        <v>9433.5499999999993</v>
      </c>
      <c r="C376" s="7">
        <v>9449.25</v>
      </c>
      <c r="D376" s="7">
        <v>9423.1</v>
      </c>
      <c r="E376" s="7">
        <v>9445.4</v>
      </c>
      <c r="F376" s="7">
        <v>145163953</v>
      </c>
      <c r="G376" s="42">
        <v>7790.97</v>
      </c>
    </row>
    <row r="377" spans="1:7" ht="14.25" customHeight="1">
      <c r="A377" s="41">
        <v>42871</v>
      </c>
      <c r="B377" s="7">
        <v>9461</v>
      </c>
      <c r="C377" s="7">
        <v>9517.2000000000007</v>
      </c>
      <c r="D377" s="7">
        <v>9456.35</v>
      </c>
      <c r="E377" s="7">
        <v>9512.25</v>
      </c>
      <c r="F377" s="7">
        <v>171709433</v>
      </c>
      <c r="G377" s="42">
        <v>9209.89</v>
      </c>
    </row>
    <row r="378" spans="1:7" ht="14.25" customHeight="1">
      <c r="A378" s="41">
        <v>42872</v>
      </c>
      <c r="B378" s="7">
        <v>9517.6</v>
      </c>
      <c r="C378" s="7">
        <v>9532.6</v>
      </c>
      <c r="D378" s="7">
        <v>9486.1</v>
      </c>
      <c r="E378" s="7">
        <v>9525.75</v>
      </c>
      <c r="F378" s="7">
        <v>211856040</v>
      </c>
      <c r="G378" s="42">
        <v>10726.23</v>
      </c>
    </row>
    <row r="379" spans="1:7" ht="14.25" customHeight="1">
      <c r="A379" s="41">
        <v>42873</v>
      </c>
      <c r="B379" s="7">
        <v>9453.2000000000007</v>
      </c>
      <c r="C379" s="7">
        <v>9489.1</v>
      </c>
      <c r="D379" s="7">
        <v>9418.1</v>
      </c>
      <c r="E379" s="7">
        <v>9429.4500000000007</v>
      </c>
      <c r="F379" s="7">
        <v>199340647</v>
      </c>
      <c r="G379" s="42">
        <v>10782.46</v>
      </c>
    </row>
    <row r="380" spans="1:7" ht="14.25" customHeight="1">
      <c r="A380" s="41">
        <v>42874</v>
      </c>
      <c r="B380" s="7">
        <v>9469.9</v>
      </c>
      <c r="C380" s="7">
        <v>9505.75</v>
      </c>
      <c r="D380" s="7">
        <v>9390.75</v>
      </c>
      <c r="E380" s="7">
        <v>9427.9</v>
      </c>
      <c r="F380" s="7">
        <v>259861396</v>
      </c>
      <c r="G380" s="42">
        <v>11544.77</v>
      </c>
    </row>
    <row r="381" spans="1:7" ht="14.25" customHeight="1">
      <c r="A381" s="41">
        <v>42877</v>
      </c>
      <c r="B381" s="7">
        <v>9480.25</v>
      </c>
      <c r="C381" s="7">
        <v>9498.65</v>
      </c>
      <c r="D381" s="7">
        <v>9427.9</v>
      </c>
      <c r="E381" s="7">
        <v>9438.25</v>
      </c>
      <c r="F381" s="7">
        <v>202874757</v>
      </c>
      <c r="G381" s="42">
        <v>9432.9699999999993</v>
      </c>
    </row>
    <row r="382" spans="1:7" ht="14.25" customHeight="1">
      <c r="A382" s="41">
        <v>42878</v>
      </c>
      <c r="B382" s="7">
        <v>9445.0499999999993</v>
      </c>
      <c r="C382" s="7">
        <v>9448.0499999999993</v>
      </c>
      <c r="D382" s="7">
        <v>9370</v>
      </c>
      <c r="E382" s="7">
        <v>9386.15</v>
      </c>
      <c r="F382" s="7">
        <v>231345629</v>
      </c>
      <c r="G382" s="42">
        <v>11553.27</v>
      </c>
    </row>
    <row r="383" spans="1:7" ht="14.25" customHeight="1">
      <c r="A383" s="41">
        <v>42879</v>
      </c>
      <c r="B383" s="7">
        <v>9410.9</v>
      </c>
      <c r="C383" s="7">
        <v>9431.9</v>
      </c>
      <c r="D383" s="7">
        <v>9341.65</v>
      </c>
      <c r="E383" s="7">
        <v>9360.5499999999993</v>
      </c>
      <c r="F383" s="7">
        <v>218265181</v>
      </c>
      <c r="G383" s="42">
        <v>11045.95</v>
      </c>
    </row>
    <row r="384" spans="1:7" ht="14.25" customHeight="1">
      <c r="A384" s="41">
        <v>42880</v>
      </c>
      <c r="B384" s="7">
        <v>9384.0499999999993</v>
      </c>
      <c r="C384" s="7">
        <v>9523.2999999999993</v>
      </c>
      <c r="D384" s="7">
        <v>9379.2000000000007</v>
      </c>
      <c r="E384" s="7">
        <v>9509.75</v>
      </c>
      <c r="F384" s="7">
        <v>298147347</v>
      </c>
      <c r="G384" s="42">
        <v>16964.259999999998</v>
      </c>
    </row>
    <row r="385" spans="1:7" ht="14.25" customHeight="1">
      <c r="A385" s="41">
        <v>42881</v>
      </c>
      <c r="B385" s="7">
        <v>9507.75</v>
      </c>
      <c r="C385" s="7">
        <v>9604.9</v>
      </c>
      <c r="D385" s="7">
        <v>9495.4</v>
      </c>
      <c r="E385" s="7">
        <v>9595.1</v>
      </c>
      <c r="F385" s="7">
        <v>225647631</v>
      </c>
      <c r="G385" s="42">
        <v>11204.36</v>
      </c>
    </row>
    <row r="386" spans="1:7" ht="14.25" customHeight="1">
      <c r="A386" s="41">
        <v>42884</v>
      </c>
      <c r="B386" s="7">
        <v>9560.0499999999993</v>
      </c>
      <c r="C386" s="7">
        <v>9637.75</v>
      </c>
      <c r="D386" s="7">
        <v>9547.7000000000007</v>
      </c>
      <c r="E386" s="7">
        <v>9604.9</v>
      </c>
      <c r="F386" s="7">
        <v>242266034</v>
      </c>
      <c r="G386" s="42">
        <v>12484.61</v>
      </c>
    </row>
    <row r="387" spans="1:7" ht="14.25" customHeight="1">
      <c r="A387" s="41">
        <v>42885</v>
      </c>
      <c r="B387" s="7">
        <v>9590.65</v>
      </c>
      <c r="C387" s="7">
        <v>9635.2999999999993</v>
      </c>
      <c r="D387" s="7">
        <v>9581.2000000000007</v>
      </c>
      <c r="E387" s="7">
        <v>9624.5499999999993</v>
      </c>
      <c r="F387" s="7">
        <v>199894193</v>
      </c>
      <c r="G387" s="42">
        <v>9765.4</v>
      </c>
    </row>
    <row r="388" spans="1:7" ht="14.25" customHeight="1">
      <c r="A388" s="41">
        <v>42886</v>
      </c>
      <c r="B388" s="7">
        <v>9636.5499999999993</v>
      </c>
      <c r="C388" s="7">
        <v>9649.6</v>
      </c>
      <c r="D388" s="7">
        <v>9609.25</v>
      </c>
      <c r="E388" s="7">
        <v>9621.25</v>
      </c>
      <c r="F388" s="7">
        <v>427053433</v>
      </c>
      <c r="G388" s="42">
        <v>19605.939999999999</v>
      </c>
    </row>
    <row r="389" spans="1:7" ht="14.25" customHeight="1">
      <c r="A389" s="41">
        <v>42887</v>
      </c>
      <c r="B389" s="7">
        <v>9603.5499999999993</v>
      </c>
      <c r="C389" s="7">
        <v>9634.65</v>
      </c>
      <c r="D389" s="7">
        <v>9589.9</v>
      </c>
      <c r="E389" s="7">
        <v>9616.1</v>
      </c>
      <c r="F389" s="7">
        <v>181533283</v>
      </c>
      <c r="G389" s="42">
        <v>9482.61</v>
      </c>
    </row>
    <row r="390" spans="1:7" ht="14.25" customHeight="1">
      <c r="A390" s="41">
        <v>42888</v>
      </c>
      <c r="B390" s="7">
        <v>9657.15</v>
      </c>
      <c r="C390" s="7">
        <v>9673.5</v>
      </c>
      <c r="D390" s="7">
        <v>9637.4500000000007</v>
      </c>
      <c r="E390" s="7">
        <v>9653.5</v>
      </c>
      <c r="F390" s="7">
        <v>167195027</v>
      </c>
      <c r="G390" s="42">
        <v>8564.2999999999993</v>
      </c>
    </row>
    <row r="391" spans="1:7" ht="14.25" customHeight="1">
      <c r="A391" s="41">
        <v>42891</v>
      </c>
      <c r="B391" s="7">
        <v>9656.2999999999993</v>
      </c>
      <c r="C391" s="7">
        <v>9687.2000000000007</v>
      </c>
      <c r="D391" s="7">
        <v>9640.7000000000007</v>
      </c>
      <c r="E391" s="7">
        <v>9675.1</v>
      </c>
      <c r="F391" s="7">
        <v>131685021</v>
      </c>
      <c r="G391" s="42">
        <v>7192.24</v>
      </c>
    </row>
    <row r="392" spans="1:7" ht="14.25" customHeight="1">
      <c r="A392" s="41">
        <v>42892</v>
      </c>
      <c r="B392" s="7">
        <v>9704.25</v>
      </c>
      <c r="C392" s="7">
        <v>9709.2999999999993</v>
      </c>
      <c r="D392" s="7">
        <v>9630.2000000000007</v>
      </c>
      <c r="E392" s="7">
        <v>9637.15</v>
      </c>
      <c r="F392" s="7">
        <v>150379695</v>
      </c>
      <c r="G392" s="42">
        <v>8416.5499999999993</v>
      </c>
    </row>
    <row r="393" spans="1:7" ht="14.25" customHeight="1">
      <c r="A393" s="41">
        <v>42893</v>
      </c>
      <c r="B393" s="7">
        <v>9663.9500000000007</v>
      </c>
      <c r="C393" s="7">
        <v>9678.5499999999993</v>
      </c>
      <c r="D393" s="7">
        <v>9630.5499999999993</v>
      </c>
      <c r="E393" s="7">
        <v>9663.9</v>
      </c>
      <c r="F393" s="7">
        <v>165669924</v>
      </c>
      <c r="G393" s="42">
        <v>8989.36</v>
      </c>
    </row>
    <row r="394" spans="1:7" ht="14.25" customHeight="1">
      <c r="A394" s="41">
        <v>42894</v>
      </c>
      <c r="B394" s="7">
        <v>9682.4</v>
      </c>
      <c r="C394" s="7">
        <v>9688.7000000000007</v>
      </c>
      <c r="D394" s="7">
        <v>9641.5</v>
      </c>
      <c r="E394" s="7">
        <v>9647.25</v>
      </c>
      <c r="F394" s="7">
        <v>160165459</v>
      </c>
      <c r="G394" s="42">
        <v>8822.6299999999992</v>
      </c>
    </row>
    <row r="395" spans="1:7" ht="14.25" customHeight="1">
      <c r="A395" s="41">
        <v>42895</v>
      </c>
      <c r="B395" s="7">
        <v>9638.5499999999993</v>
      </c>
      <c r="C395" s="7">
        <v>9676.25</v>
      </c>
      <c r="D395" s="7">
        <v>9608.15</v>
      </c>
      <c r="E395" s="7">
        <v>9668.25</v>
      </c>
      <c r="F395" s="7">
        <v>163897548</v>
      </c>
      <c r="G395" s="42">
        <v>9078.7099999999991</v>
      </c>
    </row>
    <row r="396" spans="1:7" ht="14.25" customHeight="1">
      <c r="A396" s="41">
        <v>42898</v>
      </c>
      <c r="B396" s="7">
        <v>9646.7000000000007</v>
      </c>
      <c r="C396" s="7">
        <v>9647.0499999999993</v>
      </c>
      <c r="D396" s="7">
        <v>9598.5</v>
      </c>
      <c r="E396" s="7">
        <v>9616.4</v>
      </c>
      <c r="F396" s="7">
        <v>145786938</v>
      </c>
      <c r="G396" s="42">
        <v>7686.89</v>
      </c>
    </row>
    <row r="397" spans="1:7" ht="14.25" customHeight="1">
      <c r="A397" s="41">
        <v>42899</v>
      </c>
      <c r="B397" s="7">
        <v>9615.5499999999993</v>
      </c>
      <c r="C397" s="7">
        <v>9654.15</v>
      </c>
      <c r="D397" s="7">
        <v>9595.4</v>
      </c>
      <c r="E397" s="7">
        <v>9606.9</v>
      </c>
      <c r="F397" s="7">
        <v>133734363</v>
      </c>
      <c r="G397" s="42">
        <v>7056.83</v>
      </c>
    </row>
    <row r="398" spans="1:7" ht="14.25" customHeight="1">
      <c r="A398" s="41">
        <v>42900</v>
      </c>
      <c r="B398" s="7">
        <v>9621.5499999999993</v>
      </c>
      <c r="C398" s="7">
        <v>9627.4</v>
      </c>
      <c r="D398" s="7">
        <v>9580.4500000000007</v>
      </c>
      <c r="E398" s="7">
        <v>9618.15</v>
      </c>
      <c r="F398" s="7">
        <v>187378750</v>
      </c>
      <c r="G398" s="42">
        <v>10540.68</v>
      </c>
    </row>
    <row r="399" spans="1:7" ht="14.25" customHeight="1">
      <c r="A399" s="41">
        <v>42901</v>
      </c>
      <c r="B399" s="7">
        <v>9617.9</v>
      </c>
      <c r="C399" s="7">
        <v>9621.4</v>
      </c>
      <c r="D399" s="7">
        <v>9560.7999999999993</v>
      </c>
      <c r="E399" s="7">
        <v>9578.0499999999993</v>
      </c>
      <c r="F399" s="7">
        <v>176423424</v>
      </c>
      <c r="G399" s="42">
        <v>9868.08</v>
      </c>
    </row>
    <row r="400" spans="1:7" ht="14.25" customHeight="1">
      <c r="A400" s="41">
        <v>42902</v>
      </c>
      <c r="B400" s="7">
        <v>9595.4500000000007</v>
      </c>
      <c r="C400" s="7">
        <v>9615.85</v>
      </c>
      <c r="D400" s="7">
        <v>9565.5</v>
      </c>
      <c r="E400" s="7">
        <v>9588.0499999999993</v>
      </c>
      <c r="F400" s="7">
        <v>219808528</v>
      </c>
      <c r="G400" s="42">
        <v>11920.62</v>
      </c>
    </row>
    <row r="401" spans="1:7" ht="14.25" customHeight="1">
      <c r="A401" s="41">
        <v>42905</v>
      </c>
      <c r="B401" s="7">
        <v>9626.4</v>
      </c>
      <c r="C401" s="7">
        <v>9673.2999999999993</v>
      </c>
      <c r="D401" s="7">
        <v>9614.9</v>
      </c>
      <c r="E401" s="7">
        <v>9657.5499999999993</v>
      </c>
      <c r="F401" s="7">
        <v>146146062</v>
      </c>
      <c r="G401" s="42">
        <v>8144.36</v>
      </c>
    </row>
    <row r="402" spans="1:7" ht="14.25" customHeight="1">
      <c r="A402" s="41">
        <v>42906</v>
      </c>
      <c r="B402" s="7">
        <v>9670.5</v>
      </c>
      <c r="C402" s="7">
        <v>9676.5</v>
      </c>
      <c r="D402" s="7">
        <v>9643.75</v>
      </c>
      <c r="E402" s="7">
        <v>9653.5</v>
      </c>
      <c r="F402" s="7">
        <v>164437226</v>
      </c>
      <c r="G402" s="42">
        <v>8476.67</v>
      </c>
    </row>
    <row r="403" spans="1:7" ht="14.25" customHeight="1">
      <c r="A403" s="41">
        <v>42907</v>
      </c>
      <c r="B403" s="7">
        <v>9648.1</v>
      </c>
      <c r="C403" s="7">
        <v>9650.4500000000007</v>
      </c>
      <c r="D403" s="7">
        <v>9608.6</v>
      </c>
      <c r="E403" s="7">
        <v>9633.6</v>
      </c>
      <c r="F403" s="7">
        <v>148490556</v>
      </c>
      <c r="G403" s="42">
        <v>8023.4</v>
      </c>
    </row>
    <row r="404" spans="1:7" ht="14.25" customHeight="1">
      <c r="A404" s="41">
        <v>42908</v>
      </c>
      <c r="B404" s="7">
        <v>9642.65</v>
      </c>
      <c r="C404" s="7">
        <v>9698.85</v>
      </c>
      <c r="D404" s="7">
        <v>9617.75</v>
      </c>
      <c r="E404" s="7">
        <v>9630</v>
      </c>
      <c r="F404" s="7">
        <v>204888654</v>
      </c>
      <c r="G404" s="42">
        <v>10738.45</v>
      </c>
    </row>
    <row r="405" spans="1:7" ht="14.25" customHeight="1">
      <c r="A405" s="41">
        <v>42909</v>
      </c>
      <c r="B405" s="7">
        <v>9643.25</v>
      </c>
      <c r="C405" s="7">
        <v>9647.65</v>
      </c>
      <c r="D405" s="7">
        <v>9565.2999999999993</v>
      </c>
      <c r="E405" s="7">
        <v>9574.9500000000007</v>
      </c>
      <c r="F405" s="7">
        <v>180580579</v>
      </c>
      <c r="G405" s="42">
        <v>9092.74</v>
      </c>
    </row>
    <row r="406" spans="1:7" ht="14.25" customHeight="1">
      <c r="A406" s="41">
        <v>42913</v>
      </c>
      <c r="B406" s="7">
        <v>9594.0499999999993</v>
      </c>
      <c r="C406" s="7">
        <v>9615.4</v>
      </c>
      <c r="D406" s="7">
        <v>9473.4500000000007</v>
      </c>
      <c r="E406" s="7">
        <v>9511.4</v>
      </c>
      <c r="F406" s="7">
        <v>209593904</v>
      </c>
      <c r="G406" s="42">
        <v>11084.51</v>
      </c>
    </row>
    <row r="407" spans="1:7" ht="14.25" customHeight="1">
      <c r="A407" s="41">
        <v>42914</v>
      </c>
      <c r="B407" s="7">
        <v>9520.2000000000007</v>
      </c>
      <c r="C407" s="7">
        <v>9522.5</v>
      </c>
      <c r="D407" s="7">
        <v>9474.35</v>
      </c>
      <c r="E407" s="7">
        <v>9491.25</v>
      </c>
      <c r="F407" s="7">
        <v>177652206</v>
      </c>
      <c r="G407" s="42">
        <v>9103.73</v>
      </c>
    </row>
    <row r="408" spans="1:7" ht="14.25" customHeight="1">
      <c r="A408" s="41">
        <v>42915</v>
      </c>
      <c r="B408" s="7">
        <v>9522.9500000000007</v>
      </c>
      <c r="C408" s="7">
        <v>9575.7999999999993</v>
      </c>
      <c r="D408" s="7">
        <v>9493.7999999999993</v>
      </c>
      <c r="E408" s="7">
        <v>9504.1</v>
      </c>
      <c r="F408" s="7">
        <v>267283587</v>
      </c>
      <c r="G408" s="42">
        <v>13395.85</v>
      </c>
    </row>
    <row r="409" spans="1:7" ht="14.25" customHeight="1">
      <c r="A409" s="41">
        <v>42916</v>
      </c>
      <c r="B409" s="7">
        <v>9478.5</v>
      </c>
      <c r="C409" s="7">
        <v>9535.7999999999993</v>
      </c>
      <c r="D409" s="7">
        <v>9448.75</v>
      </c>
      <c r="E409" s="7">
        <v>9520.9</v>
      </c>
      <c r="F409" s="7">
        <v>185202600</v>
      </c>
      <c r="G409" s="42">
        <v>8783.59</v>
      </c>
    </row>
    <row r="410" spans="1:7" ht="14.25" customHeight="1">
      <c r="A410" s="41">
        <v>42919</v>
      </c>
      <c r="B410" s="7">
        <v>9587.9500000000007</v>
      </c>
      <c r="C410" s="7">
        <v>9624</v>
      </c>
      <c r="D410" s="7">
        <v>9543.5499999999993</v>
      </c>
      <c r="E410" s="7">
        <v>9615</v>
      </c>
      <c r="F410" s="7">
        <v>188690599</v>
      </c>
      <c r="G410" s="42">
        <v>8720.76</v>
      </c>
    </row>
    <row r="411" spans="1:7" ht="14.25" customHeight="1">
      <c r="A411" s="41">
        <v>42920</v>
      </c>
      <c r="B411" s="7">
        <v>9645.9</v>
      </c>
      <c r="C411" s="7">
        <v>9650.65</v>
      </c>
      <c r="D411" s="7">
        <v>9595.5</v>
      </c>
      <c r="E411" s="7">
        <v>9613.2999999999993</v>
      </c>
      <c r="F411" s="7">
        <v>149313755</v>
      </c>
      <c r="G411" s="42">
        <v>7774.69</v>
      </c>
    </row>
    <row r="412" spans="1:7" ht="14.25" customHeight="1">
      <c r="A412" s="41">
        <v>42921</v>
      </c>
      <c r="B412" s="7">
        <v>9619.75</v>
      </c>
      <c r="C412" s="7">
        <v>9643.65</v>
      </c>
      <c r="D412" s="7">
        <v>9607.35</v>
      </c>
      <c r="E412" s="7">
        <v>9637.6</v>
      </c>
      <c r="F412" s="7">
        <v>134849476</v>
      </c>
      <c r="G412" s="42">
        <v>7311.1</v>
      </c>
    </row>
    <row r="413" spans="1:7" ht="14.25" customHeight="1">
      <c r="A413" s="41">
        <v>42922</v>
      </c>
      <c r="B413" s="7">
        <v>9653.6</v>
      </c>
      <c r="C413" s="7">
        <v>9700.7000000000007</v>
      </c>
      <c r="D413" s="7">
        <v>9639.9500000000007</v>
      </c>
      <c r="E413" s="7">
        <v>9674.5499999999993</v>
      </c>
      <c r="F413" s="7">
        <v>152001940</v>
      </c>
      <c r="G413" s="42">
        <v>7539.21</v>
      </c>
    </row>
    <row r="414" spans="1:7" ht="14.25" customHeight="1">
      <c r="A414" s="41">
        <v>42923</v>
      </c>
      <c r="B414" s="7">
        <v>9670.35</v>
      </c>
      <c r="C414" s="7">
        <v>9684.25</v>
      </c>
      <c r="D414" s="7">
        <v>9642.65</v>
      </c>
      <c r="E414" s="7">
        <v>9665.7999999999993</v>
      </c>
      <c r="F414" s="7">
        <v>146232151</v>
      </c>
      <c r="G414" s="42">
        <v>8514.5300000000007</v>
      </c>
    </row>
    <row r="415" spans="1:7" ht="14.25" customHeight="1">
      <c r="A415" s="41">
        <v>42926</v>
      </c>
      <c r="B415" s="7">
        <v>9719.2999999999993</v>
      </c>
      <c r="C415" s="7">
        <v>9782.15</v>
      </c>
      <c r="D415" s="7">
        <v>9646.4500000000007</v>
      </c>
      <c r="E415" s="7">
        <v>9771.0499999999993</v>
      </c>
      <c r="F415" s="7">
        <v>40142973</v>
      </c>
      <c r="G415" s="42">
        <v>1920.78</v>
      </c>
    </row>
    <row r="416" spans="1:7" ht="14.25" customHeight="1">
      <c r="A416" s="41">
        <v>42927</v>
      </c>
      <c r="B416" s="7">
        <v>9797.4500000000007</v>
      </c>
      <c r="C416" s="7">
        <v>9830.0499999999993</v>
      </c>
      <c r="D416" s="7">
        <v>9778.85</v>
      </c>
      <c r="E416" s="7">
        <v>9786.0499999999993</v>
      </c>
      <c r="F416" s="7">
        <v>185322358</v>
      </c>
      <c r="G416" s="42">
        <v>9908.41</v>
      </c>
    </row>
    <row r="417" spans="1:7" ht="14.25" customHeight="1">
      <c r="A417" s="41">
        <v>42928</v>
      </c>
      <c r="B417" s="7">
        <v>9807.2999999999993</v>
      </c>
      <c r="C417" s="7">
        <v>9824.9500000000007</v>
      </c>
      <c r="D417" s="7">
        <v>9787.7000000000007</v>
      </c>
      <c r="E417" s="7">
        <v>9816.1</v>
      </c>
      <c r="F417" s="7">
        <v>150045594</v>
      </c>
      <c r="G417" s="42">
        <v>7966.44</v>
      </c>
    </row>
    <row r="418" spans="1:7" ht="14.25" customHeight="1">
      <c r="A418" s="41">
        <v>42929</v>
      </c>
      <c r="B418" s="7">
        <v>9855.7999999999993</v>
      </c>
      <c r="C418" s="7">
        <v>9897.25</v>
      </c>
      <c r="D418" s="7">
        <v>9853.4500000000007</v>
      </c>
      <c r="E418" s="7">
        <v>9891.7000000000007</v>
      </c>
      <c r="F418" s="7">
        <v>186866752</v>
      </c>
      <c r="G418" s="42">
        <v>10244.56</v>
      </c>
    </row>
    <row r="419" spans="1:7" ht="14.25" customHeight="1">
      <c r="A419" s="41">
        <v>42930</v>
      </c>
      <c r="B419" s="7">
        <v>9913.2999999999993</v>
      </c>
      <c r="C419" s="7">
        <v>9913.2999999999993</v>
      </c>
      <c r="D419" s="7">
        <v>9845.4500000000007</v>
      </c>
      <c r="E419" s="7">
        <v>9886.35</v>
      </c>
      <c r="F419" s="7">
        <v>164456602</v>
      </c>
      <c r="G419" s="42">
        <v>9187.7099999999991</v>
      </c>
    </row>
    <row r="420" spans="1:7" ht="14.25" customHeight="1">
      <c r="A420" s="41">
        <v>42933</v>
      </c>
      <c r="B420" s="7">
        <v>9908.15</v>
      </c>
      <c r="C420" s="7">
        <v>9928.2000000000007</v>
      </c>
      <c r="D420" s="7">
        <v>9894.7000000000007</v>
      </c>
      <c r="E420" s="7">
        <v>9915.9500000000007</v>
      </c>
      <c r="F420" s="7">
        <v>168596771</v>
      </c>
      <c r="G420" s="42">
        <v>8310.48</v>
      </c>
    </row>
    <row r="421" spans="1:7" ht="14.25" customHeight="1">
      <c r="A421" s="41">
        <v>42934</v>
      </c>
      <c r="B421" s="7">
        <v>9832.7000000000007</v>
      </c>
      <c r="C421" s="7">
        <v>9885.35</v>
      </c>
      <c r="D421" s="7">
        <v>9792.0499999999993</v>
      </c>
      <c r="E421" s="7">
        <v>9827.15</v>
      </c>
      <c r="F421" s="7">
        <v>303007860</v>
      </c>
      <c r="G421" s="42">
        <v>13184.22</v>
      </c>
    </row>
    <row r="422" spans="1:7" ht="14.25" customHeight="1">
      <c r="A422" s="41">
        <v>42935</v>
      </c>
      <c r="B422" s="7">
        <v>9855.9500000000007</v>
      </c>
      <c r="C422" s="7">
        <v>9905.0499999999993</v>
      </c>
      <c r="D422" s="7">
        <v>9851.65</v>
      </c>
      <c r="E422" s="7">
        <v>9899.6</v>
      </c>
      <c r="F422" s="7">
        <v>206376192</v>
      </c>
      <c r="G422" s="42">
        <v>10935.6</v>
      </c>
    </row>
    <row r="423" spans="1:7" ht="14.25" customHeight="1">
      <c r="A423" s="41">
        <v>42936</v>
      </c>
      <c r="B423" s="7">
        <v>9920.2000000000007</v>
      </c>
      <c r="C423" s="7">
        <v>9922.5499999999993</v>
      </c>
      <c r="D423" s="7">
        <v>9863.4500000000007</v>
      </c>
      <c r="E423" s="7">
        <v>9873.2999999999993</v>
      </c>
      <c r="F423" s="7">
        <v>166083004</v>
      </c>
      <c r="G423" s="42">
        <v>8942.56</v>
      </c>
    </row>
    <row r="424" spans="1:7" ht="14.25" customHeight="1">
      <c r="A424" s="41">
        <v>42937</v>
      </c>
      <c r="B424" s="7">
        <v>9899.6</v>
      </c>
      <c r="C424" s="7">
        <v>9924.7000000000007</v>
      </c>
      <c r="D424" s="7">
        <v>9838</v>
      </c>
      <c r="E424" s="7">
        <v>9915.25</v>
      </c>
      <c r="F424" s="7">
        <v>193286125</v>
      </c>
      <c r="G424" s="42">
        <v>11860.28</v>
      </c>
    </row>
    <row r="425" spans="1:7" ht="14.25" customHeight="1">
      <c r="A425" s="41">
        <v>42940</v>
      </c>
      <c r="B425" s="7">
        <v>9936.7999999999993</v>
      </c>
      <c r="C425" s="7">
        <v>9982.0499999999993</v>
      </c>
      <c r="D425" s="7">
        <v>9919.6</v>
      </c>
      <c r="E425" s="7">
        <v>9966.4</v>
      </c>
      <c r="F425" s="7">
        <v>179905535</v>
      </c>
      <c r="G425" s="42">
        <v>10837.2</v>
      </c>
    </row>
    <row r="426" spans="1:7" ht="14.25" customHeight="1">
      <c r="A426" s="41">
        <v>42941</v>
      </c>
      <c r="B426" s="7">
        <v>10010.549999999999</v>
      </c>
      <c r="C426" s="7">
        <v>10011.299999999999</v>
      </c>
      <c r="D426" s="7">
        <v>9949.1</v>
      </c>
      <c r="E426" s="7">
        <v>9964.5499999999993</v>
      </c>
      <c r="F426" s="7">
        <v>191206247</v>
      </c>
      <c r="G426" s="42">
        <v>10491.32</v>
      </c>
    </row>
    <row r="427" spans="1:7" ht="14.25" customHeight="1">
      <c r="A427" s="41">
        <v>42942</v>
      </c>
      <c r="B427" s="7">
        <v>9983.65</v>
      </c>
      <c r="C427" s="7">
        <v>10025.950000000001</v>
      </c>
      <c r="D427" s="7">
        <v>9965.9500000000007</v>
      </c>
      <c r="E427" s="7">
        <v>10020.65</v>
      </c>
      <c r="F427" s="7">
        <v>203697844</v>
      </c>
      <c r="G427" s="42">
        <v>11403.3</v>
      </c>
    </row>
    <row r="428" spans="1:7" ht="14.25" customHeight="1">
      <c r="A428" s="41">
        <v>42943</v>
      </c>
      <c r="B428" s="7">
        <v>10063.25</v>
      </c>
      <c r="C428" s="7">
        <v>10114.85</v>
      </c>
      <c r="D428" s="7">
        <v>10005.5</v>
      </c>
      <c r="E428" s="7">
        <v>10020.549999999999</v>
      </c>
      <c r="F428" s="7">
        <v>296782048</v>
      </c>
      <c r="G428" s="42">
        <v>18601.990000000002</v>
      </c>
    </row>
    <row r="429" spans="1:7" ht="14.25" customHeight="1">
      <c r="A429" s="41">
        <v>42944</v>
      </c>
      <c r="B429" s="7">
        <v>9996.5499999999993</v>
      </c>
      <c r="C429" s="7">
        <v>10026.049999999999</v>
      </c>
      <c r="D429" s="7">
        <v>9944.5</v>
      </c>
      <c r="E429" s="7">
        <v>10014.5</v>
      </c>
      <c r="F429" s="7">
        <v>197491415</v>
      </c>
      <c r="G429" s="42">
        <v>11996.8</v>
      </c>
    </row>
    <row r="430" spans="1:7" ht="14.25" customHeight="1">
      <c r="A430" s="41">
        <v>42947</v>
      </c>
      <c r="B430" s="7">
        <v>10034.700000000001</v>
      </c>
      <c r="C430" s="7">
        <v>10085.9</v>
      </c>
      <c r="D430" s="7">
        <v>10016.950000000001</v>
      </c>
      <c r="E430" s="7">
        <v>10077.1</v>
      </c>
      <c r="F430" s="7">
        <v>245096535</v>
      </c>
      <c r="G430" s="42">
        <v>13131.89</v>
      </c>
    </row>
    <row r="431" spans="1:7" ht="14.25" customHeight="1">
      <c r="A431" s="41">
        <v>42948</v>
      </c>
      <c r="B431" s="7">
        <v>10101.049999999999</v>
      </c>
      <c r="C431" s="7">
        <v>10128.6</v>
      </c>
      <c r="D431" s="7">
        <v>10065.75</v>
      </c>
      <c r="E431" s="7">
        <v>10114.65</v>
      </c>
      <c r="F431" s="7">
        <v>190000516</v>
      </c>
      <c r="G431" s="42">
        <v>11515.29</v>
      </c>
    </row>
    <row r="432" spans="1:7" ht="14.25" customHeight="1">
      <c r="A432" s="41">
        <v>42949</v>
      </c>
      <c r="B432" s="7">
        <v>10136.299999999999</v>
      </c>
      <c r="C432" s="7">
        <v>10137.85</v>
      </c>
      <c r="D432" s="7">
        <v>10054.200000000001</v>
      </c>
      <c r="E432" s="7">
        <v>10081.5</v>
      </c>
      <c r="F432" s="7">
        <v>166463276</v>
      </c>
      <c r="G432" s="42">
        <v>9165.92</v>
      </c>
    </row>
    <row r="433" spans="1:7" ht="14.25" customHeight="1">
      <c r="A433" s="41">
        <v>42950</v>
      </c>
      <c r="B433" s="7">
        <v>10081.15</v>
      </c>
      <c r="C433" s="7">
        <v>10081.15</v>
      </c>
      <c r="D433" s="7">
        <v>9998.25</v>
      </c>
      <c r="E433" s="7">
        <v>10013.65</v>
      </c>
      <c r="F433" s="7">
        <v>198665837</v>
      </c>
      <c r="G433" s="42">
        <v>10714.1</v>
      </c>
    </row>
    <row r="434" spans="1:7" ht="14.25" customHeight="1">
      <c r="A434" s="41">
        <v>42951</v>
      </c>
      <c r="B434" s="7">
        <v>10008.6</v>
      </c>
      <c r="C434" s="7">
        <v>10075.25</v>
      </c>
      <c r="D434" s="7">
        <v>9988.35</v>
      </c>
      <c r="E434" s="7">
        <v>10066.4</v>
      </c>
      <c r="F434" s="7">
        <v>184082134</v>
      </c>
      <c r="G434" s="42">
        <v>10397.879999999999</v>
      </c>
    </row>
    <row r="435" spans="1:7" ht="14.25" customHeight="1">
      <c r="A435" s="41">
        <v>42954</v>
      </c>
      <c r="B435" s="7">
        <v>10074.799999999999</v>
      </c>
      <c r="C435" s="7">
        <v>10088.1</v>
      </c>
      <c r="D435" s="7">
        <v>10046.35</v>
      </c>
      <c r="E435" s="7">
        <v>10057.4</v>
      </c>
      <c r="F435" s="7">
        <v>141566282</v>
      </c>
      <c r="G435" s="42">
        <v>7827.95</v>
      </c>
    </row>
    <row r="436" spans="1:7" ht="14.25" customHeight="1">
      <c r="A436" s="41">
        <v>42955</v>
      </c>
      <c r="B436" s="7">
        <v>10068.35</v>
      </c>
      <c r="C436" s="7">
        <v>10083.799999999999</v>
      </c>
      <c r="D436" s="7">
        <v>9947</v>
      </c>
      <c r="E436" s="7">
        <v>9978.5499999999993</v>
      </c>
      <c r="F436" s="7">
        <v>209645343</v>
      </c>
      <c r="G436" s="42">
        <v>10780.41</v>
      </c>
    </row>
    <row r="437" spans="1:7" ht="14.25" customHeight="1">
      <c r="A437" s="41">
        <v>42956</v>
      </c>
      <c r="B437" s="7">
        <v>9961.15</v>
      </c>
      <c r="C437" s="7">
        <v>9969.7999999999993</v>
      </c>
      <c r="D437" s="7">
        <v>9893.0499999999993</v>
      </c>
      <c r="E437" s="7">
        <v>9908.0499999999993</v>
      </c>
      <c r="F437" s="7">
        <v>174395293</v>
      </c>
      <c r="G437" s="42">
        <v>8831.7199999999993</v>
      </c>
    </row>
    <row r="438" spans="1:7" ht="14.25" customHeight="1">
      <c r="A438" s="41">
        <v>42957</v>
      </c>
      <c r="B438" s="7">
        <v>9872.85</v>
      </c>
      <c r="C438" s="7">
        <v>9892.65</v>
      </c>
      <c r="D438" s="7">
        <v>9776.2000000000007</v>
      </c>
      <c r="E438" s="7">
        <v>9820.25</v>
      </c>
      <c r="F438" s="7">
        <v>242820594</v>
      </c>
      <c r="G438" s="42">
        <v>12040.13</v>
      </c>
    </row>
    <row r="439" spans="1:7" ht="14.25" customHeight="1">
      <c r="A439" s="41">
        <v>42958</v>
      </c>
      <c r="B439" s="7">
        <v>9712.15</v>
      </c>
      <c r="C439" s="7">
        <v>9771.65</v>
      </c>
      <c r="D439" s="7">
        <v>9685.5499999999993</v>
      </c>
      <c r="E439" s="7">
        <v>9710.7999999999993</v>
      </c>
      <c r="F439" s="7">
        <v>294732998</v>
      </c>
      <c r="G439" s="42">
        <v>13435.56</v>
      </c>
    </row>
    <row r="440" spans="1:7" ht="14.25" customHeight="1">
      <c r="A440" s="41">
        <v>42961</v>
      </c>
      <c r="B440" s="7">
        <v>9755.75</v>
      </c>
      <c r="C440" s="7">
        <v>9818.2999999999993</v>
      </c>
      <c r="D440" s="7">
        <v>9752.1</v>
      </c>
      <c r="E440" s="7">
        <v>9794.15</v>
      </c>
      <c r="F440" s="7">
        <v>201613585</v>
      </c>
      <c r="G440" s="42">
        <v>9486.82</v>
      </c>
    </row>
    <row r="441" spans="1:7" ht="14.25" customHeight="1">
      <c r="A441" s="41">
        <v>42963</v>
      </c>
      <c r="B441" s="7">
        <v>9825.85</v>
      </c>
      <c r="C441" s="7">
        <v>9903.9500000000007</v>
      </c>
      <c r="D441" s="7">
        <v>9773.85</v>
      </c>
      <c r="E441" s="7">
        <v>9897.2999999999993</v>
      </c>
      <c r="F441" s="7">
        <v>226269013</v>
      </c>
      <c r="G441" s="42">
        <v>10815.38</v>
      </c>
    </row>
    <row r="442" spans="1:7" ht="14.25" customHeight="1">
      <c r="A442" s="41">
        <v>42964</v>
      </c>
      <c r="B442" s="7">
        <v>9945.5499999999993</v>
      </c>
      <c r="C442" s="7">
        <v>9947.7999999999993</v>
      </c>
      <c r="D442" s="7">
        <v>9883.75</v>
      </c>
      <c r="E442" s="7">
        <v>9904.15</v>
      </c>
      <c r="F442" s="7">
        <v>203652311</v>
      </c>
      <c r="G442" s="42">
        <v>9927.4699999999993</v>
      </c>
    </row>
    <row r="443" spans="1:7" ht="14.25" customHeight="1">
      <c r="A443" s="41">
        <v>42965</v>
      </c>
      <c r="B443" s="7">
        <v>9865.9500000000007</v>
      </c>
      <c r="C443" s="7">
        <v>9865.9500000000007</v>
      </c>
      <c r="D443" s="7">
        <v>9783.65</v>
      </c>
      <c r="E443" s="7">
        <v>9837.4</v>
      </c>
      <c r="F443" s="7">
        <v>253931517</v>
      </c>
      <c r="G443" s="42">
        <v>15636.16</v>
      </c>
    </row>
    <row r="444" spans="1:7" ht="14.25" customHeight="1">
      <c r="A444" s="41">
        <v>42968</v>
      </c>
      <c r="B444" s="7">
        <v>9864.25</v>
      </c>
      <c r="C444" s="7">
        <v>9884.35</v>
      </c>
      <c r="D444" s="7">
        <v>9740.1</v>
      </c>
      <c r="E444" s="7">
        <v>9754.35</v>
      </c>
      <c r="F444" s="7">
        <v>211627775</v>
      </c>
      <c r="G444" s="42">
        <v>11764</v>
      </c>
    </row>
    <row r="445" spans="1:7" ht="14.25" customHeight="1">
      <c r="A445" s="41">
        <v>42969</v>
      </c>
      <c r="B445" s="7">
        <v>9815.75</v>
      </c>
      <c r="C445" s="7">
        <v>9828.4500000000007</v>
      </c>
      <c r="D445" s="7">
        <v>9752.6</v>
      </c>
      <c r="E445" s="7">
        <v>9765.5499999999993</v>
      </c>
      <c r="F445" s="7">
        <v>189267122</v>
      </c>
      <c r="G445" s="42">
        <v>9850.89</v>
      </c>
    </row>
    <row r="446" spans="1:7" ht="14.25" customHeight="1">
      <c r="A446" s="41">
        <v>42970</v>
      </c>
      <c r="B446" s="7">
        <v>9803.0499999999993</v>
      </c>
      <c r="C446" s="7">
        <v>9857.9</v>
      </c>
      <c r="D446" s="7">
        <v>9786.75</v>
      </c>
      <c r="E446" s="7">
        <v>9852.5</v>
      </c>
      <c r="F446" s="7">
        <v>173815509</v>
      </c>
      <c r="G446" s="42">
        <v>9961.1299999999992</v>
      </c>
    </row>
    <row r="447" spans="1:7" ht="14.25" customHeight="1">
      <c r="A447" s="41">
        <v>42971</v>
      </c>
      <c r="B447" s="7">
        <v>9881.2000000000007</v>
      </c>
      <c r="C447" s="7">
        <v>9881.5</v>
      </c>
      <c r="D447" s="7">
        <v>9848.85</v>
      </c>
      <c r="E447" s="7">
        <v>9857.0499999999993</v>
      </c>
      <c r="F447" s="7">
        <v>190398702</v>
      </c>
      <c r="G447" s="42">
        <v>10392.629999999999</v>
      </c>
    </row>
    <row r="448" spans="1:7" ht="14.25" customHeight="1">
      <c r="A448" s="41">
        <v>42975</v>
      </c>
      <c r="B448" s="7">
        <v>9907.15</v>
      </c>
      <c r="C448" s="7">
        <v>9925.75</v>
      </c>
      <c r="D448" s="7">
        <v>9882</v>
      </c>
      <c r="E448" s="7">
        <v>9912.7999999999993</v>
      </c>
      <c r="F448" s="7">
        <v>164493772</v>
      </c>
      <c r="G448" s="42">
        <v>9900.06</v>
      </c>
    </row>
    <row r="449" spans="1:7" ht="14.25" customHeight="1">
      <c r="A449" s="41">
        <v>42976</v>
      </c>
      <c r="B449" s="7">
        <v>9886.4</v>
      </c>
      <c r="C449" s="7">
        <v>9887.35</v>
      </c>
      <c r="D449" s="7">
        <v>9783.75</v>
      </c>
      <c r="E449" s="7">
        <v>9796.0499999999993</v>
      </c>
      <c r="F449" s="7">
        <v>178668444</v>
      </c>
      <c r="G449" s="42">
        <v>8469.09</v>
      </c>
    </row>
    <row r="450" spans="1:7" ht="14.25" customHeight="1">
      <c r="A450" s="41">
        <v>42977</v>
      </c>
      <c r="B450" s="7">
        <v>9859.5</v>
      </c>
      <c r="C450" s="7">
        <v>9909.4500000000007</v>
      </c>
      <c r="D450" s="7">
        <v>9850.7999999999993</v>
      </c>
      <c r="E450" s="7">
        <v>9884.4</v>
      </c>
      <c r="F450" s="7">
        <v>162704136</v>
      </c>
      <c r="G450" s="42">
        <v>8008.72</v>
      </c>
    </row>
    <row r="451" spans="1:7" ht="14.25" customHeight="1">
      <c r="A451" s="41">
        <v>42978</v>
      </c>
      <c r="B451" s="7">
        <v>9905.7000000000007</v>
      </c>
      <c r="C451" s="7">
        <v>9925.1</v>
      </c>
      <c r="D451" s="7">
        <v>9856.9500000000007</v>
      </c>
      <c r="E451" s="7">
        <v>9917.9</v>
      </c>
      <c r="F451" s="7">
        <v>337782004</v>
      </c>
      <c r="G451" s="42">
        <v>14619.43</v>
      </c>
    </row>
    <row r="452" spans="1:7" ht="14.25" customHeight="1">
      <c r="A452" s="41">
        <v>42979</v>
      </c>
      <c r="B452" s="7">
        <v>9937.65</v>
      </c>
      <c r="C452" s="7">
        <v>9983.4500000000007</v>
      </c>
      <c r="D452" s="7">
        <v>9909.85</v>
      </c>
      <c r="E452" s="7">
        <v>9974.4</v>
      </c>
      <c r="F452" s="7">
        <v>162730656</v>
      </c>
      <c r="G452" s="42">
        <v>9314.82</v>
      </c>
    </row>
    <row r="453" spans="1:7" ht="14.25" customHeight="1">
      <c r="A453" s="41">
        <v>42982</v>
      </c>
      <c r="B453" s="7">
        <v>9984.15</v>
      </c>
      <c r="C453" s="7">
        <v>9988.4</v>
      </c>
      <c r="D453" s="7">
        <v>9861</v>
      </c>
      <c r="E453" s="7">
        <v>9912.85</v>
      </c>
      <c r="F453" s="7">
        <v>153369495</v>
      </c>
      <c r="G453" s="42">
        <v>8069.64</v>
      </c>
    </row>
    <row r="454" spans="1:7" ht="14.25" customHeight="1">
      <c r="A454" s="41">
        <v>42983</v>
      </c>
      <c r="B454" s="7">
        <v>9933.25</v>
      </c>
      <c r="C454" s="7">
        <v>9963.1</v>
      </c>
      <c r="D454" s="7">
        <v>9901.0499999999993</v>
      </c>
      <c r="E454" s="7">
        <v>9952.2000000000007</v>
      </c>
      <c r="F454" s="7">
        <v>143522342</v>
      </c>
      <c r="G454" s="42">
        <v>7566.62</v>
      </c>
    </row>
    <row r="455" spans="1:7" ht="14.25" customHeight="1">
      <c r="A455" s="41">
        <v>42984</v>
      </c>
      <c r="B455" s="7">
        <v>9899.25</v>
      </c>
      <c r="C455" s="7">
        <v>9931.5499999999993</v>
      </c>
      <c r="D455" s="7">
        <v>9882.5499999999993</v>
      </c>
      <c r="E455" s="7">
        <v>9916.2000000000007</v>
      </c>
      <c r="F455" s="7">
        <v>153767846</v>
      </c>
      <c r="G455" s="42">
        <v>8926.98</v>
      </c>
    </row>
    <row r="456" spans="1:7" ht="14.25" customHeight="1">
      <c r="A456" s="41">
        <v>42985</v>
      </c>
      <c r="B456" s="7">
        <v>9945.85</v>
      </c>
      <c r="C456" s="7">
        <v>9964.85</v>
      </c>
      <c r="D456" s="7">
        <v>9917.2000000000007</v>
      </c>
      <c r="E456" s="7">
        <v>9929.9</v>
      </c>
      <c r="F456" s="7">
        <v>194626599</v>
      </c>
      <c r="G456" s="42">
        <v>9455.48</v>
      </c>
    </row>
    <row r="457" spans="1:7" ht="14.25" customHeight="1">
      <c r="A457" s="41">
        <v>42986</v>
      </c>
      <c r="B457" s="7">
        <v>9958.65</v>
      </c>
      <c r="C457" s="7">
        <v>9963.6</v>
      </c>
      <c r="D457" s="7">
        <v>9913.2999999999993</v>
      </c>
      <c r="E457" s="7">
        <v>9934.7999999999993</v>
      </c>
      <c r="F457" s="7">
        <v>168698771</v>
      </c>
      <c r="G457" s="42">
        <v>8792.49</v>
      </c>
    </row>
    <row r="458" spans="1:7" ht="14.25" customHeight="1">
      <c r="A458" s="41">
        <v>42989</v>
      </c>
      <c r="B458" s="7">
        <v>9971.75</v>
      </c>
      <c r="C458" s="7">
        <v>10028.65</v>
      </c>
      <c r="D458" s="7">
        <v>9968.7999999999993</v>
      </c>
      <c r="E458" s="7">
        <v>10006.049999999999</v>
      </c>
      <c r="F458" s="7">
        <v>178409875</v>
      </c>
      <c r="G458" s="42">
        <v>9545.94</v>
      </c>
    </row>
    <row r="459" spans="1:7" ht="14.25" customHeight="1">
      <c r="A459" s="41">
        <v>42990</v>
      </c>
      <c r="B459" s="7">
        <v>10056.85</v>
      </c>
      <c r="C459" s="7">
        <v>10097.549999999999</v>
      </c>
      <c r="D459" s="7">
        <v>10028.049999999999</v>
      </c>
      <c r="E459" s="7">
        <v>10093.049999999999</v>
      </c>
      <c r="F459" s="7">
        <v>188248293</v>
      </c>
      <c r="G459" s="42">
        <v>9894.2000000000007</v>
      </c>
    </row>
    <row r="460" spans="1:7" ht="14.25" customHeight="1">
      <c r="A460" s="41">
        <v>42991</v>
      </c>
      <c r="B460" s="7">
        <v>10099.25</v>
      </c>
      <c r="C460" s="7">
        <v>10131.950000000001</v>
      </c>
      <c r="D460" s="7">
        <v>10063.15</v>
      </c>
      <c r="E460" s="7">
        <v>10079.299999999999</v>
      </c>
      <c r="F460" s="7">
        <v>221608053</v>
      </c>
      <c r="G460" s="42">
        <v>10682.41</v>
      </c>
    </row>
    <row r="461" spans="1:7" ht="14.25" customHeight="1">
      <c r="A461" s="41">
        <v>42992</v>
      </c>
      <c r="B461" s="7">
        <v>10107.4</v>
      </c>
      <c r="C461" s="7">
        <v>10126.5</v>
      </c>
      <c r="D461" s="7">
        <v>10070.35</v>
      </c>
      <c r="E461" s="7">
        <v>10086.6</v>
      </c>
      <c r="F461" s="7">
        <v>232637517</v>
      </c>
      <c r="G461" s="42">
        <v>11047.46</v>
      </c>
    </row>
    <row r="462" spans="1:7" ht="14.25" customHeight="1">
      <c r="A462" s="41">
        <v>42993</v>
      </c>
      <c r="B462" s="7">
        <v>10062.35</v>
      </c>
      <c r="C462" s="7">
        <v>10115.15</v>
      </c>
      <c r="D462" s="7">
        <v>10043.65</v>
      </c>
      <c r="E462" s="7">
        <v>10085.4</v>
      </c>
      <c r="F462" s="7">
        <v>274799134</v>
      </c>
      <c r="G462" s="42">
        <v>13650.9</v>
      </c>
    </row>
    <row r="463" spans="1:7" ht="14.25" customHeight="1">
      <c r="A463" s="41">
        <v>42996</v>
      </c>
      <c r="B463" s="7">
        <v>10133.1</v>
      </c>
      <c r="C463" s="7">
        <v>10171.700000000001</v>
      </c>
      <c r="D463" s="7">
        <v>10131.299999999999</v>
      </c>
      <c r="E463" s="7">
        <v>10153.1</v>
      </c>
      <c r="F463" s="7">
        <v>160852680</v>
      </c>
      <c r="G463" s="42">
        <v>8106.66</v>
      </c>
    </row>
    <row r="464" spans="1:7" ht="14.25" customHeight="1">
      <c r="A464" s="41">
        <v>42997</v>
      </c>
      <c r="B464" s="7">
        <v>10175.6</v>
      </c>
      <c r="C464" s="7">
        <v>10178.950000000001</v>
      </c>
      <c r="D464" s="7">
        <v>10129.950000000001</v>
      </c>
      <c r="E464" s="7">
        <v>10147.549999999999</v>
      </c>
      <c r="F464" s="7">
        <v>193345992</v>
      </c>
      <c r="G464" s="42">
        <v>8796.2099999999991</v>
      </c>
    </row>
    <row r="465" spans="1:7" ht="14.25" customHeight="1">
      <c r="A465" s="41">
        <v>42998</v>
      </c>
      <c r="B465" s="7">
        <v>10160.950000000001</v>
      </c>
      <c r="C465" s="7">
        <v>10171.049999999999</v>
      </c>
      <c r="D465" s="7">
        <v>10134.200000000001</v>
      </c>
      <c r="E465" s="7">
        <v>10141.15</v>
      </c>
      <c r="F465" s="7">
        <v>205605243</v>
      </c>
      <c r="G465" s="42">
        <v>10105.709999999999</v>
      </c>
    </row>
    <row r="466" spans="1:7" ht="14.25" customHeight="1">
      <c r="A466" s="41">
        <v>42999</v>
      </c>
      <c r="B466" s="7">
        <v>10139.6</v>
      </c>
      <c r="C466" s="7">
        <v>10158.9</v>
      </c>
      <c r="D466" s="7">
        <v>10058.6</v>
      </c>
      <c r="E466" s="7">
        <v>10121.9</v>
      </c>
      <c r="F466" s="7">
        <v>197710666</v>
      </c>
      <c r="G466" s="42">
        <v>11114.28</v>
      </c>
    </row>
    <row r="467" spans="1:7" ht="14.25" customHeight="1">
      <c r="A467" s="41">
        <v>43000</v>
      </c>
      <c r="B467" s="7">
        <v>10094.35</v>
      </c>
      <c r="C467" s="7">
        <v>10095.049999999999</v>
      </c>
      <c r="D467" s="7">
        <v>9952.7999999999993</v>
      </c>
      <c r="E467" s="7">
        <v>9964.4</v>
      </c>
      <c r="F467" s="7">
        <v>233621596</v>
      </c>
      <c r="G467" s="42">
        <v>11941.88</v>
      </c>
    </row>
    <row r="468" spans="1:7" ht="14.25" customHeight="1">
      <c r="A468" s="41">
        <v>43003</v>
      </c>
      <c r="B468" s="7">
        <v>9960.1</v>
      </c>
      <c r="C468" s="7">
        <v>9960.5</v>
      </c>
      <c r="D468" s="7">
        <v>9816.0499999999993</v>
      </c>
      <c r="E468" s="7">
        <v>9872.6</v>
      </c>
      <c r="F468" s="7">
        <v>228206970</v>
      </c>
      <c r="G468" s="42">
        <v>11258.68</v>
      </c>
    </row>
    <row r="469" spans="1:7" ht="14.25" customHeight="1">
      <c r="A469" s="41">
        <v>43004</v>
      </c>
      <c r="B469" s="7">
        <v>9875.25</v>
      </c>
      <c r="C469" s="7">
        <v>9891.35</v>
      </c>
      <c r="D469" s="7">
        <v>9813</v>
      </c>
      <c r="E469" s="7">
        <v>9871.5</v>
      </c>
      <c r="F469" s="7">
        <v>196792799</v>
      </c>
      <c r="G469" s="42">
        <v>9754.02</v>
      </c>
    </row>
    <row r="470" spans="1:7" ht="14.25" customHeight="1">
      <c r="A470" s="41">
        <v>43005</v>
      </c>
      <c r="B470" s="7">
        <v>9920.6</v>
      </c>
      <c r="C470" s="7">
        <v>9921.0499999999993</v>
      </c>
      <c r="D470" s="7">
        <v>9714.4</v>
      </c>
      <c r="E470" s="7">
        <v>9735.75</v>
      </c>
      <c r="F470" s="7">
        <v>206305991</v>
      </c>
      <c r="G470" s="42">
        <v>10127.39</v>
      </c>
    </row>
    <row r="471" spans="1:7" ht="14.25" customHeight="1">
      <c r="A471" s="41">
        <v>43006</v>
      </c>
      <c r="B471" s="7">
        <v>9736.4</v>
      </c>
      <c r="C471" s="7">
        <v>9789.2000000000007</v>
      </c>
      <c r="D471" s="7">
        <v>9687.5499999999993</v>
      </c>
      <c r="E471" s="7">
        <v>9768.9500000000007</v>
      </c>
      <c r="F471" s="7">
        <v>396874518</v>
      </c>
      <c r="G471" s="42">
        <v>18962.400000000001</v>
      </c>
    </row>
    <row r="472" spans="1:7" ht="14.25" customHeight="1">
      <c r="A472" s="41">
        <v>43007</v>
      </c>
      <c r="B472" s="7">
        <v>9814.2999999999993</v>
      </c>
      <c r="C472" s="7">
        <v>9854</v>
      </c>
      <c r="D472" s="7">
        <v>9775.35</v>
      </c>
      <c r="E472" s="7">
        <v>9788.6</v>
      </c>
      <c r="F472" s="7">
        <v>202350211</v>
      </c>
      <c r="G472" s="42">
        <v>11087.11</v>
      </c>
    </row>
    <row r="473" spans="1:7" ht="14.25" customHeight="1">
      <c r="A473" s="41">
        <v>43011</v>
      </c>
      <c r="B473" s="7">
        <v>9893.2999999999993</v>
      </c>
      <c r="C473" s="7">
        <v>9895.4</v>
      </c>
      <c r="D473" s="7">
        <v>9831.0499999999993</v>
      </c>
      <c r="E473" s="7">
        <v>9859.5</v>
      </c>
      <c r="F473" s="7">
        <v>167833406</v>
      </c>
      <c r="G473" s="42">
        <v>9698.5499999999993</v>
      </c>
    </row>
    <row r="474" spans="1:7" ht="14.25" customHeight="1">
      <c r="A474" s="41">
        <v>43012</v>
      </c>
      <c r="B474" s="7">
        <v>9884.35</v>
      </c>
      <c r="C474" s="7">
        <v>9938.2999999999993</v>
      </c>
      <c r="D474" s="7">
        <v>9850.65</v>
      </c>
      <c r="E474" s="7">
        <v>9914.9</v>
      </c>
      <c r="F474" s="7">
        <v>160993982</v>
      </c>
      <c r="G474" s="42">
        <v>8790.2900000000009</v>
      </c>
    </row>
    <row r="475" spans="1:7" ht="14.25" customHeight="1">
      <c r="A475" s="41">
        <v>43013</v>
      </c>
      <c r="B475" s="7">
        <v>9927</v>
      </c>
      <c r="C475" s="7">
        <v>9945.9500000000007</v>
      </c>
      <c r="D475" s="7">
        <v>9881.85</v>
      </c>
      <c r="E475" s="7">
        <v>9888.7000000000007</v>
      </c>
      <c r="F475" s="7">
        <v>152362417</v>
      </c>
      <c r="G475" s="42">
        <v>7823.55</v>
      </c>
    </row>
    <row r="476" spans="1:7" ht="14.25" customHeight="1">
      <c r="A476" s="41">
        <v>43014</v>
      </c>
      <c r="B476" s="7">
        <v>9908.15</v>
      </c>
      <c r="C476" s="7">
        <v>9989.35</v>
      </c>
      <c r="D476" s="7">
        <v>9906.6</v>
      </c>
      <c r="E476" s="7">
        <v>9979.7000000000007</v>
      </c>
      <c r="F476" s="7">
        <v>201858899</v>
      </c>
      <c r="G476" s="42">
        <v>9986.18</v>
      </c>
    </row>
    <row r="477" spans="1:7" ht="14.25" customHeight="1">
      <c r="A477" s="41">
        <v>43017</v>
      </c>
      <c r="B477" s="7">
        <v>9988.2000000000007</v>
      </c>
      <c r="C477" s="7">
        <v>10015.75</v>
      </c>
      <c r="D477" s="7">
        <v>9959.4500000000007</v>
      </c>
      <c r="E477" s="7">
        <v>9988.75</v>
      </c>
      <c r="F477" s="7">
        <v>148395842</v>
      </c>
      <c r="G477" s="42">
        <v>7425.19</v>
      </c>
    </row>
    <row r="478" spans="1:7" ht="14.25" customHeight="1">
      <c r="A478" s="41">
        <v>43018</v>
      </c>
      <c r="B478" s="7">
        <v>10013.700000000001</v>
      </c>
      <c r="C478" s="7">
        <v>10034</v>
      </c>
      <c r="D478" s="7">
        <v>10002.299999999999</v>
      </c>
      <c r="E478" s="7">
        <v>10016.950000000001</v>
      </c>
      <c r="F478" s="7">
        <v>153246570</v>
      </c>
      <c r="G478" s="42">
        <v>8055.5</v>
      </c>
    </row>
    <row r="479" spans="1:7" ht="14.25" customHeight="1">
      <c r="A479" s="41">
        <v>43019</v>
      </c>
      <c r="B479" s="7">
        <v>10042.6</v>
      </c>
      <c r="C479" s="7">
        <v>10067.25</v>
      </c>
      <c r="D479" s="7">
        <v>9955.7999999999993</v>
      </c>
      <c r="E479" s="7">
        <v>9984.7999999999993</v>
      </c>
      <c r="F479" s="7">
        <v>195593061</v>
      </c>
      <c r="G479" s="42">
        <v>10227.9</v>
      </c>
    </row>
    <row r="480" spans="1:7" ht="14.25" customHeight="1">
      <c r="A480" s="41">
        <v>43020</v>
      </c>
      <c r="B480" s="7">
        <v>10011.200000000001</v>
      </c>
      <c r="C480" s="7">
        <v>10104.450000000001</v>
      </c>
      <c r="D480" s="7">
        <v>9977.1</v>
      </c>
      <c r="E480" s="7">
        <v>10096.4</v>
      </c>
      <c r="F480" s="7">
        <v>207106672</v>
      </c>
      <c r="G480" s="42">
        <v>10579.8</v>
      </c>
    </row>
    <row r="481" spans="1:7" ht="14.25" customHeight="1">
      <c r="A481" s="41">
        <v>43021</v>
      </c>
      <c r="B481" s="7">
        <v>10123.700000000001</v>
      </c>
      <c r="C481" s="7">
        <v>10191.9</v>
      </c>
      <c r="D481" s="7">
        <v>10120.1</v>
      </c>
      <c r="E481" s="7">
        <v>10167.450000000001</v>
      </c>
      <c r="F481" s="7">
        <v>237230047</v>
      </c>
      <c r="G481" s="42">
        <v>12379.8</v>
      </c>
    </row>
    <row r="482" spans="1:7" ht="14.25" customHeight="1">
      <c r="A482" s="41">
        <v>43024</v>
      </c>
      <c r="B482" s="7">
        <v>10207.4</v>
      </c>
      <c r="C482" s="7">
        <v>10242.950000000001</v>
      </c>
      <c r="D482" s="7">
        <v>10175.1</v>
      </c>
      <c r="E482" s="7">
        <v>10230.85</v>
      </c>
      <c r="F482" s="7">
        <v>209327364</v>
      </c>
      <c r="G482" s="42">
        <v>11774.68</v>
      </c>
    </row>
    <row r="483" spans="1:7" ht="14.25" customHeight="1">
      <c r="A483" s="41">
        <v>43025</v>
      </c>
      <c r="B483" s="7">
        <v>10227.65</v>
      </c>
      <c r="C483" s="7">
        <v>10251.85</v>
      </c>
      <c r="D483" s="7">
        <v>10212.6</v>
      </c>
      <c r="E483" s="7">
        <v>10234.450000000001</v>
      </c>
      <c r="F483" s="7">
        <v>201782377</v>
      </c>
      <c r="G483" s="42">
        <v>10422.81</v>
      </c>
    </row>
    <row r="484" spans="1:7" ht="14.25" customHeight="1">
      <c r="A484" s="41">
        <v>43026</v>
      </c>
      <c r="B484" s="7">
        <v>10209.4</v>
      </c>
      <c r="C484" s="7">
        <v>10236.450000000001</v>
      </c>
      <c r="D484" s="7">
        <v>10175.75</v>
      </c>
      <c r="E484" s="7">
        <v>10210.85</v>
      </c>
      <c r="F484" s="7">
        <v>262111790</v>
      </c>
      <c r="G484" s="42">
        <v>13177.83</v>
      </c>
    </row>
    <row r="485" spans="1:7" ht="14.25" customHeight="1">
      <c r="A485" s="41">
        <v>43027</v>
      </c>
      <c r="B485" s="7">
        <v>10210.35</v>
      </c>
      <c r="C485" s="7">
        <v>10211.950000000001</v>
      </c>
      <c r="D485" s="7">
        <v>10123.35</v>
      </c>
      <c r="E485" s="7">
        <v>10146.549999999999</v>
      </c>
      <c r="F485" s="7">
        <v>31086379</v>
      </c>
      <c r="G485" s="42">
        <v>1685.16</v>
      </c>
    </row>
    <row r="486" spans="1:7" ht="14.25" customHeight="1">
      <c r="A486" s="41">
        <v>43031</v>
      </c>
      <c r="B486" s="7">
        <v>10176.65</v>
      </c>
      <c r="C486" s="7">
        <v>10224.15</v>
      </c>
      <c r="D486" s="7">
        <v>10124.5</v>
      </c>
      <c r="E486" s="7">
        <v>10184.85</v>
      </c>
      <c r="F486" s="7">
        <v>224799211</v>
      </c>
      <c r="G486" s="42">
        <v>12144.31</v>
      </c>
    </row>
    <row r="487" spans="1:7" ht="14.25" customHeight="1">
      <c r="A487" s="41">
        <v>43032</v>
      </c>
      <c r="B487" s="7">
        <v>10218.549999999999</v>
      </c>
      <c r="C487" s="7">
        <v>10237.75</v>
      </c>
      <c r="D487" s="7">
        <v>10182.4</v>
      </c>
      <c r="E487" s="7">
        <v>10207.700000000001</v>
      </c>
      <c r="F487" s="7">
        <v>223914325</v>
      </c>
      <c r="G487" s="42">
        <v>11539.73</v>
      </c>
    </row>
    <row r="488" spans="1:7" ht="14.25" customHeight="1">
      <c r="A488" s="41">
        <v>43033</v>
      </c>
      <c r="B488" s="7">
        <v>10321.15</v>
      </c>
      <c r="C488" s="7">
        <v>10340.549999999999</v>
      </c>
      <c r="D488" s="7">
        <v>10240.9</v>
      </c>
      <c r="E488" s="7">
        <v>10295.35</v>
      </c>
      <c r="F488" s="7">
        <v>612620774</v>
      </c>
      <c r="G488" s="42">
        <v>25922.51</v>
      </c>
    </row>
    <row r="489" spans="1:7" ht="14.25" customHeight="1">
      <c r="A489" s="41">
        <v>43034</v>
      </c>
      <c r="B489" s="7">
        <v>10291.799999999999</v>
      </c>
      <c r="C489" s="7">
        <v>10355.65</v>
      </c>
      <c r="D489" s="7">
        <v>10271.85</v>
      </c>
      <c r="E489" s="7">
        <v>10343.799999999999</v>
      </c>
      <c r="F489" s="7">
        <v>443036008</v>
      </c>
      <c r="G489" s="42">
        <v>23135.46</v>
      </c>
    </row>
    <row r="490" spans="1:7" ht="14.25" customHeight="1">
      <c r="A490" s="41">
        <v>43035</v>
      </c>
      <c r="B490" s="7">
        <v>10362.299999999999</v>
      </c>
      <c r="C490" s="7">
        <v>10366.15</v>
      </c>
      <c r="D490" s="7">
        <v>10311.299999999999</v>
      </c>
      <c r="E490" s="7">
        <v>10323.049999999999</v>
      </c>
      <c r="F490" s="7">
        <v>322411410</v>
      </c>
      <c r="G490" s="42">
        <v>15149.9</v>
      </c>
    </row>
    <row r="491" spans="1:7" ht="14.25" customHeight="1">
      <c r="A491" s="41">
        <v>43038</v>
      </c>
      <c r="B491" s="7">
        <v>10353.85</v>
      </c>
      <c r="C491" s="7">
        <v>10384.5</v>
      </c>
      <c r="D491" s="7">
        <v>10344.299999999999</v>
      </c>
      <c r="E491" s="7">
        <v>10363.65</v>
      </c>
      <c r="F491" s="7">
        <v>244193178</v>
      </c>
      <c r="G491" s="42">
        <v>12558.7</v>
      </c>
    </row>
    <row r="492" spans="1:7" ht="14.25" customHeight="1">
      <c r="A492" s="41">
        <v>43039</v>
      </c>
      <c r="B492" s="7">
        <v>10364.9</v>
      </c>
      <c r="C492" s="7">
        <v>10367.700000000001</v>
      </c>
      <c r="D492" s="7">
        <v>10323.950000000001</v>
      </c>
      <c r="E492" s="7">
        <v>10335.299999999999</v>
      </c>
      <c r="F492" s="7">
        <v>239809700</v>
      </c>
      <c r="G492" s="42">
        <v>12830.06</v>
      </c>
    </row>
    <row r="493" spans="1:7" ht="14.25" customHeight="1">
      <c r="A493" s="41">
        <v>43040</v>
      </c>
      <c r="B493" s="7">
        <v>10390.35</v>
      </c>
      <c r="C493" s="7">
        <v>10451.65</v>
      </c>
      <c r="D493" s="7">
        <v>10383.049999999999</v>
      </c>
      <c r="E493" s="7">
        <v>10440.5</v>
      </c>
      <c r="F493" s="7">
        <v>268270466</v>
      </c>
      <c r="G493" s="42">
        <v>14206.21</v>
      </c>
    </row>
    <row r="494" spans="1:7" ht="14.25" customHeight="1">
      <c r="A494" s="41">
        <v>43041</v>
      </c>
      <c r="B494" s="7">
        <v>10440.5</v>
      </c>
      <c r="C494" s="7">
        <v>10453</v>
      </c>
      <c r="D494" s="7">
        <v>10412.549999999999</v>
      </c>
      <c r="E494" s="7">
        <v>10423.799999999999</v>
      </c>
      <c r="F494" s="7">
        <v>207735021</v>
      </c>
      <c r="G494" s="42">
        <v>10779.63</v>
      </c>
    </row>
    <row r="495" spans="1:7" ht="14.25" customHeight="1">
      <c r="A495" s="41">
        <v>43042</v>
      </c>
      <c r="B495" s="7">
        <v>10461.549999999999</v>
      </c>
      <c r="C495" s="7">
        <v>10461.700000000001</v>
      </c>
      <c r="D495" s="7">
        <v>10403.6</v>
      </c>
      <c r="E495" s="7">
        <v>10452.5</v>
      </c>
      <c r="F495" s="7">
        <v>206101238</v>
      </c>
      <c r="G495" s="42">
        <v>10070.83</v>
      </c>
    </row>
    <row r="496" spans="1:7" ht="14.25" customHeight="1">
      <c r="A496" s="41">
        <v>43045</v>
      </c>
      <c r="B496" s="7">
        <v>10431.75</v>
      </c>
      <c r="C496" s="7">
        <v>10490.45</v>
      </c>
      <c r="D496" s="7">
        <v>10413.75</v>
      </c>
      <c r="E496" s="7">
        <v>10451.799999999999</v>
      </c>
      <c r="F496" s="7">
        <v>199559409</v>
      </c>
      <c r="G496" s="42">
        <v>10231.76</v>
      </c>
    </row>
    <row r="497" spans="1:7" ht="14.25" customHeight="1">
      <c r="A497" s="41">
        <v>43046</v>
      </c>
      <c r="B497" s="7">
        <v>10477.15</v>
      </c>
      <c r="C497" s="7">
        <v>10485.75</v>
      </c>
      <c r="D497" s="7">
        <v>10340.799999999999</v>
      </c>
      <c r="E497" s="7">
        <v>10350.15</v>
      </c>
      <c r="F497" s="7">
        <v>295830692</v>
      </c>
      <c r="G497" s="42">
        <v>16182.46</v>
      </c>
    </row>
    <row r="498" spans="1:7" ht="14.25" customHeight="1">
      <c r="A498" s="41">
        <v>43047</v>
      </c>
      <c r="B498" s="7">
        <v>10361.950000000001</v>
      </c>
      <c r="C498" s="7">
        <v>10384.25</v>
      </c>
      <c r="D498" s="7">
        <v>10285.5</v>
      </c>
      <c r="E498" s="7">
        <v>10303.15</v>
      </c>
      <c r="F498" s="7">
        <v>282950322</v>
      </c>
      <c r="G498" s="42">
        <v>14789.39</v>
      </c>
    </row>
    <row r="499" spans="1:7" ht="14.25" customHeight="1">
      <c r="A499" s="41">
        <v>43048</v>
      </c>
      <c r="B499" s="7">
        <v>10358.65</v>
      </c>
      <c r="C499" s="7">
        <v>10368.450000000001</v>
      </c>
      <c r="D499" s="7">
        <v>10266.950000000001</v>
      </c>
      <c r="E499" s="7">
        <v>10308.950000000001</v>
      </c>
      <c r="F499" s="7">
        <v>247606613</v>
      </c>
      <c r="G499" s="42">
        <v>12697.28</v>
      </c>
    </row>
    <row r="500" spans="1:7" ht="14.25" customHeight="1">
      <c r="A500" s="41">
        <v>43049</v>
      </c>
      <c r="B500" s="7">
        <v>10304.35</v>
      </c>
      <c r="C500" s="7">
        <v>10344.950000000001</v>
      </c>
      <c r="D500" s="7">
        <v>10254.1</v>
      </c>
      <c r="E500" s="7">
        <v>10321.75</v>
      </c>
      <c r="F500" s="7">
        <v>287962940</v>
      </c>
      <c r="G500" s="42">
        <v>14682.6</v>
      </c>
    </row>
    <row r="501" spans="1:7" ht="14.25" customHeight="1">
      <c r="A501" s="41">
        <v>43052</v>
      </c>
      <c r="B501" s="7">
        <v>10322</v>
      </c>
      <c r="C501" s="7">
        <v>10334.15</v>
      </c>
      <c r="D501" s="7">
        <v>10216.25</v>
      </c>
      <c r="E501" s="7">
        <v>10224.950000000001</v>
      </c>
      <c r="F501" s="7">
        <v>216799588</v>
      </c>
      <c r="G501" s="42">
        <v>11783.34</v>
      </c>
    </row>
    <row r="502" spans="1:7" ht="14.25" customHeight="1">
      <c r="A502" s="41">
        <v>43053</v>
      </c>
      <c r="B502" s="7">
        <v>10223.4</v>
      </c>
      <c r="C502" s="7">
        <v>10248</v>
      </c>
      <c r="D502" s="7">
        <v>10175.549999999999</v>
      </c>
      <c r="E502" s="7">
        <v>10186.6</v>
      </c>
      <c r="F502" s="7">
        <v>314413476</v>
      </c>
      <c r="G502" s="42">
        <v>15398.97</v>
      </c>
    </row>
    <row r="503" spans="1:7" ht="14.25" customHeight="1">
      <c r="A503" s="41">
        <v>43054</v>
      </c>
      <c r="B503" s="7">
        <v>10171.950000000001</v>
      </c>
      <c r="C503" s="7">
        <v>10175.450000000001</v>
      </c>
      <c r="D503" s="7">
        <v>10094</v>
      </c>
      <c r="E503" s="7">
        <v>10118.049999999999</v>
      </c>
      <c r="F503" s="7">
        <v>213836202</v>
      </c>
      <c r="G503" s="42">
        <v>11609.18</v>
      </c>
    </row>
    <row r="504" spans="1:7" ht="14.25" customHeight="1">
      <c r="A504" s="41">
        <v>43055</v>
      </c>
      <c r="B504" s="7">
        <v>10152.9</v>
      </c>
      <c r="C504" s="7">
        <v>10232.25</v>
      </c>
      <c r="D504" s="7">
        <v>10139.200000000001</v>
      </c>
      <c r="E504" s="7">
        <v>10214.75</v>
      </c>
      <c r="F504" s="7">
        <v>188180035</v>
      </c>
      <c r="G504" s="42">
        <v>9995.5499999999993</v>
      </c>
    </row>
    <row r="505" spans="1:7" ht="14.25" customHeight="1">
      <c r="A505" s="41">
        <v>43056</v>
      </c>
      <c r="B505" s="7">
        <v>10324.549999999999</v>
      </c>
      <c r="C505" s="7">
        <v>10343.6</v>
      </c>
      <c r="D505" s="7">
        <v>10268.049999999999</v>
      </c>
      <c r="E505" s="7">
        <v>10283.6</v>
      </c>
      <c r="F505" s="7">
        <v>209592893</v>
      </c>
      <c r="G505" s="42">
        <v>11023.35</v>
      </c>
    </row>
    <row r="506" spans="1:7" ht="14.25" customHeight="1">
      <c r="A506" s="41">
        <v>43059</v>
      </c>
      <c r="B506" s="7">
        <v>10287.200000000001</v>
      </c>
      <c r="C506" s="7">
        <v>10309.85</v>
      </c>
      <c r="D506" s="7">
        <v>10261.5</v>
      </c>
      <c r="E506" s="7">
        <v>10298.75</v>
      </c>
      <c r="F506" s="7">
        <v>151751415</v>
      </c>
      <c r="G506" s="42">
        <v>8502.6299999999992</v>
      </c>
    </row>
    <row r="507" spans="1:7" ht="14.25" customHeight="1">
      <c r="A507" s="41">
        <v>43060</v>
      </c>
      <c r="B507" s="7">
        <v>10329.25</v>
      </c>
      <c r="C507" s="7">
        <v>10358.700000000001</v>
      </c>
      <c r="D507" s="7">
        <v>10315.049999999999</v>
      </c>
      <c r="E507" s="7">
        <v>10326.9</v>
      </c>
      <c r="F507" s="7">
        <v>191859084</v>
      </c>
      <c r="G507" s="42">
        <v>10443.99</v>
      </c>
    </row>
    <row r="508" spans="1:7" ht="14.25" customHeight="1">
      <c r="A508" s="41">
        <v>43061</v>
      </c>
      <c r="B508" s="7">
        <v>10350.799999999999</v>
      </c>
      <c r="C508" s="7">
        <v>10368.700000000001</v>
      </c>
      <c r="D508" s="7">
        <v>10309.549999999999</v>
      </c>
      <c r="E508" s="7">
        <v>10342.299999999999</v>
      </c>
      <c r="F508" s="7">
        <v>162504058</v>
      </c>
      <c r="G508" s="42">
        <v>9136.0400000000009</v>
      </c>
    </row>
    <row r="509" spans="1:7" ht="14.25" customHeight="1">
      <c r="A509" s="41">
        <v>43062</v>
      </c>
      <c r="B509" s="7">
        <v>10358.450000000001</v>
      </c>
      <c r="C509" s="7">
        <v>10374.299999999999</v>
      </c>
      <c r="D509" s="7">
        <v>10307.299999999999</v>
      </c>
      <c r="E509" s="7">
        <v>10348.75</v>
      </c>
      <c r="F509" s="7">
        <v>157651842</v>
      </c>
      <c r="G509" s="42">
        <v>8789.42</v>
      </c>
    </row>
    <row r="510" spans="1:7" ht="14.25" customHeight="1">
      <c r="A510" s="41">
        <v>43063</v>
      </c>
      <c r="B510" s="7">
        <v>10366.799999999999</v>
      </c>
      <c r="C510" s="7">
        <v>10404.5</v>
      </c>
      <c r="D510" s="7">
        <v>10362.25</v>
      </c>
      <c r="E510" s="7">
        <v>10389.700000000001</v>
      </c>
      <c r="F510" s="7">
        <v>133177324</v>
      </c>
      <c r="G510" s="42">
        <v>8197.66</v>
      </c>
    </row>
    <row r="511" spans="1:7" ht="14.25" customHeight="1">
      <c r="A511" s="41">
        <v>43066</v>
      </c>
      <c r="B511" s="7">
        <v>10361.049999999999</v>
      </c>
      <c r="C511" s="7">
        <v>10407.15</v>
      </c>
      <c r="D511" s="7">
        <v>10340.200000000001</v>
      </c>
      <c r="E511" s="7">
        <v>10399.549999999999</v>
      </c>
      <c r="F511" s="7">
        <v>146276512</v>
      </c>
      <c r="G511" s="42">
        <v>7551.71</v>
      </c>
    </row>
    <row r="512" spans="1:7" ht="14.25" customHeight="1">
      <c r="A512" s="41">
        <v>43067</v>
      </c>
      <c r="B512" s="7">
        <v>10387.9</v>
      </c>
      <c r="C512" s="7">
        <v>10409.549999999999</v>
      </c>
      <c r="D512" s="7">
        <v>10355.200000000001</v>
      </c>
      <c r="E512" s="7">
        <v>10370.25</v>
      </c>
      <c r="F512" s="7">
        <v>202050866</v>
      </c>
      <c r="G512" s="42">
        <v>9979.25</v>
      </c>
    </row>
    <row r="513" spans="1:7" ht="14.25" customHeight="1">
      <c r="A513" s="41">
        <v>43068</v>
      </c>
      <c r="B513" s="7">
        <v>10376.65</v>
      </c>
      <c r="C513" s="7">
        <v>10392.950000000001</v>
      </c>
      <c r="D513" s="7">
        <v>10345.9</v>
      </c>
      <c r="E513" s="7">
        <v>10361.299999999999</v>
      </c>
      <c r="F513" s="7">
        <v>157192930</v>
      </c>
      <c r="G513" s="42">
        <v>8852.7999999999993</v>
      </c>
    </row>
    <row r="514" spans="1:7" ht="14.25" customHeight="1">
      <c r="A514" s="41">
        <v>43069</v>
      </c>
      <c r="B514" s="7">
        <v>10332.700000000001</v>
      </c>
      <c r="C514" s="7">
        <v>10332.700000000001</v>
      </c>
      <c r="D514" s="7">
        <v>10211.25</v>
      </c>
      <c r="E514" s="7">
        <v>10226.549999999999</v>
      </c>
      <c r="F514" s="7">
        <v>353105240</v>
      </c>
      <c r="G514" s="42">
        <v>19005.560000000001</v>
      </c>
    </row>
    <row r="515" spans="1:7" ht="14.25" customHeight="1">
      <c r="A515" s="41">
        <v>43070</v>
      </c>
      <c r="B515" s="7">
        <v>10263.700000000001</v>
      </c>
      <c r="C515" s="7">
        <v>10272.700000000001</v>
      </c>
      <c r="D515" s="7">
        <v>10108.549999999999</v>
      </c>
      <c r="E515" s="7">
        <v>10121.799999999999</v>
      </c>
      <c r="F515" s="7">
        <v>147765528</v>
      </c>
      <c r="G515" s="42">
        <v>8518.58</v>
      </c>
    </row>
    <row r="516" spans="1:7" ht="14.25" customHeight="1">
      <c r="A516" s="41">
        <v>43073</v>
      </c>
      <c r="B516" s="7">
        <v>10175.049999999999</v>
      </c>
      <c r="C516" s="7">
        <v>10179.200000000001</v>
      </c>
      <c r="D516" s="7">
        <v>10095.700000000001</v>
      </c>
      <c r="E516" s="7">
        <v>10127.75</v>
      </c>
      <c r="F516" s="7">
        <v>153240126</v>
      </c>
      <c r="G516" s="42">
        <v>8458.66</v>
      </c>
    </row>
    <row r="517" spans="1:7" ht="14.25" customHeight="1">
      <c r="A517" s="41">
        <v>43074</v>
      </c>
      <c r="B517" s="7">
        <v>10118.25</v>
      </c>
      <c r="C517" s="7">
        <v>10147.950000000001</v>
      </c>
      <c r="D517" s="7">
        <v>10069.1</v>
      </c>
      <c r="E517" s="7">
        <v>10118.25</v>
      </c>
      <c r="F517" s="7">
        <v>160253042</v>
      </c>
      <c r="G517" s="42">
        <v>8749.09</v>
      </c>
    </row>
    <row r="518" spans="1:7" ht="14.25" customHeight="1">
      <c r="A518" s="41">
        <v>43075</v>
      </c>
      <c r="B518" s="7">
        <v>10088.799999999999</v>
      </c>
      <c r="C518" s="7">
        <v>10104.200000000001</v>
      </c>
      <c r="D518" s="7">
        <v>10033.35</v>
      </c>
      <c r="E518" s="7">
        <v>10044.1</v>
      </c>
      <c r="F518" s="7">
        <v>171208366</v>
      </c>
      <c r="G518" s="42">
        <v>9598.82</v>
      </c>
    </row>
    <row r="519" spans="1:7" ht="14.25" customHeight="1">
      <c r="A519" s="41">
        <v>43076</v>
      </c>
      <c r="B519" s="7">
        <v>10063.450000000001</v>
      </c>
      <c r="C519" s="7">
        <v>10182.65</v>
      </c>
      <c r="D519" s="7">
        <v>10061.9</v>
      </c>
      <c r="E519" s="7">
        <v>10166.700000000001</v>
      </c>
      <c r="F519" s="7">
        <v>171339022</v>
      </c>
      <c r="G519" s="42">
        <v>9910.2800000000007</v>
      </c>
    </row>
    <row r="520" spans="1:7" ht="14.25" customHeight="1">
      <c r="A520" s="41">
        <v>43077</v>
      </c>
      <c r="B520" s="7">
        <v>10198.450000000001</v>
      </c>
      <c r="C520" s="7">
        <v>10270.85</v>
      </c>
      <c r="D520" s="7">
        <v>10195.25</v>
      </c>
      <c r="E520" s="7">
        <v>10265.65</v>
      </c>
      <c r="F520" s="7">
        <v>206234019</v>
      </c>
      <c r="G520" s="42">
        <v>11468.15</v>
      </c>
    </row>
    <row r="521" spans="1:7" ht="14.25" customHeight="1">
      <c r="A521" s="41">
        <v>43080</v>
      </c>
      <c r="B521" s="7">
        <v>10310.5</v>
      </c>
      <c r="C521" s="7">
        <v>10329.200000000001</v>
      </c>
      <c r="D521" s="7">
        <v>10282.049999999999</v>
      </c>
      <c r="E521" s="7">
        <v>10322.25</v>
      </c>
      <c r="F521" s="7">
        <v>152034656</v>
      </c>
      <c r="G521" s="42">
        <v>8453.76</v>
      </c>
    </row>
    <row r="522" spans="1:7" ht="14.25" customHeight="1">
      <c r="A522" s="41">
        <v>43081</v>
      </c>
      <c r="B522" s="7">
        <v>10324.9</v>
      </c>
      <c r="C522" s="7">
        <v>10326.1</v>
      </c>
      <c r="D522" s="7">
        <v>10230.200000000001</v>
      </c>
      <c r="E522" s="7">
        <v>10240.15</v>
      </c>
      <c r="F522" s="7">
        <v>180546894</v>
      </c>
      <c r="G522" s="42">
        <v>10380.24</v>
      </c>
    </row>
    <row r="523" spans="1:7" ht="14.25" customHeight="1">
      <c r="A523" s="41">
        <v>43082</v>
      </c>
      <c r="B523" s="7">
        <v>10236.6</v>
      </c>
      <c r="C523" s="7">
        <v>10296.549999999999</v>
      </c>
      <c r="D523" s="7">
        <v>10169.85</v>
      </c>
      <c r="E523" s="7">
        <v>10192.950000000001</v>
      </c>
      <c r="F523" s="7">
        <v>187191964</v>
      </c>
      <c r="G523" s="42">
        <v>10070.44</v>
      </c>
    </row>
    <row r="524" spans="1:7" ht="14.25" customHeight="1">
      <c r="A524" s="41">
        <v>43083</v>
      </c>
      <c r="B524" s="7">
        <v>10229.299999999999</v>
      </c>
      <c r="C524" s="7">
        <v>10276.1</v>
      </c>
      <c r="D524" s="7">
        <v>10141.549999999999</v>
      </c>
      <c r="E524" s="7">
        <v>10252.1</v>
      </c>
      <c r="F524" s="7">
        <v>159103960</v>
      </c>
      <c r="G524" s="42">
        <v>9549.23</v>
      </c>
    </row>
    <row r="525" spans="1:7" ht="14.25" customHeight="1">
      <c r="A525" s="41">
        <v>43084</v>
      </c>
      <c r="B525" s="7">
        <v>10345.65</v>
      </c>
      <c r="C525" s="7">
        <v>10373.1</v>
      </c>
      <c r="D525" s="7">
        <v>10319.65</v>
      </c>
      <c r="E525" s="7">
        <v>10333.25</v>
      </c>
      <c r="F525" s="7">
        <v>262974703</v>
      </c>
      <c r="G525" s="42">
        <v>15106.77</v>
      </c>
    </row>
    <row r="526" spans="1:7" ht="14.25" customHeight="1">
      <c r="A526" s="41">
        <v>43087</v>
      </c>
      <c r="B526" s="7">
        <v>10263.1</v>
      </c>
      <c r="C526" s="7">
        <v>10443.549999999999</v>
      </c>
      <c r="D526" s="7">
        <v>10074.799999999999</v>
      </c>
      <c r="E526" s="7">
        <v>10388.75</v>
      </c>
      <c r="F526" s="7">
        <v>237506982</v>
      </c>
      <c r="G526" s="42">
        <v>12921.61</v>
      </c>
    </row>
    <row r="527" spans="1:7" ht="14.25" customHeight="1">
      <c r="A527" s="41">
        <v>43088</v>
      </c>
      <c r="B527" s="7">
        <v>10414.799999999999</v>
      </c>
      <c r="C527" s="7">
        <v>10472.200000000001</v>
      </c>
      <c r="D527" s="7">
        <v>10406</v>
      </c>
      <c r="E527" s="7">
        <v>10463.200000000001</v>
      </c>
      <c r="F527" s="7">
        <v>174340665</v>
      </c>
      <c r="G527" s="42">
        <v>10982.95</v>
      </c>
    </row>
    <row r="528" spans="1:7" ht="14.25" customHeight="1">
      <c r="A528" s="41">
        <v>43089</v>
      </c>
      <c r="B528" s="7">
        <v>10494.4</v>
      </c>
      <c r="C528" s="7">
        <v>10494.45</v>
      </c>
      <c r="D528" s="7">
        <v>10437.15</v>
      </c>
      <c r="E528" s="7">
        <v>10444.200000000001</v>
      </c>
      <c r="F528" s="7">
        <v>180597460</v>
      </c>
      <c r="G528" s="42">
        <v>11303</v>
      </c>
    </row>
    <row r="529" spans="1:7" ht="14.25" customHeight="1">
      <c r="A529" s="41">
        <v>43090</v>
      </c>
      <c r="B529" s="7">
        <v>10473.950000000001</v>
      </c>
      <c r="C529" s="7">
        <v>10473.950000000001</v>
      </c>
      <c r="D529" s="7">
        <v>10426.9</v>
      </c>
      <c r="E529" s="7">
        <v>10440.299999999999</v>
      </c>
      <c r="F529" s="7">
        <v>156646972</v>
      </c>
      <c r="G529" s="42">
        <v>9411.2000000000007</v>
      </c>
    </row>
    <row r="530" spans="1:7" ht="14.25" customHeight="1">
      <c r="A530" s="41">
        <v>43091</v>
      </c>
      <c r="B530" s="7">
        <v>10457.299999999999</v>
      </c>
      <c r="C530" s="7">
        <v>10501.1</v>
      </c>
      <c r="D530" s="7">
        <v>10448.25</v>
      </c>
      <c r="E530" s="7">
        <v>10493</v>
      </c>
      <c r="F530" s="7">
        <v>143119167</v>
      </c>
      <c r="G530" s="42">
        <v>8755.32</v>
      </c>
    </row>
    <row r="531" spans="1:7" ht="14.25" customHeight="1">
      <c r="A531" s="41">
        <v>43095</v>
      </c>
      <c r="B531" s="7">
        <v>10512.3</v>
      </c>
      <c r="C531" s="7">
        <v>10545.45</v>
      </c>
      <c r="D531" s="7">
        <v>10477.950000000001</v>
      </c>
      <c r="E531" s="7">
        <v>10531.5</v>
      </c>
      <c r="F531" s="7">
        <v>160417384</v>
      </c>
      <c r="G531" s="42">
        <v>9043.77</v>
      </c>
    </row>
    <row r="532" spans="1:7" ht="14.25" customHeight="1">
      <c r="A532" s="41">
        <v>43096</v>
      </c>
      <c r="B532" s="7">
        <v>10531.05</v>
      </c>
      <c r="C532" s="7">
        <v>10552.4</v>
      </c>
      <c r="D532" s="7">
        <v>10469.25</v>
      </c>
      <c r="E532" s="7">
        <v>10490.75</v>
      </c>
      <c r="F532" s="7">
        <v>170307122</v>
      </c>
      <c r="G532" s="42">
        <v>9077.6</v>
      </c>
    </row>
    <row r="533" spans="1:7" ht="14.25" customHeight="1">
      <c r="A533" s="41">
        <v>43097</v>
      </c>
      <c r="B533" s="7">
        <v>10498.2</v>
      </c>
      <c r="C533" s="7">
        <v>10534.55</v>
      </c>
      <c r="D533" s="7">
        <v>10460.450000000001</v>
      </c>
      <c r="E533" s="7">
        <v>10477.9</v>
      </c>
      <c r="F533" s="7">
        <v>281309989</v>
      </c>
      <c r="G533" s="42">
        <v>14551.58</v>
      </c>
    </row>
    <row r="534" spans="1:7" ht="14.25" customHeight="1">
      <c r="A534" s="41">
        <v>43098</v>
      </c>
      <c r="B534" s="7">
        <v>10492.35</v>
      </c>
      <c r="C534" s="7">
        <v>10538.7</v>
      </c>
      <c r="D534" s="7">
        <v>10488.65</v>
      </c>
      <c r="E534" s="7">
        <v>10530.7</v>
      </c>
      <c r="F534" s="7">
        <v>156736221</v>
      </c>
      <c r="G534" s="42">
        <v>8943.1</v>
      </c>
    </row>
    <row r="535" spans="1:7" ht="14.25" customHeight="1">
      <c r="A535" s="41">
        <v>43101</v>
      </c>
      <c r="B535" s="7">
        <v>10531.7</v>
      </c>
      <c r="C535" s="7">
        <v>10537.85</v>
      </c>
      <c r="D535" s="7">
        <v>10423.1</v>
      </c>
      <c r="E535" s="7">
        <v>10435.549999999999</v>
      </c>
      <c r="F535" s="7">
        <v>134532090</v>
      </c>
      <c r="G535" s="42">
        <v>7546.56</v>
      </c>
    </row>
    <row r="536" spans="1:7" ht="14.25" customHeight="1">
      <c r="A536" s="41">
        <v>43102</v>
      </c>
      <c r="B536" s="7">
        <v>10477.549999999999</v>
      </c>
      <c r="C536" s="7">
        <v>10495.2</v>
      </c>
      <c r="D536" s="7">
        <v>10404.65</v>
      </c>
      <c r="E536" s="7">
        <v>10442.200000000001</v>
      </c>
      <c r="F536" s="7">
        <v>158092430</v>
      </c>
      <c r="G536" s="42">
        <v>8665.4699999999993</v>
      </c>
    </row>
    <row r="537" spans="1:7" ht="14.25" customHeight="1">
      <c r="A537" s="41">
        <v>43103</v>
      </c>
      <c r="B537" s="7">
        <v>10482.65</v>
      </c>
      <c r="C537" s="7">
        <v>10503.6</v>
      </c>
      <c r="D537" s="7">
        <v>10429.549999999999</v>
      </c>
      <c r="E537" s="7">
        <v>10443.200000000001</v>
      </c>
      <c r="F537" s="7">
        <v>172516859</v>
      </c>
      <c r="G537" s="42">
        <v>9541.6</v>
      </c>
    </row>
    <row r="538" spans="1:7" ht="14.25" customHeight="1">
      <c r="A538" s="41">
        <v>43104</v>
      </c>
      <c r="B538" s="7">
        <v>10469.4</v>
      </c>
      <c r="C538" s="7">
        <v>10513</v>
      </c>
      <c r="D538" s="7">
        <v>10441.450000000001</v>
      </c>
      <c r="E538" s="7">
        <v>10504.8</v>
      </c>
      <c r="F538" s="7">
        <v>180257392</v>
      </c>
      <c r="G538" s="42">
        <v>9561.9500000000007</v>
      </c>
    </row>
    <row r="539" spans="1:7" ht="14.25" customHeight="1">
      <c r="A539" s="41">
        <v>43105</v>
      </c>
      <c r="B539" s="7">
        <v>10534.25</v>
      </c>
      <c r="C539" s="7">
        <v>10566.1</v>
      </c>
      <c r="D539" s="7">
        <v>10520.1</v>
      </c>
      <c r="E539" s="7">
        <v>10558.85</v>
      </c>
      <c r="F539" s="7">
        <v>186469717</v>
      </c>
      <c r="G539" s="42">
        <v>10306.219999999999</v>
      </c>
    </row>
    <row r="540" spans="1:7" ht="14.25" customHeight="1">
      <c r="A540" s="41">
        <v>43108</v>
      </c>
      <c r="B540" s="7">
        <v>10591.7</v>
      </c>
      <c r="C540" s="7">
        <v>10631.2</v>
      </c>
      <c r="D540" s="7">
        <v>10588.55</v>
      </c>
      <c r="E540" s="7">
        <v>10623.6</v>
      </c>
      <c r="F540" s="7">
        <v>174181231</v>
      </c>
      <c r="G540" s="42">
        <v>9907.27</v>
      </c>
    </row>
    <row r="541" spans="1:7" ht="14.25" customHeight="1">
      <c r="A541" s="41">
        <v>43109</v>
      </c>
      <c r="B541" s="7">
        <v>10645.1</v>
      </c>
      <c r="C541" s="7">
        <v>10659.15</v>
      </c>
      <c r="D541" s="7">
        <v>10603.6</v>
      </c>
      <c r="E541" s="7">
        <v>10637</v>
      </c>
      <c r="F541" s="7">
        <v>211291563</v>
      </c>
      <c r="G541" s="42">
        <v>10733.37</v>
      </c>
    </row>
    <row r="542" spans="1:7" ht="14.25" customHeight="1">
      <c r="A542" s="41">
        <v>43110</v>
      </c>
      <c r="B542" s="7">
        <v>10652.05</v>
      </c>
      <c r="C542" s="7">
        <v>10655.5</v>
      </c>
      <c r="D542" s="7">
        <v>10592.7</v>
      </c>
      <c r="E542" s="7">
        <v>10632.2</v>
      </c>
      <c r="F542" s="7">
        <v>181900014</v>
      </c>
      <c r="G542" s="42">
        <v>9720.65</v>
      </c>
    </row>
    <row r="543" spans="1:7" ht="14.25" customHeight="1">
      <c r="A543" s="41">
        <v>43111</v>
      </c>
      <c r="B543" s="7">
        <v>10637.05</v>
      </c>
      <c r="C543" s="7">
        <v>10664.6</v>
      </c>
      <c r="D543" s="7">
        <v>10612.35</v>
      </c>
      <c r="E543" s="7">
        <v>10651.2</v>
      </c>
      <c r="F543" s="7">
        <v>158630055</v>
      </c>
      <c r="G543" s="42">
        <v>9635.01</v>
      </c>
    </row>
    <row r="544" spans="1:7" ht="14.25" customHeight="1">
      <c r="A544" s="41">
        <v>43112</v>
      </c>
      <c r="B544" s="7">
        <v>10682.55</v>
      </c>
      <c r="C544" s="7">
        <v>10690.4</v>
      </c>
      <c r="D544" s="7">
        <v>10597.1</v>
      </c>
      <c r="E544" s="7">
        <v>10681.25</v>
      </c>
      <c r="F544" s="7">
        <v>180592153</v>
      </c>
      <c r="G544" s="42">
        <v>11005.12</v>
      </c>
    </row>
    <row r="545" spans="1:7" ht="14.25" customHeight="1">
      <c r="A545" s="41">
        <v>43115</v>
      </c>
      <c r="B545" s="7">
        <v>10718.5</v>
      </c>
      <c r="C545" s="7">
        <v>10782.65</v>
      </c>
      <c r="D545" s="7">
        <v>10713.8</v>
      </c>
      <c r="E545" s="7">
        <v>10741.55</v>
      </c>
      <c r="F545" s="7">
        <v>181262074</v>
      </c>
      <c r="G545" s="42">
        <v>11333.11</v>
      </c>
    </row>
    <row r="546" spans="1:7" ht="14.25" customHeight="1">
      <c r="A546" s="41">
        <v>43116</v>
      </c>
      <c r="B546" s="7">
        <v>10761.5</v>
      </c>
      <c r="C546" s="7">
        <v>10762.35</v>
      </c>
      <c r="D546" s="7">
        <v>10687.85</v>
      </c>
      <c r="E546" s="7">
        <v>10700.45</v>
      </c>
      <c r="F546" s="7">
        <v>217468081</v>
      </c>
      <c r="G546" s="42">
        <v>12709.44</v>
      </c>
    </row>
    <row r="547" spans="1:7" ht="14.25" customHeight="1">
      <c r="A547" s="41">
        <v>43117</v>
      </c>
      <c r="B547" s="7">
        <v>10702.45</v>
      </c>
      <c r="C547" s="7">
        <v>10803</v>
      </c>
      <c r="D547" s="7">
        <v>10666.75</v>
      </c>
      <c r="E547" s="7">
        <v>10788.55</v>
      </c>
      <c r="F547" s="7">
        <v>260488465</v>
      </c>
      <c r="G547" s="42">
        <v>14334.26</v>
      </c>
    </row>
    <row r="548" spans="1:7" ht="14.25" customHeight="1">
      <c r="A548" s="41">
        <v>43118</v>
      </c>
      <c r="B548" s="7">
        <v>10873.4</v>
      </c>
      <c r="C548" s="7">
        <v>10887.5</v>
      </c>
      <c r="D548" s="7">
        <v>10782.4</v>
      </c>
      <c r="E548" s="7">
        <v>10817</v>
      </c>
      <c r="F548" s="7">
        <v>321609375</v>
      </c>
      <c r="G548" s="42">
        <v>17930.3</v>
      </c>
    </row>
    <row r="549" spans="1:7" ht="14.25" customHeight="1">
      <c r="A549" s="41">
        <v>43119</v>
      </c>
      <c r="B549" s="7">
        <v>10829.2</v>
      </c>
      <c r="C549" s="7">
        <v>10906.85</v>
      </c>
      <c r="D549" s="7">
        <v>10793.9</v>
      </c>
      <c r="E549" s="7">
        <v>10894.7</v>
      </c>
      <c r="F549" s="7">
        <v>214011963</v>
      </c>
      <c r="G549" s="42">
        <v>11792.26</v>
      </c>
    </row>
    <row r="550" spans="1:7" ht="14.25" customHeight="1">
      <c r="A550" s="41">
        <v>43122</v>
      </c>
      <c r="B550" s="7">
        <v>10883.2</v>
      </c>
      <c r="C550" s="7">
        <v>10975.1</v>
      </c>
      <c r="D550" s="7">
        <v>10881.4</v>
      </c>
      <c r="E550" s="7">
        <v>10966.2</v>
      </c>
      <c r="F550" s="7">
        <v>238815813</v>
      </c>
      <c r="G550" s="42">
        <v>14469.06</v>
      </c>
    </row>
    <row r="551" spans="1:7" ht="14.25" customHeight="1">
      <c r="A551" s="41">
        <v>43123</v>
      </c>
      <c r="B551" s="7">
        <v>10997.4</v>
      </c>
      <c r="C551" s="7">
        <v>11092.9</v>
      </c>
      <c r="D551" s="7">
        <v>10994.55</v>
      </c>
      <c r="E551" s="7">
        <v>11083.7</v>
      </c>
      <c r="F551" s="7">
        <v>293445774</v>
      </c>
      <c r="G551" s="42">
        <v>16423.91</v>
      </c>
    </row>
    <row r="552" spans="1:7" ht="14.25" customHeight="1">
      <c r="A552" s="41">
        <v>43124</v>
      </c>
      <c r="B552" s="7">
        <v>11069.35</v>
      </c>
      <c r="C552" s="7">
        <v>11110.1</v>
      </c>
      <c r="D552" s="7">
        <v>11046.15</v>
      </c>
      <c r="E552" s="7">
        <v>11086</v>
      </c>
      <c r="F552" s="7">
        <v>292197072</v>
      </c>
      <c r="G552" s="42">
        <v>16915.14</v>
      </c>
    </row>
    <row r="553" spans="1:7" ht="14.25" customHeight="1">
      <c r="A553" s="41">
        <v>43125</v>
      </c>
      <c r="B553" s="7">
        <v>11095.6</v>
      </c>
      <c r="C553" s="7">
        <v>11095.6</v>
      </c>
      <c r="D553" s="7">
        <v>11009.2</v>
      </c>
      <c r="E553" s="7">
        <v>11069.65</v>
      </c>
      <c r="F553" s="7">
        <v>340469462</v>
      </c>
      <c r="G553" s="42">
        <v>19939.54</v>
      </c>
    </row>
    <row r="554" spans="1:7" ht="14.25" customHeight="1">
      <c r="A554" s="41">
        <v>43129</v>
      </c>
      <c r="B554" s="7">
        <v>11079.35</v>
      </c>
      <c r="C554" s="7">
        <v>11171.55</v>
      </c>
      <c r="D554" s="7">
        <v>11075.95</v>
      </c>
      <c r="E554" s="7">
        <v>11130.4</v>
      </c>
      <c r="F554" s="7">
        <v>249220726</v>
      </c>
      <c r="G554" s="42">
        <v>16118.36</v>
      </c>
    </row>
    <row r="555" spans="1:7" ht="14.25" customHeight="1">
      <c r="A555" s="41">
        <v>43130</v>
      </c>
      <c r="B555" s="7">
        <v>11120.85</v>
      </c>
      <c r="C555" s="7">
        <v>11121.1</v>
      </c>
      <c r="D555" s="7">
        <v>11033.9</v>
      </c>
      <c r="E555" s="7">
        <v>11049.65</v>
      </c>
      <c r="F555" s="7">
        <v>234969503</v>
      </c>
      <c r="G555" s="42">
        <v>13232.19</v>
      </c>
    </row>
    <row r="556" spans="1:7" ht="14.25" customHeight="1">
      <c r="A556" s="41">
        <v>43131</v>
      </c>
      <c r="B556" s="7">
        <v>11018.8</v>
      </c>
      <c r="C556" s="7">
        <v>11058.5</v>
      </c>
      <c r="D556" s="7">
        <v>10979.3</v>
      </c>
      <c r="E556" s="7">
        <v>11027.7</v>
      </c>
      <c r="F556" s="7">
        <v>253462573</v>
      </c>
      <c r="G556" s="42">
        <v>14459.69</v>
      </c>
    </row>
    <row r="557" spans="1:7" ht="14.25" customHeight="1">
      <c r="A557" s="41">
        <v>43132</v>
      </c>
      <c r="B557" s="7">
        <v>11044.55</v>
      </c>
      <c r="C557" s="7">
        <v>11117.35</v>
      </c>
      <c r="D557" s="7">
        <v>10878.8</v>
      </c>
      <c r="E557" s="7">
        <v>11016.9</v>
      </c>
      <c r="F557" s="7">
        <v>315743486</v>
      </c>
      <c r="G557" s="42">
        <v>17719.400000000001</v>
      </c>
    </row>
    <row r="558" spans="1:7" ht="14.25" customHeight="1">
      <c r="A558" s="41">
        <v>43133</v>
      </c>
      <c r="B558" s="7">
        <v>10938.2</v>
      </c>
      <c r="C558" s="7">
        <v>10954.95</v>
      </c>
      <c r="D558" s="7">
        <v>10736.1</v>
      </c>
      <c r="E558" s="7">
        <v>10760.6</v>
      </c>
      <c r="F558" s="7">
        <v>291431992</v>
      </c>
      <c r="G558" s="42">
        <v>16542.509999999998</v>
      </c>
    </row>
    <row r="559" spans="1:7" ht="14.25" customHeight="1">
      <c r="A559" s="41">
        <v>43136</v>
      </c>
      <c r="B559" s="7">
        <v>10604.3</v>
      </c>
      <c r="C559" s="7">
        <v>10702.75</v>
      </c>
      <c r="D559" s="7">
        <v>10586.8</v>
      </c>
      <c r="E559" s="7">
        <v>10666.55</v>
      </c>
      <c r="F559" s="7">
        <v>247479157</v>
      </c>
      <c r="G559" s="42">
        <v>13980.63</v>
      </c>
    </row>
    <row r="560" spans="1:7" ht="14.25" customHeight="1">
      <c r="A560" s="41">
        <v>43137</v>
      </c>
      <c r="B560" s="7">
        <v>10295.15</v>
      </c>
      <c r="C560" s="7">
        <v>10594.15</v>
      </c>
      <c r="D560" s="7">
        <v>10276.299999999999</v>
      </c>
      <c r="E560" s="7">
        <v>10498.25</v>
      </c>
      <c r="F560" s="7">
        <v>274656443</v>
      </c>
      <c r="G560" s="42">
        <v>15606.34</v>
      </c>
    </row>
    <row r="561" spans="1:7" ht="14.25" customHeight="1">
      <c r="A561" s="41">
        <v>43138</v>
      </c>
      <c r="B561" s="7">
        <v>10607.2</v>
      </c>
      <c r="C561" s="7">
        <v>10614</v>
      </c>
      <c r="D561" s="7">
        <v>10446.4</v>
      </c>
      <c r="E561" s="7">
        <v>10476.700000000001</v>
      </c>
      <c r="F561" s="7">
        <v>258095424</v>
      </c>
      <c r="G561" s="42">
        <v>13971.66</v>
      </c>
    </row>
    <row r="562" spans="1:7" ht="14.25" customHeight="1">
      <c r="A562" s="41">
        <v>43139</v>
      </c>
      <c r="B562" s="7">
        <v>10518.5</v>
      </c>
      <c r="C562" s="7">
        <v>10637.8</v>
      </c>
      <c r="D562" s="7">
        <v>10479.549999999999</v>
      </c>
      <c r="E562" s="7">
        <v>10576.85</v>
      </c>
      <c r="F562" s="7">
        <v>239407938</v>
      </c>
      <c r="G562" s="42">
        <v>12569.23</v>
      </c>
    </row>
    <row r="563" spans="1:7" ht="14.25" customHeight="1">
      <c r="A563" s="41">
        <v>43140</v>
      </c>
      <c r="B563" s="7">
        <v>10416.5</v>
      </c>
      <c r="C563" s="7">
        <v>10480.200000000001</v>
      </c>
      <c r="D563" s="7">
        <v>10398.200000000001</v>
      </c>
      <c r="E563" s="7">
        <v>10454.950000000001</v>
      </c>
      <c r="F563" s="7">
        <v>197502912</v>
      </c>
      <c r="G563" s="42">
        <v>10602.15</v>
      </c>
    </row>
    <row r="564" spans="1:7" ht="14.25" customHeight="1">
      <c r="A564" s="41">
        <v>43143</v>
      </c>
      <c r="B564" s="7">
        <v>10518.2</v>
      </c>
      <c r="C564" s="7">
        <v>10555.5</v>
      </c>
      <c r="D564" s="7">
        <v>10485.4</v>
      </c>
      <c r="E564" s="7">
        <v>10539.75</v>
      </c>
      <c r="F564" s="7">
        <v>224114801</v>
      </c>
      <c r="G564" s="42">
        <v>11133.78</v>
      </c>
    </row>
    <row r="565" spans="1:7" ht="14.25" customHeight="1">
      <c r="A565" s="41">
        <v>43145</v>
      </c>
      <c r="B565" s="7">
        <v>10585.75</v>
      </c>
      <c r="C565" s="7">
        <v>10590.55</v>
      </c>
      <c r="D565" s="7">
        <v>10456.65</v>
      </c>
      <c r="E565" s="7">
        <v>10500.9</v>
      </c>
      <c r="F565" s="7">
        <v>236329440</v>
      </c>
      <c r="G565" s="42">
        <v>12188.94</v>
      </c>
    </row>
    <row r="566" spans="1:7" ht="14.25" customHeight="1">
      <c r="A566" s="41">
        <v>43146</v>
      </c>
      <c r="B566" s="7">
        <v>10537.9</v>
      </c>
      <c r="C566" s="7">
        <v>10618.1</v>
      </c>
      <c r="D566" s="7">
        <v>10511.05</v>
      </c>
      <c r="E566" s="7">
        <v>10545.5</v>
      </c>
      <c r="F566" s="7">
        <v>217090245</v>
      </c>
      <c r="G566" s="42">
        <v>11035.38</v>
      </c>
    </row>
    <row r="567" spans="1:7" ht="14.25" customHeight="1">
      <c r="A567" s="41">
        <v>43147</v>
      </c>
      <c r="B567" s="7">
        <v>10596.2</v>
      </c>
      <c r="C567" s="7">
        <v>10612.9</v>
      </c>
      <c r="D567" s="7">
        <v>10434.049999999999</v>
      </c>
      <c r="E567" s="7">
        <v>10452.299999999999</v>
      </c>
      <c r="F567" s="7">
        <v>190043189</v>
      </c>
      <c r="G567" s="42">
        <v>10026.709999999999</v>
      </c>
    </row>
    <row r="568" spans="1:7" ht="14.25" customHeight="1">
      <c r="A568" s="41">
        <v>43150</v>
      </c>
      <c r="B568" s="7">
        <v>10488.9</v>
      </c>
      <c r="C568" s="7">
        <v>10489.35</v>
      </c>
      <c r="D568" s="7">
        <v>10302.75</v>
      </c>
      <c r="E568" s="7">
        <v>10378.4</v>
      </c>
      <c r="F568" s="7">
        <v>193087737</v>
      </c>
      <c r="G568" s="42">
        <v>9871.36</v>
      </c>
    </row>
    <row r="569" spans="1:7" ht="14.25" customHeight="1">
      <c r="A569" s="41">
        <v>43151</v>
      </c>
      <c r="B569" s="7">
        <v>10391</v>
      </c>
      <c r="C569" s="7">
        <v>10429.35</v>
      </c>
      <c r="D569" s="7">
        <v>10347.65</v>
      </c>
      <c r="E569" s="7">
        <v>10360.4</v>
      </c>
      <c r="F569" s="7">
        <v>193464871</v>
      </c>
      <c r="G569" s="42">
        <v>9619.9500000000007</v>
      </c>
    </row>
    <row r="570" spans="1:7" ht="14.25" customHeight="1">
      <c r="A570" s="41">
        <v>43152</v>
      </c>
      <c r="B570" s="7">
        <v>10426</v>
      </c>
      <c r="C570" s="7">
        <v>10426.1</v>
      </c>
      <c r="D570" s="7">
        <v>10349.6</v>
      </c>
      <c r="E570" s="7">
        <v>10397.450000000001</v>
      </c>
      <c r="F570" s="7">
        <v>241331542</v>
      </c>
      <c r="G570" s="42">
        <v>12996.36</v>
      </c>
    </row>
    <row r="571" spans="1:7" ht="14.25" customHeight="1">
      <c r="A571" s="41">
        <v>43153</v>
      </c>
      <c r="B571" s="7">
        <v>10354.35</v>
      </c>
      <c r="C571" s="7">
        <v>10397.549999999999</v>
      </c>
      <c r="D571" s="7">
        <v>10340.65</v>
      </c>
      <c r="E571" s="7">
        <v>10382.700000000001</v>
      </c>
      <c r="F571" s="7">
        <v>323259078</v>
      </c>
      <c r="G571" s="42">
        <v>17711.46</v>
      </c>
    </row>
    <row r="572" spans="1:7" ht="14.25" customHeight="1">
      <c r="A572" s="41">
        <v>43154</v>
      </c>
      <c r="B572" s="7">
        <v>10408.1</v>
      </c>
      <c r="C572" s="7">
        <v>10499.1</v>
      </c>
      <c r="D572" s="7">
        <v>10396.65</v>
      </c>
      <c r="E572" s="7">
        <v>10491.05</v>
      </c>
      <c r="F572" s="7">
        <v>217134363</v>
      </c>
      <c r="G572" s="42">
        <v>12704.32</v>
      </c>
    </row>
    <row r="573" spans="1:7" ht="14.25" customHeight="1">
      <c r="A573" s="41">
        <v>43157</v>
      </c>
      <c r="B573" s="7">
        <v>10526.55</v>
      </c>
      <c r="C573" s="7">
        <v>10592.95</v>
      </c>
      <c r="D573" s="7">
        <v>10520.2</v>
      </c>
      <c r="E573" s="7">
        <v>10582.6</v>
      </c>
      <c r="F573" s="7">
        <v>177238616</v>
      </c>
      <c r="G573" s="42">
        <v>10274.89</v>
      </c>
    </row>
    <row r="574" spans="1:7" ht="14.25" customHeight="1">
      <c r="A574" s="41">
        <v>43158</v>
      </c>
      <c r="B574" s="7">
        <v>10615.2</v>
      </c>
      <c r="C574" s="7">
        <v>10631.65</v>
      </c>
      <c r="D574" s="7">
        <v>10537.25</v>
      </c>
      <c r="E574" s="7">
        <v>10554.3</v>
      </c>
      <c r="F574" s="7">
        <v>193250158</v>
      </c>
      <c r="G574" s="42">
        <v>10276.42</v>
      </c>
    </row>
    <row r="575" spans="1:7" ht="14.25" customHeight="1">
      <c r="A575" s="41">
        <v>43159</v>
      </c>
      <c r="B575" s="7">
        <v>10488.95</v>
      </c>
      <c r="C575" s="7">
        <v>10535.5</v>
      </c>
      <c r="D575" s="7">
        <v>10461.549999999999</v>
      </c>
      <c r="E575" s="7">
        <v>10492.85</v>
      </c>
      <c r="F575" s="7">
        <v>294794221</v>
      </c>
      <c r="G575" s="42">
        <v>16299.11</v>
      </c>
    </row>
    <row r="576" spans="1:7" ht="14.25" customHeight="1">
      <c r="A576" s="41">
        <v>43160</v>
      </c>
      <c r="B576" s="7">
        <v>10479.950000000001</v>
      </c>
      <c r="C576" s="7">
        <v>10525.5</v>
      </c>
      <c r="D576" s="7">
        <v>10447.15</v>
      </c>
      <c r="E576" s="7">
        <v>10458.35</v>
      </c>
      <c r="F576" s="7">
        <v>181378504</v>
      </c>
      <c r="G576" s="42">
        <v>10179.48</v>
      </c>
    </row>
    <row r="577" spans="1:7" ht="14.25" customHeight="1">
      <c r="A577" s="41">
        <v>43164</v>
      </c>
      <c r="B577" s="7">
        <v>10428.299999999999</v>
      </c>
      <c r="C577" s="7">
        <v>10428.700000000001</v>
      </c>
      <c r="D577" s="7">
        <v>10323.9</v>
      </c>
      <c r="E577" s="7">
        <v>10358.85</v>
      </c>
      <c r="F577" s="7">
        <v>199975720</v>
      </c>
      <c r="G577" s="42">
        <v>10673.92</v>
      </c>
    </row>
    <row r="578" spans="1:7" ht="14.25" customHeight="1">
      <c r="A578" s="41">
        <v>43165</v>
      </c>
      <c r="B578" s="7">
        <v>10420.5</v>
      </c>
      <c r="C578" s="7">
        <v>10441.35</v>
      </c>
      <c r="D578" s="7">
        <v>10215.9</v>
      </c>
      <c r="E578" s="7">
        <v>10249.25</v>
      </c>
      <c r="F578" s="7">
        <v>229782297</v>
      </c>
      <c r="G578" s="42">
        <v>12143.95</v>
      </c>
    </row>
    <row r="579" spans="1:7" ht="14.25" customHeight="1">
      <c r="A579" s="41">
        <v>43166</v>
      </c>
      <c r="B579" s="7">
        <v>10232.950000000001</v>
      </c>
      <c r="C579" s="7">
        <v>10243.35</v>
      </c>
      <c r="D579" s="7">
        <v>10141.549999999999</v>
      </c>
      <c r="E579" s="7">
        <v>10154.200000000001</v>
      </c>
      <c r="F579" s="7">
        <v>257200599</v>
      </c>
      <c r="G579" s="42">
        <v>12128.88</v>
      </c>
    </row>
    <row r="580" spans="1:7" ht="14.25" customHeight="1">
      <c r="A580" s="41">
        <v>43167</v>
      </c>
      <c r="B580" s="7">
        <v>10216.25</v>
      </c>
      <c r="C580" s="7">
        <v>10270.35</v>
      </c>
      <c r="D580" s="7">
        <v>10146.4</v>
      </c>
      <c r="E580" s="7">
        <v>10242.65</v>
      </c>
      <c r="F580" s="7">
        <v>233377712</v>
      </c>
      <c r="G580" s="42">
        <v>11479.51</v>
      </c>
    </row>
    <row r="581" spans="1:7" ht="14.25" customHeight="1">
      <c r="A581" s="41">
        <v>43168</v>
      </c>
      <c r="B581" s="7">
        <v>10271.299999999999</v>
      </c>
      <c r="C581" s="7">
        <v>10296.700000000001</v>
      </c>
      <c r="D581" s="7">
        <v>10211.9</v>
      </c>
      <c r="E581" s="7">
        <v>10226.85</v>
      </c>
      <c r="F581" s="7">
        <v>192333334</v>
      </c>
      <c r="G581" s="42">
        <v>9874.81</v>
      </c>
    </row>
    <row r="582" spans="1:7" ht="14.25" customHeight="1">
      <c r="A582" s="41">
        <v>43171</v>
      </c>
      <c r="B582" s="7">
        <v>10301.6</v>
      </c>
      <c r="C582" s="7">
        <v>10433.65</v>
      </c>
      <c r="D582" s="7">
        <v>10295.450000000001</v>
      </c>
      <c r="E582" s="7">
        <v>10421.4</v>
      </c>
      <c r="F582" s="7">
        <v>223135459</v>
      </c>
      <c r="G582" s="42">
        <v>10968.95</v>
      </c>
    </row>
    <row r="583" spans="1:7" ht="14.25" customHeight="1">
      <c r="A583" s="41">
        <v>43172</v>
      </c>
      <c r="B583" s="7">
        <v>10389.5</v>
      </c>
      <c r="C583" s="7">
        <v>10478.6</v>
      </c>
      <c r="D583" s="7">
        <v>10377.85</v>
      </c>
      <c r="E583" s="7">
        <v>10426.85</v>
      </c>
      <c r="F583" s="7">
        <v>274852794</v>
      </c>
      <c r="G583" s="42">
        <v>23965.25</v>
      </c>
    </row>
    <row r="584" spans="1:7" ht="14.25" customHeight="1">
      <c r="A584" s="41">
        <v>43173</v>
      </c>
      <c r="B584" s="7">
        <v>10393.049999999999</v>
      </c>
      <c r="C584" s="7">
        <v>10420.35</v>
      </c>
      <c r="D584" s="7">
        <v>10336.299999999999</v>
      </c>
      <c r="E584" s="7">
        <v>10410.9</v>
      </c>
      <c r="F584" s="7">
        <v>186991169</v>
      </c>
      <c r="G584" s="42">
        <v>9564.68</v>
      </c>
    </row>
    <row r="585" spans="1:7" ht="14.25" customHeight="1">
      <c r="A585" s="41">
        <v>43174</v>
      </c>
      <c r="B585" s="7">
        <v>10405.450000000001</v>
      </c>
      <c r="C585" s="7">
        <v>10420</v>
      </c>
      <c r="D585" s="7">
        <v>10346.200000000001</v>
      </c>
      <c r="E585" s="7">
        <v>10360.15</v>
      </c>
      <c r="F585" s="7">
        <v>179308593</v>
      </c>
      <c r="G585" s="42">
        <v>8588.01</v>
      </c>
    </row>
    <row r="586" spans="1:7" ht="14.25" customHeight="1">
      <c r="A586" s="41">
        <v>43175</v>
      </c>
      <c r="B586" s="7">
        <v>10345.15</v>
      </c>
      <c r="C586" s="7">
        <v>10346.299999999999</v>
      </c>
      <c r="D586" s="7">
        <v>10180.25</v>
      </c>
      <c r="E586" s="7">
        <v>10195.15</v>
      </c>
      <c r="F586" s="7">
        <v>338702439</v>
      </c>
      <c r="G586" s="42">
        <v>18811.97</v>
      </c>
    </row>
    <row r="587" spans="1:7" ht="14.25" customHeight="1">
      <c r="A587" s="41">
        <v>43178</v>
      </c>
      <c r="B587" s="7">
        <v>10215.35</v>
      </c>
      <c r="C587" s="7">
        <v>10224.549999999999</v>
      </c>
      <c r="D587" s="7">
        <v>10075.299999999999</v>
      </c>
      <c r="E587" s="7">
        <v>10094.25</v>
      </c>
      <c r="F587" s="7">
        <v>216670033</v>
      </c>
      <c r="G587" s="42">
        <v>11111.43</v>
      </c>
    </row>
    <row r="588" spans="1:7" ht="14.25" customHeight="1">
      <c r="A588" s="41">
        <v>43179</v>
      </c>
      <c r="B588" s="7">
        <v>10051.549999999999</v>
      </c>
      <c r="C588" s="7">
        <v>10155.65</v>
      </c>
      <c r="D588" s="7">
        <v>10049.1</v>
      </c>
      <c r="E588" s="7">
        <v>10124.35</v>
      </c>
      <c r="F588" s="7">
        <v>209327593</v>
      </c>
      <c r="G588" s="42">
        <v>10947.12</v>
      </c>
    </row>
    <row r="589" spans="1:7" ht="14.25" customHeight="1">
      <c r="A589" s="41">
        <v>43180</v>
      </c>
      <c r="B589" s="7">
        <v>10181.950000000001</v>
      </c>
      <c r="C589" s="7">
        <v>10227.299999999999</v>
      </c>
      <c r="D589" s="7">
        <v>10132.950000000001</v>
      </c>
      <c r="E589" s="7">
        <v>10155.25</v>
      </c>
      <c r="F589" s="7">
        <v>211060429</v>
      </c>
      <c r="G589" s="42">
        <v>11269.73</v>
      </c>
    </row>
    <row r="590" spans="1:7" ht="14.25" customHeight="1">
      <c r="A590" s="41">
        <v>43181</v>
      </c>
      <c r="B590" s="7">
        <v>10167.5</v>
      </c>
      <c r="C590" s="7">
        <v>10207.85</v>
      </c>
      <c r="D590" s="7">
        <v>10105.4</v>
      </c>
      <c r="E590" s="7">
        <v>10114.75</v>
      </c>
      <c r="F590" s="7">
        <v>237632983</v>
      </c>
      <c r="G590" s="42">
        <v>11558.88</v>
      </c>
    </row>
    <row r="591" spans="1:7" ht="14.25" customHeight="1">
      <c r="A591" s="41">
        <v>43182</v>
      </c>
      <c r="B591" s="7">
        <v>9968.7999999999993</v>
      </c>
      <c r="C591" s="7">
        <v>10027.700000000001</v>
      </c>
      <c r="D591" s="7">
        <v>9951.9</v>
      </c>
      <c r="E591" s="7">
        <v>9998.0499999999993</v>
      </c>
      <c r="F591" s="7">
        <v>294515154</v>
      </c>
      <c r="G591" s="42">
        <v>14435.17</v>
      </c>
    </row>
    <row r="592" spans="1:7" ht="14.25" customHeight="1">
      <c r="A592" s="41">
        <v>43185</v>
      </c>
      <c r="B592" s="7">
        <v>9989.15</v>
      </c>
      <c r="C592" s="7">
        <v>10143.5</v>
      </c>
      <c r="D592" s="7">
        <v>9958.5499999999993</v>
      </c>
      <c r="E592" s="7">
        <v>10130.65</v>
      </c>
      <c r="F592" s="7">
        <v>270665332</v>
      </c>
      <c r="G592" s="42">
        <v>12695.47</v>
      </c>
    </row>
    <row r="593" spans="1:7" ht="14.25" customHeight="1">
      <c r="A593" s="41">
        <v>43186</v>
      </c>
      <c r="B593" s="7">
        <v>10188</v>
      </c>
      <c r="C593" s="7">
        <v>10207.9</v>
      </c>
      <c r="D593" s="7">
        <v>10139.65</v>
      </c>
      <c r="E593" s="7">
        <v>10184.15</v>
      </c>
      <c r="F593" s="7">
        <v>232713976</v>
      </c>
      <c r="G593" s="42">
        <v>11175.79</v>
      </c>
    </row>
    <row r="594" spans="1:7" ht="14.25" customHeight="1">
      <c r="A594" s="41">
        <v>43187</v>
      </c>
      <c r="B594" s="7">
        <v>10143.6</v>
      </c>
      <c r="C594" s="7">
        <v>10158.35</v>
      </c>
      <c r="D594" s="7">
        <v>10096.9</v>
      </c>
      <c r="E594" s="7">
        <v>10113.700000000001</v>
      </c>
      <c r="F594" s="7">
        <v>354977198</v>
      </c>
      <c r="G594" s="42">
        <v>18807.48</v>
      </c>
    </row>
    <row r="595" spans="1:7" ht="14.25" customHeight="1">
      <c r="A595" s="41">
        <v>43192</v>
      </c>
      <c r="B595" s="7">
        <v>10151.65</v>
      </c>
      <c r="C595" s="7">
        <v>10220.1</v>
      </c>
      <c r="D595" s="7">
        <v>10127.75</v>
      </c>
      <c r="E595" s="7">
        <v>10211.799999999999</v>
      </c>
      <c r="F595" s="7"/>
      <c r="G595" s="42"/>
    </row>
    <row r="596" spans="1:7" ht="14.25" customHeight="1">
      <c r="A596" s="41">
        <v>43193</v>
      </c>
      <c r="B596" s="7">
        <v>10186.85</v>
      </c>
      <c r="C596" s="7">
        <v>10255.35</v>
      </c>
      <c r="D596" s="7">
        <v>10171.049999999999</v>
      </c>
      <c r="E596" s="7">
        <v>10245</v>
      </c>
      <c r="F596" s="7">
        <v>211652029</v>
      </c>
      <c r="G596" s="42">
        <v>10167.120000000001</v>
      </c>
    </row>
    <row r="597" spans="1:7" ht="14.25" customHeight="1">
      <c r="A597" s="41">
        <v>43194</v>
      </c>
      <c r="B597" s="7">
        <v>10274.6</v>
      </c>
      <c r="C597" s="7">
        <v>10279.85</v>
      </c>
      <c r="D597" s="7">
        <v>10111.299999999999</v>
      </c>
      <c r="E597" s="7">
        <v>10128.4</v>
      </c>
      <c r="F597" s="7">
        <v>238182921</v>
      </c>
      <c r="G597" s="42">
        <v>11861.79</v>
      </c>
    </row>
    <row r="598" spans="1:7" ht="14.25" customHeight="1">
      <c r="A598" s="41">
        <v>43195</v>
      </c>
      <c r="B598" s="7">
        <v>10228.450000000001</v>
      </c>
      <c r="C598" s="7">
        <v>10331.799999999999</v>
      </c>
      <c r="D598" s="7">
        <v>10227.450000000001</v>
      </c>
      <c r="E598" s="7">
        <v>10325.15</v>
      </c>
      <c r="F598" s="7">
        <v>244116235</v>
      </c>
      <c r="G598" s="42">
        <v>11674.92</v>
      </c>
    </row>
    <row r="599" spans="1:7" ht="14.25" customHeight="1">
      <c r="A599" s="41">
        <v>43196</v>
      </c>
      <c r="B599" s="7">
        <v>10322.75</v>
      </c>
      <c r="C599" s="7">
        <v>10350.450000000001</v>
      </c>
      <c r="D599" s="7">
        <v>10290.85</v>
      </c>
      <c r="E599" s="7">
        <v>10331.6</v>
      </c>
      <c r="F599" s="7">
        <v>206355691</v>
      </c>
      <c r="G599" s="42">
        <v>10131.74</v>
      </c>
    </row>
    <row r="600" spans="1:7" ht="14.25" customHeight="1">
      <c r="A600" s="41">
        <v>43199</v>
      </c>
      <c r="B600" s="7">
        <v>10333.700000000001</v>
      </c>
      <c r="C600" s="7">
        <v>10397.700000000001</v>
      </c>
      <c r="D600" s="7">
        <v>10328.5</v>
      </c>
      <c r="E600" s="7">
        <v>10379.35</v>
      </c>
      <c r="F600" s="7">
        <v>228512954</v>
      </c>
      <c r="G600" s="42">
        <v>10714.13</v>
      </c>
    </row>
    <row r="601" spans="1:7" ht="14.25" customHeight="1">
      <c r="A601" s="41">
        <v>43200</v>
      </c>
      <c r="B601" s="7">
        <v>10412.9</v>
      </c>
      <c r="C601" s="7">
        <v>10424.85</v>
      </c>
      <c r="D601" s="7">
        <v>10381.5</v>
      </c>
      <c r="E601" s="7">
        <v>10402.25</v>
      </c>
      <c r="F601" s="7">
        <v>259523888</v>
      </c>
      <c r="G601" s="42">
        <v>11905.12</v>
      </c>
    </row>
    <row r="602" spans="1:7" ht="14.25" customHeight="1">
      <c r="A602" s="41">
        <v>43201</v>
      </c>
      <c r="B602" s="7">
        <v>10428.15</v>
      </c>
      <c r="C602" s="7">
        <v>10428.15</v>
      </c>
      <c r="D602" s="7">
        <v>10355.6</v>
      </c>
      <c r="E602" s="7">
        <v>10417.15</v>
      </c>
      <c r="F602" s="7">
        <v>258077363</v>
      </c>
      <c r="G602" s="42">
        <v>11790.58</v>
      </c>
    </row>
    <row r="603" spans="1:7" ht="14.25" customHeight="1">
      <c r="A603" s="41">
        <v>43202</v>
      </c>
      <c r="B603" s="7">
        <v>10410.65</v>
      </c>
      <c r="C603" s="7">
        <v>10469.9</v>
      </c>
      <c r="D603" s="7">
        <v>10395.25</v>
      </c>
      <c r="E603" s="7">
        <v>10458.65</v>
      </c>
      <c r="F603" s="7">
        <v>246027888</v>
      </c>
      <c r="G603" s="42">
        <v>12249.66</v>
      </c>
    </row>
    <row r="604" spans="1:7" ht="14.25" customHeight="1">
      <c r="A604" s="41">
        <v>43203</v>
      </c>
      <c r="B604" s="7">
        <v>10495.3</v>
      </c>
      <c r="C604" s="7">
        <v>10519.9</v>
      </c>
      <c r="D604" s="7">
        <v>10451.450000000001</v>
      </c>
      <c r="E604" s="7">
        <v>10480.6</v>
      </c>
      <c r="F604" s="7">
        <v>219724716</v>
      </c>
      <c r="G604" s="42">
        <v>12354.55</v>
      </c>
    </row>
    <row r="605" spans="1:7" ht="14.25" customHeight="1">
      <c r="A605" s="41">
        <v>43206</v>
      </c>
      <c r="B605" s="7">
        <v>10398.299999999999</v>
      </c>
      <c r="C605" s="7">
        <v>10540.15</v>
      </c>
      <c r="D605" s="7">
        <v>10396.35</v>
      </c>
      <c r="E605" s="7">
        <v>10528.35</v>
      </c>
      <c r="F605" s="7">
        <v>200950876</v>
      </c>
      <c r="G605" s="42">
        <v>11242.05</v>
      </c>
    </row>
    <row r="606" spans="1:7" ht="14.25" customHeight="1">
      <c r="A606" s="41">
        <v>43207</v>
      </c>
      <c r="B606" s="7">
        <v>10557.3</v>
      </c>
      <c r="C606" s="7">
        <v>10560.45</v>
      </c>
      <c r="D606" s="7">
        <v>10495.65</v>
      </c>
      <c r="E606" s="7">
        <v>10548.7</v>
      </c>
      <c r="F606" s="7">
        <v>212449535</v>
      </c>
      <c r="G606" s="42">
        <v>10501.71</v>
      </c>
    </row>
    <row r="607" spans="1:7" ht="14.25" customHeight="1">
      <c r="A607" s="41">
        <v>43208</v>
      </c>
      <c r="B607" s="7">
        <v>10578.9</v>
      </c>
      <c r="C607" s="7">
        <v>10594.2</v>
      </c>
      <c r="D607" s="7">
        <v>10509.7</v>
      </c>
      <c r="E607" s="7">
        <v>10526.2</v>
      </c>
      <c r="F607" s="7">
        <v>211823044</v>
      </c>
      <c r="G607" s="42">
        <v>9888.65</v>
      </c>
    </row>
    <row r="608" spans="1:7" ht="14.25" customHeight="1">
      <c r="A608" s="41">
        <v>43209</v>
      </c>
      <c r="B608" s="7">
        <v>10563.65</v>
      </c>
      <c r="C608" s="7">
        <v>10572.2</v>
      </c>
      <c r="D608" s="7">
        <v>10546.2</v>
      </c>
      <c r="E608" s="7">
        <v>10565.3</v>
      </c>
      <c r="F608" s="7">
        <v>270740891</v>
      </c>
      <c r="G608" s="42">
        <v>12559.11</v>
      </c>
    </row>
    <row r="609" spans="1:7" ht="14.25" customHeight="1">
      <c r="A609" s="41">
        <v>43210</v>
      </c>
      <c r="B609" s="7">
        <v>10560.35</v>
      </c>
      <c r="C609" s="7">
        <v>10582.35</v>
      </c>
      <c r="D609" s="7">
        <v>10527.45</v>
      </c>
      <c r="E609" s="7">
        <v>10564.05</v>
      </c>
      <c r="F609" s="7">
        <v>252227268</v>
      </c>
      <c r="G609" s="42">
        <v>15372.66</v>
      </c>
    </row>
    <row r="610" spans="1:7" ht="14.25" customHeight="1">
      <c r="A610" s="41">
        <v>43213</v>
      </c>
      <c r="B610" s="7">
        <v>10592.8</v>
      </c>
      <c r="C610" s="7">
        <v>10638.35</v>
      </c>
      <c r="D610" s="7">
        <v>10514.95</v>
      </c>
      <c r="E610" s="7">
        <v>10584.7</v>
      </c>
      <c r="F610" s="7">
        <v>200203196</v>
      </c>
      <c r="G610" s="42">
        <v>13642.67</v>
      </c>
    </row>
    <row r="611" spans="1:7" ht="14.25" customHeight="1">
      <c r="A611" s="41">
        <v>43214</v>
      </c>
      <c r="B611" s="7">
        <v>10578.1</v>
      </c>
      <c r="C611" s="7">
        <v>10636.8</v>
      </c>
      <c r="D611" s="7">
        <v>10569</v>
      </c>
      <c r="E611" s="7">
        <v>10614.35</v>
      </c>
      <c r="F611" s="7">
        <v>225972673</v>
      </c>
      <c r="G611" s="42">
        <v>12281.53</v>
      </c>
    </row>
    <row r="612" spans="1:7" ht="14.25" customHeight="1">
      <c r="A612" s="41">
        <v>43215</v>
      </c>
      <c r="B612" s="7">
        <v>10612.4</v>
      </c>
      <c r="C612" s="7">
        <v>10612.6</v>
      </c>
      <c r="D612" s="7">
        <v>10536.45</v>
      </c>
      <c r="E612" s="7">
        <v>10570.55</v>
      </c>
      <c r="F612" s="7">
        <v>195129613</v>
      </c>
      <c r="G612" s="42">
        <v>11125.11</v>
      </c>
    </row>
    <row r="613" spans="1:7" ht="14.25" customHeight="1">
      <c r="A613" s="41">
        <v>43216</v>
      </c>
      <c r="B613" s="7">
        <v>10586.5</v>
      </c>
      <c r="C613" s="7">
        <v>10628.4</v>
      </c>
      <c r="D613" s="7">
        <v>10559.65</v>
      </c>
      <c r="E613" s="7">
        <v>10617.8</v>
      </c>
      <c r="F613" s="7">
        <v>345536167</v>
      </c>
      <c r="G613" s="42">
        <v>19200.41</v>
      </c>
    </row>
    <row r="614" spans="1:7" ht="14.25" customHeight="1">
      <c r="A614" s="41">
        <v>43217</v>
      </c>
      <c r="B614" s="7">
        <v>10651.65</v>
      </c>
      <c r="C614" s="7">
        <v>10719.8</v>
      </c>
      <c r="D614" s="7">
        <v>10647.55</v>
      </c>
      <c r="E614" s="7">
        <v>10692.3</v>
      </c>
      <c r="F614" s="7">
        <v>306671172</v>
      </c>
      <c r="G614" s="42">
        <v>16886.89</v>
      </c>
    </row>
    <row r="615" spans="1:7" ht="14.25" customHeight="1">
      <c r="A615" s="41">
        <v>43220</v>
      </c>
      <c r="B615" s="7">
        <v>10705.75</v>
      </c>
      <c r="C615" s="7">
        <v>10759</v>
      </c>
      <c r="D615" s="7">
        <v>10704.6</v>
      </c>
      <c r="E615" s="7">
        <v>10739.35</v>
      </c>
      <c r="F615" s="7">
        <v>179163468</v>
      </c>
      <c r="G615" s="42">
        <v>10412.57</v>
      </c>
    </row>
    <row r="616" spans="1:7" ht="14.25" customHeight="1">
      <c r="A616" s="41">
        <v>43222</v>
      </c>
      <c r="B616" s="7">
        <v>10783.85</v>
      </c>
      <c r="C616" s="7">
        <v>10784.65</v>
      </c>
      <c r="D616" s="7">
        <v>10689.8</v>
      </c>
      <c r="E616" s="7">
        <v>10718.05</v>
      </c>
      <c r="F616" s="7">
        <v>236757172</v>
      </c>
      <c r="G616" s="42">
        <v>14820.58</v>
      </c>
    </row>
    <row r="617" spans="1:7" ht="14.25" customHeight="1">
      <c r="A617" s="41">
        <v>43223</v>
      </c>
      <c r="B617" s="7">
        <v>10720.15</v>
      </c>
      <c r="C617" s="7">
        <v>10720.6</v>
      </c>
      <c r="D617" s="7">
        <v>10647.45</v>
      </c>
      <c r="E617" s="7">
        <v>10679.65</v>
      </c>
      <c r="F617" s="7">
        <v>190869804</v>
      </c>
      <c r="G617" s="42">
        <v>11018.21</v>
      </c>
    </row>
    <row r="618" spans="1:7" ht="14.25" customHeight="1">
      <c r="A618" s="41">
        <v>43224</v>
      </c>
      <c r="B618" s="7">
        <v>10700.45</v>
      </c>
      <c r="C618" s="7">
        <v>10700.45</v>
      </c>
      <c r="D618" s="7">
        <v>10601.6</v>
      </c>
      <c r="E618" s="7">
        <v>10618.25</v>
      </c>
      <c r="F618" s="7">
        <v>192296041</v>
      </c>
      <c r="G618" s="42">
        <v>9721.56</v>
      </c>
    </row>
    <row r="619" spans="1:7" ht="14.25" customHeight="1">
      <c r="A619" s="41">
        <v>43227</v>
      </c>
      <c r="B619" s="7">
        <v>10653.15</v>
      </c>
      <c r="C619" s="7">
        <v>10725.65</v>
      </c>
      <c r="D619" s="7">
        <v>10635.65</v>
      </c>
      <c r="E619" s="7">
        <v>10715.5</v>
      </c>
      <c r="F619" s="7">
        <v>173620240</v>
      </c>
      <c r="G619" s="42">
        <v>9239.44</v>
      </c>
    </row>
    <row r="620" spans="1:7" ht="14.25" customHeight="1">
      <c r="A620" s="41">
        <v>43228</v>
      </c>
      <c r="B620" s="7">
        <v>10757.9</v>
      </c>
      <c r="C620" s="7">
        <v>10758.55</v>
      </c>
      <c r="D620" s="7">
        <v>10689.4</v>
      </c>
      <c r="E620" s="7">
        <v>10717.8</v>
      </c>
      <c r="F620" s="7">
        <v>278118616</v>
      </c>
      <c r="G620" s="42">
        <v>12783.49</v>
      </c>
    </row>
    <row r="621" spans="1:7" ht="14.25" customHeight="1">
      <c r="A621" s="41">
        <v>43229</v>
      </c>
      <c r="B621" s="7">
        <v>10693.35</v>
      </c>
      <c r="C621" s="7">
        <v>10766.25</v>
      </c>
      <c r="D621" s="7">
        <v>10689.85</v>
      </c>
      <c r="E621" s="7">
        <v>10741.7</v>
      </c>
      <c r="F621" s="7">
        <v>222115640</v>
      </c>
      <c r="G621" s="42">
        <v>10390.92</v>
      </c>
    </row>
    <row r="622" spans="1:7" ht="14.25" customHeight="1">
      <c r="A622" s="41">
        <v>43230</v>
      </c>
      <c r="B622" s="7">
        <v>10779.65</v>
      </c>
      <c r="C622" s="7">
        <v>10785.55</v>
      </c>
      <c r="D622" s="7">
        <v>10705</v>
      </c>
      <c r="E622" s="7">
        <v>10716.55</v>
      </c>
      <c r="F622" s="7">
        <v>197988475</v>
      </c>
      <c r="G622" s="42">
        <v>10526.38</v>
      </c>
    </row>
    <row r="623" spans="1:7" ht="14.25" customHeight="1">
      <c r="A623" s="41">
        <v>43231</v>
      </c>
      <c r="B623" s="7">
        <v>10741.95</v>
      </c>
      <c r="C623" s="7">
        <v>10812.05</v>
      </c>
      <c r="D623" s="7">
        <v>10724.45</v>
      </c>
      <c r="E623" s="7">
        <v>10806.5</v>
      </c>
      <c r="F623" s="7">
        <v>209392114</v>
      </c>
      <c r="G623" s="42">
        <v>10432.43</v>
      </c>
    </row>
    <row r="624" spans="1:7" ht="14.25" customHeight="1">
      <c r="A624" s="41">
        <v>43234</v>
      </c>
      <c r="B624" s="7">
        <v>10815.15</v>
      </c>
      <c r="C624" s="7">
        <v>10834.85</v>
      </c>
      <c r="D624" s="7">
        <v>10774.75</v>
      </c>
      <c r="E624" s="7">
        <v>10806.6</v>
      </c>
      <c r="F624" s="7">
        <v>176697512</v>
      </c>
      <c r="G624" s="42">
        <v>9075.44</v>
      </c>
    </row>
    <row r="625" spans="1:7" ht="14.25" customHeight="1">
      <c r="A625" s="41">
        <v>43235</v>
      </c>
      <c r="B625" s="7">
        <v>10812.6</v>
      </c>
      <c r="C625" s="7">
        <v>10929.2</v>
      </c>
      <c r="D625" s="7">
        <v>10781.4</v>
      </c>
      <c r="E625" s="7">
        <v>10801.85</v>
      </c>
      <c r="F625" s="7">
        <v>262202312</v>
      </c>
      <c r="G625" s="42">
        <v>13582.7</v>
      </c>
    </row>
    <row r="626" spans="1:7" ht="14.25" customHeight="1">
      <c r="A626" s="41">
        <v>43236</v>
      </c>
      <c r="B626" s="7">
        <v>10751.95</v>
      </c>
      <c r="C626" s="7">
        <v>10790.45</v>
      </c>
      <c r="D626" s="7">
        <v>10699.7</v>
      </c>
      <c r="E626" s="7">
        <v>10741.1</v>
      </c>
      <c r="F626" s="7">
        <v>238221884</v>
      </c>
      <c r="G626" s="42">
        <v>11359.48</v>
      </c>
    </row>
    <row r="627" spans="1:7" ht="14.25" customHeight="1">
      <c r="A627" s="41">
        <v>43237</v>
      </c>
      <c r="B627" s="7">
        <v>10775.6</v>
      </c>
      <c r="C627" s="7">
        <v>10777.25</v>
      </c>
      <c r="D627" s="7">
        <v>10664.5</v>
      </c>
      <c r="E627" s="7">
        <v>10682.7</v>
      </c>
      <c r="F627" s="7">
        <v>220738923</v>
      </c>
      <c r="G627" s="42">
        <v>12506.3</v>
      </c>
    </row>
    <row r="628" spans="1:7" ht="14.25" customHeight="1">
      <c r="A628" s="41">
        <v>43238</v>
      </c>
      <c r="B628" s="7">
        <v>10671.85</v>
      </c>
      <c r="C628" s="7">
        <v>10674.95</v>
      </c>
      <c r="D628" s="7">
        <v>10589.1</v>
      </c>
      <c r="E628" s="7">
        <v>10596.4</v>
      </c>
      <c r="F628" s="7">
        <v>229908939</v>
      </c>
      <c r="G628" s="42">
        <v>13908.47</v>
      </c>
    </row>
    <row r="629" spans="1:7" ht="14.25" customHeight="1">
      <c r="A629" s="41">
        <v>43241</v>
      </c>
      <c r="B629" s="7">
        <v>10616.7</v>
      </c>
      <c r="C629" s="7">
        <v>10621.7</v>
      </c>
      <c r="D629" s="7">
        <v>10505.8</v>
      </c>
      <c r="E629" s="7">
        <v>10516.7</v>
      </c>
      <c r="F629" s="7">
        <v>197294184</v>
      </c>
      <c r="G629" s="42">
        <v>11346.13</v>
      </c>
    </row>
    <row r="630" spans="1:7" ht="14.25" customHeight="1">
      <c r="A630" s="41">
        <v>43242</v>
      </c>
      <c r="B630" s="7">
        <v>10518.45</v>
      </c>
      <c r="C630" s="7">
        <v>10558.6</v>
      </c>
      <c r="D630" s="7">
        <v>10490.55</v>
      </c>
      <c r="E630" s="7">
        <v>10536.7</v>
      </c>
      <c r="F630" s="7">
        <v>249236637</v>
      </c>
      <c r="G630" s="42">
        <v>12017.36</v>
      </c>
    </row>
    <row r="631" spans="1:7" ht="14.25" customHeight="1">
      <c r="A631" s="41">
        <v>43243</v>
      </c>
      <c r="B631" s="7">
        <v>10521.1</v>
      </c>
      <c r="C631" s="7">
        <v>10533.55</v>
      </c>
      <c r="D631" s="7">
        <v>10417.799999999999</v>
      </c>
      <c r="E631" s="7">
        <v>10430.35</v>
      </c>
      <c r="F631" s="7">
        <v>299919120</v>
      </c>
      <c r="G631" s="42">
        <v>13456.6</v>
      </c>
    </row>
    <row r="632" spans="1:7" ht="14.25" customHeight="1">
      <c r="A632" s="41">
        <v>43244</v>
      </c>
      <c r="B632" s="7">
        <v>10464.85</v>
      </c>
      <c r="C632" s="7">
        <v>10535.15</v>
      </c>
      <c r="D632" s="7">
        <v>10419.799999999999</v>
      </c>
      <c r="E632" s="7">
        <v>10513.85</v>
      </c>
      <c r="F632" s="7">
        <v>306792497</v>
      </c>
      <c r="G632" s="42">
        <v>12914.16</v>
      </c>
    </row>
    <row r="633" spans="1:7" ht="14.25" customHeight="1">
      <c r="A633" s="41">
        <v>43245</v>
      </c>
      <c r="B633" s="7">
        <v>10533.05</v>
      </c>
      <c r="C633" s="7">
        <v>10628.05</v>
      </c>
      <c r="D633" s="7">
        <v>10524</v>
      </c>
      <c r="E633" s="7">
        <v>10605.15</v>
      </c>
      <c r="F633" s="7">
        <v>268914888</v>
      </c>
      <c r="G633" s="42">
        <v>12431.16</v>
      </c>
    </row>
    <row r="634" spans="1:7" ht="14.25" customHeight="1">
      <c r="A634" s="41">
        <v>43248</v>
      </c>
      <c r="B634" s="7">
        <v>10648.35</v>
      </c>
      <c r="C634" s="7">
        <v>10709.8</v>
      </c>
      <c r="D634" s="7">
        <v>10640.55</v>
      </c>
      <c r="E634" s="7">
        <v>10688.65</v>
      </c>
      <c r="F634" s="7">
        <v>239786001</v>
      </c>
      <c r="G634" s="42">
        <v>11764.35</v>
      </c>
    </row>
    <row r="635" spans="1:7" ht="14.25" customHeight="1">
      <c r="A635" s="41">
        <v>43249</v>
      </c>
      <c r="B635" s="7">
        <v>10689.4</v>
      </c>
      <c r="C635" s="7">
        <v>10717.25</v>
      </c>
      <c r="D635" s="7">
        <v>10616.1</v>
      </c>
      <c r="E635" s="7">
        <v>10633.3</v>
      </c>
      <c r="F635" s="7">
        <v>232761575</v>
      </c>
      <c r="G635" s="42">
        <v>11817.39</v>
      </c>
    </row>
    <row r="636" spans="1:7" ht="14.25" customHeight="1">
      <c r="A636" s="41">
        <v>43250</v>
      </c>
      <c r="B636" s="7">
        <v>10579</v>
      </c>
      <c r="C636" s="7">
        <v>10648.7</v>
      </c>
      <c r="D636" s="7">
        <v>10558.45</v>
      </c>
      <c r="E636" s="7">
        <v>10614.35</v>
      </c>
      <c r="F636" s="7">
        <v>246124259</v>
      </c>
      <c r="G636" s="42">
        <v>12224.76</v>
      </c>
    </row>
    <row r="637" spans="1:7" ht="14.25" customHeight="1">
      <c r="A637" s="41">
        <v>43251</v>
      </c>
      <c r="B637" s="7">
        <v>10670.1</v>
      </c>
      <c r="C637" s="7">
        <v>10763.8</v>
      </c>
      <c r="D637" s="7">
        <v>10620.4</v>
      </c>
      <c r="E637" s="7">
        <v>10736.15</v>
      </c>
      <c r="F637" s="7">
        <v>629198569</v>
      </c>
      <c r="G637" s="42">
        <v>29479.77</v>
      </c>
    </row>
    <row r="638" spans="1:7" ht="14.25" customHeight="1">
      <c r="A638" s="41">
        <v>43252</v>
      </c>
      <c r="B638" s="7">
        <v>10738.45</v>
      </c>
      <c r="C638" s="7">
        <v>10764.75</v>
      </c>
      <c r="D638" s="7">
        <v>10681.5</v>
      </c>
      <c r="E638" s="7">
        <v>10696.2</v>
      </c>
      <c r="F638" s="7">
        <v>227355567</v>
      </c>
      <c r="G638" s="42">
        <v>12965.01</v>
      </c>
    </row>
    <row r="639" spans="1:7" ht="14.25" customHeight="1">
      <c r="A639" s="41">
        <v>43255</v>
      </c>
      <c r="B639" s="7">
        <v>10765.95</v>
      </c>
      <c r="C639" s="7">
        <v>10770.3</v>
      </c>
      <c r="D639" s="7">
        <v>10618.35</v>
      </c>
      <c r="E639" s="7">
        <v>10628.5</v>
      </c>
      <c r="F639" s="7">
        <v>210148313</v>
      </c>
      <c r="G639" s="42">
        <v>14120.49</v>
      </c>
    </row>
    <row r="640" spans="1:7" ht="14.25" customHeight="1">
      <c r="A640" s="41">
        <v>43256</v>
      </c>
      <c r="B640" s="7">
        <v>10630.7</v>
      </c>
      <c r="C640" s="7">
        <v>10633.15</v>
      </c>
      <c r="D640" s="7">
        <v>10550.9</v>
      </c>
      <c r="E640" s="7">
        <v>10593.15</v>
      </c>
      <c r="F640" s="7">
        <v>172898027</v>
      </c>
      <c r="G640" s="42">
        <v>10027.540000000001</v>
      </c>
    </row>
    <row r="641" spans="1:7" ht="14.25" customHeight="1">
      <c r="A641" s="41">
        <v>43257</v>
      </c>
      <c r="B641" s="7">
        <v>10603.45</v>
      </c>
      <c r="C641" s="7">
        <v>10698.35</v>
      </c>
      <c r="D641" s="7">
        <v>10587.5</v>
      </c>
      <c r="E641" s="7">
        <v>10684.65</v>
      </c>
      <c r="F641" s="7">
        <v>195761429</v>
      </c>
      <c r="G641" s="42">
        <v>9920.75</v>
      </c>
    </row>
    <row r="642" spans="1:7" ht="14.25" customHeight="1">
      <c r="A642" s="41">
        <v>43258</v>
      </c>
      <c r="B642" s="7">
        <v>10722.6</v>
      </c>
      <c r="C642" s="7">
        <v>10818</v>
      </c>
      <c r="D642" s="7">
        <v>10722.6</v>
      </c>
      <c r="E642" s="7">
        <v>10768.35</v>
      </c>
      <c r="F642" s="7">
        <v>227663151</v>
      </c>
      <c r="G642" s="42">
        <v>11315.24</v>
      </c>
    </row>
    <row r="643" spans="1:7" ht="14.25" customHeight="1">
      <c r="A643" s="41">
        <v>43259</v>
      </c>
      <c r="B643" s="7">
        <v>10736.4</v>
      </c>
      <c r="C643" s="7">
        <v>10779.45</v>
      </c>
      <c r="D643" s="7">
        <v>10709.05</v>
      </c>
      <c r="E643" s="7">
        <v>10767.65</v>
      </c>
      <c r="F643" s="7">
        <v>215942528</v>
      </c>
      <c r="G643" s="42">
        <v>12360.88</v>
      </c>
    </row>
    <row r="644" spans="1:7" ht="14.25" customHeight="1">
      <c r="A644" s="41">
        <v>43262</v>
      </c>
      <c r="B644" s="7">
        <v>10781.85</v>
      </c>
      <c r="C644" s="7">
        <v>10850.55</v>
      </c>
      <c r="D644" s="7">
        <v>10777.05</v>
      </c>
      <c r="E644" s="7">
        <v>10786.95</v>
      </c>
      <c r="F644" s="7">
        <v>217849903</v>
      </c>
      <c r="G644" s="42">
        <v>11384.97</v>
      </c>
    </row>
    <row r="645" spans="1:7" ht="14.25" customHeight="1">
      <c r="A645" s="41">
        <v>43263</v>
      </c>
      <c r="B645" s="7">
        <v>10816.15</v>
      </c>
      <c r="C645" s="7">
        <v>10856.55</v>
      </c>
      <c r="D645" s="7">
        <v>10789.4</v>
      </c>
      <c r="E645" s="7">
        <v>10842.85</v>
      </c>
      <c r="F645" s="7">
        <v>204419184</v>
      </c>
      <c r="G645" s="42">
        <v>11989.07</v>
      </c>
    </row>
    <row r="646" spans="1:7" ht="14.25" customHeight="1">
      <c r="A646" s="41">
        <v>43264</v>
      </c>
      <c r="B646" s="7">
        <v>10887.5</v>
      </c>
      <c r="C646" s="7">
        <v>10893.25</v>
      </c>
      <c r="D646" s="7">
        <v>10842.65</v>
      </c>
      <c r="E646" s="7">
        <v>10856.7</v>
      </c>
      <c r="F646" s="7">
        <v>220003032</v>
      </c>
      <c r="G646" s="42">
        <v>12982.8</v>
      </c>
    </row>
    <row r="647" spans="1:7" ht="14.25" customHeight="1">
      <c r="A647" s="41">
        <v>43265</v>
      </c>
      <c r="B647" s="7">
        <v>10832.9</v>
      </c>
      <c r="C647" s="7">
        <v>10833.7</v>
      </c>
      <c r="D647" s="7">
        <v>10773.55</v>
      </c>
      <c r="E647" s="7">
        <v>10808.05</v>
      </c>
      <c r="F647" s="7">
        <v>190031664</v>
      </c>
      <c r="G647" s="42">
        <v>11659.79</v>
      </c>
    </row>
    <row r="648" spans="1:7" ht="14.25" customHeight="1">
      <c r="A648" s="41">
        <v>43266</v>
      </c>
      <c r="B648" s="7">
        <v>10808.65</v>
      </c>
      <c r="C648" s="7">
        <v>10834</v>
      </c>
      <c r="D648" s="7">
        <v>10755.4</v>
      </c>
      <c r="E648" s="7">
        <v>10817.7</v>
      </c>
      <c r="F648" s="7">
        <v>314764425</v>
      </c>
      <c r="G648" s="42">
        <v>19271.43</v>
      </c>
    </row>
    <row r="649" spans="1:7" ht="14.25" customHeight="1">
      <c r="A649" s="41">
        <v>43269</v>
      </c>
      <c r="B649" s="7">
        <v>10830.2</v>
      </c>
      <c r="C649" s="7">
        <v>10830.2</v>
      </c>
      <c r="D649" s="7">
        <v>10787.35</v>
      </c>
      <c r="E649" s="7">
        <v>10799.85</v>
      </c>
      <c r="F649" s="7">
        <v>202727202</v>
      </c>
      <c r="G649" s="42">
        <v>11182.48</v>
      </c>
    </row>
    <row r="650" spans="1:7" ht="14.25" customHeight="1">
      <c r="A650" s="41">
        <v>43270</v>
      </c>
      <c r="B650" s="7">
        <v>10789.45</v>
      </c>
      <c r="C650" s="7">
        <v>10789.45</v>
      </c>
      <c r="D650" s="7">
        <v>10701.2</v>
      </c>
      <c r="E650" s="7">
        <v>10710.45</v>
      </c>
      <c r="F650" s="7">
        <v>231382790</v>
      </c>
      <c r="G650" s="42">
        <v>12290.16</v>
      </c>
    </row>
    <row r="651" spans="1:7" ht="14.25" customHeight="1">
      <c r="A651" s="41">
        <v>43271</v>
      </c>
      <c r="B651" s="7">
        <v>10734.65</v>
      </c>
      <c r="C651" s="7">
        <v>10781.8</v>
      </c>
      <c r="D651" s="7">
        <v>10724.05</v>
      </c>
      <c r="E651" s="7">
        <v>10772.05</v>
      </c>
      <c r="F651" s="7">
        <v>199467082</v>
      </c>
      <c r="G651" s="42">
        <v>10858.35</v>
      </c>
    </row>
    <row r="652" spans="1:7" ht="14.25" customHeight="1">
      <c r="A652" s="41">
        <v>43272</v>
      </c>
      <c r="B652" s="7">
        <v>10808.45</v>
      </c>
      <c r="C652" s="7">
        <v>10809.6</v>
      </c>
      <c r="D652" s="7">
        <v>10725.9</v>
      </c>
      <c r="E652" s="7">
        <v>10741.1</v>
      </c>
      <c r="F652" s="7">
        <v>230507383</v>
      </c>
      <c r="G652" s="42">
        <v>12211.18</v>
      </c>
    </row>
    <row r="653" spans="1:7" ht="14.25" customHeight="1">
      <c r="A653" s="41">
        <v>43273</v>
      </c>
      <c r="B653" s="7">
        <v>10742.7</v>
      </c>
      <c r="C653" s="7">
        <v>10837</v>
      </c>
      <c r="D653" s="7">
        <v>10710.45</v>
      </c>
      <c r="E653" s="7">
        <v>10821.85</v>
      </c>
      <c r="F653" s="7">
        <v>236898415</v>
      </c>
      <c r="G653" s="42">
        <v>13520.01</v>
      </c>
    </row>
    <row r="654" spans="1:7" ht="14.25" customHeight="1">
      <c r="A654" s="41">
        <v>43276</v>
      </c>
      <c r="B654" s="7">
        <v>10822.9</v>
      </c>
      <c r="C654" s="7">
        <v>10831.05</v>
      </c>
      <c r="D654" s="7">
        <v>10753.05</v>
      </c>
      <c r="E654" s="7">
        <v>10762.45</v>
      </c>
      <c r="F654" s="7">
        <v>236693278</v>
      </c>
      <c r="G654" s="42">
        <v>12012.41</v>
      </c>
    </row>
    <row r="655" spans="1:7" ht="14.25" customHeight="1">
      <c r="A655" s="41">
        <v>43277</v>
      </c>
      <c r="B655" s="7">
        <v>10742.7</v>
      </c>
      <c r="C655" s="7">
        <v>10805.25</v>
      </c>
      <c r="D655" s="7">
        <v>10732.55</v>
      </c>
      <c r="E655" s="7">
        <v>10769.15</v>
      </c>
      <c r="F655" s="7">
        <v>226846382</v>
      </c>
      <c r="G655" s="42">
        <v>12113.53</v>
      </c>
    </row>
    <row r="656" spans="1:7" ht="14.25" customHeight="1">
      <c r="A656" s="41">
        <v>43278</v>
      </c>
      <c r="B656" s="7">
        <v>10785.5</v>
      </c>
      <c r="C656" s="7">
        <v>10785.5</v>
      </c>
      <c r="D656" s="7">
        <v>10652.4</v>
      </c>
      <c r="E656" s="7">
        <v>10671.4</v>
      </c>
      <c r="F656" s="7">
        <v>253620792</v>
      </c>
      <c r="G656" s="42">
        <v>13837.03</v>
      </c>
    </row>
    <row r="657" spans="1:7" ht="14.25" customHeight="1">
      <c r="A657" s="41">
        <v>43279</v>
      </c>
      <c r="B657" s="7">
        <v>10660.8</v>
      </c>
      <c r="C657" s="7">
        <v>10674.2</v>
      </c>
      <c r="D657" s="7">
        <v>10557.7</v>
      </c>
      <c r="E657" s="7">
        <v>10589.1</v>
      </c>
      <c r="F657" s="7">
        <v>363157327</v>
      </c>
      <c r="G657" s="42">
        <v>20187.98</v>
      </c>
    </row>
    <row r="658" spans="1:7" ht="14.25" customHeight="1">
      <c r="A658" s="41">
        <v>43280</v>
      </c>
      <c r="B658" s="7">
        <v>10612.85</v>
      </c>
      <c r="C658" s="7">
        <v>10723.05</v>
      </c>
      <c r="D658" s="7">
        <v>10612.35</v>
      </c>
      <c r="E658" s="7">
        <v>10714.3</v>
      </c>
      <c r="F658" s="7">
        <v>250327878</v>
      </c>
      <c r="G658" s="42">
        <v>14440.17</v>
      </c>
    </row>
    <row r="659" spans="1:7" ht="14.25" customHeight="1">
      <c r="A659" s="41">
        <v>43283</v>
      </c>
      <c r="B659" s="7">
        <v>10732.35</v>
      </c>
      <c r="C659" s="7">
        <v>10736.15</v>
      </c>
      <c r="D659" s="7">
        <v>10604.65</v>
      </c>
      <c r="E659" s="7">
        <v>10657.3</v>
      </c>
      <c r="F659" s="7">
        <v>304536687</v>
      </c>
      <c r="G659" s="42">
        <v>13591.3</v>
      </c>
    </row>
    <row r="660" spans="1:7" ht="14.25" customHeight="1">
      <c r="A660" s="41">
        <v>43284</v>
      </c>
      <c r="B660" s="7">
        <v>10668.6</v>
      </c>
      <c r="C660" s="7">
        <v>10713.3</v>
      </c>
      <c r="D660" s="7">
        <v>10630.25</v>
      </c>
      <c r="E660" s="7">
        <v>10699.9</v>
      </c>
      <c r="F660" s="7">
        <v>208371545</v>
      </c>
      <c r="G660" s="42">
        <v>10896.89</v>
      </c>
    </row>
    <row r="661" spans="1:7" ht="14.25" customHeight="1">
      <c r="A661" s="41">
        <v>43285</v>
      </c>
      <c r="B661" s="7">
        <v>10715</v>
      </c>
      <c r="C661" s="7">
        <v>10777.15</v>
      </c>
      <c r="D661" s="7">
        <v>10677.75</v>
      </c>
      <c r="E661" s="7">
        <v>10769.9</v>
      </c>
      <c r="F661" s="7">
        <v>179268271</v>
      </c>
      <c r="G661" s="42">
        <v>10388.69</v>
      </c>
    </row>
    <row r="662" spans="1:7" ht="14.25" customHeight="1">
      <c r="A662" s="41">
        <v>43286</v>
      </c>
      <c r="B662" s="7">
        <v>10786.05</v>
      </c>
      <c r="C662" s="7">
        <v>10786.05</v>
      </c>
      <c r="D662" s="7">
        <v>10726.25</v>
      </c>
      <c r="E662" s="7">
        <v>10749.75</v>
      </c>
      <c r="F662" s="7">
        <v>227267176</v>
      </c>
      <c r="G662" s="42">
        <v>13676.58</v>
      </c>
    </row>
    <row r="663" spans="1:7" ht="14.25" customHeight="1">
      <c r="A663" s="41">
        <v>43287</v>
      </c>
      <c r="B663" s="7">
        <v>10744.15</v>
      </c>
      <c r="C663" s="7">
        <v>10816.35</v>
      </c>
      <c r="D663" s="7">
        <v>10735.05</v>
      </c>
      <c r="E663" s="7">
        <v>10772.65</v>
      </c>
      <c r="F663" s="7">
        <v>256547706</v>
      </c>
      <c r="G663" s="42">
        <v>14006.48</v>
      </c>
    </row>
    <row r="664" spans="1:7" ht="14.25" customHeight="1">
      <c r="A664" s="41">
        <v>43290</v>
      </c>
      <c r="B664" s="7">
        <v>10838.3</v>
      </c>
      <c r="C664" s="7">
        <v>10860.35</v>
      </c>
      <c r="D664" s="7">
        <v>10807.15</v>
      </c>
      <c r="E664" s="7">
        <v>10852.9</v>
      </c>
      <c r="F664" s="7">
        <v>189331016</v>
      </c>
      <c r="G664" s="42">
        <v>10843.92</v>
      </c>
    </row>
    <row r="665" spans="1:7" ht="14.25" customHeight="1">
      <c r="A665" s="41">
        <v>43291</v>
      </c>
      <c r="B665" s="7">
        <v>10902.75</v>
      </c>
      <c r="C665" s="7">
        <v>10956.9</v>
      </c>
      <c r="D665" s="7">
        <v>10876.65</v>
      </c>
      <c r="E665" s="7">
        <v>10947.25</v>
      </c>
      <c r="F665" s="7">
        <v>203061980</v>
      </c>
      <c r="G665" s="42">
        <v>12834.85</v>
      </c>
    </row>
    <row r="666" spans="1:7" ht="14.25" customHeight="1">
      <c r="A666" s="41">
        <v>43292</v>
      </c>
      <c r="B666" s="7">
        <v>10956.4</v>
      </c>
      <c r="C666" s="7">
        <v>10976.65</v>
      </c>
      <c r="D666" s="7">
        <v>10923</v>
      </c>
      <c r="E666" s="7">
        <v>10948.3</v>
      </c>
      <c r="F666" s="7">
        <v>229211999</v>
      </c>
      <c r="G666" s="42">
        <v>15944.45</v>
      </c>
    </row>
    <row r="667" spans="1:7" ht="14.25" customHeight="1">
      <c r="A667" s="41">
        <v>43293</v>
      </c>
      <c r="B667" s="7">
        <v>11006.95</v>
      </c>
      <c r="C667" s="7">
        <v>11078.3</v>
      </c>
      <c r="D667" s="7">
        <v>10999.65</v>
      </c>
      <c r="E667" s="7">
        <v>11023.2</v>
      </c>
      <c r="F667" s="7">
        <v>256034815</v>
      </c>
      <c r="G667" s="42">
        <v>15787.28</v>
      </c>
    </row>
    <row r="668" spans="1:7" ht="14.25" customHeight="1">
      <c r="A668" s="41">
        <v>43294</v>
      </c>
      <c r="B668" s="7">
        <v>11056.9</v>
      </c>
      <c r="C668" s="7">
        <v>11071.35</v>
      </c>
      <c r="D668" s="7">
        <v>10999.75</v>
      </c>
      <c r="E668" s="7">
        <v>11018.9</v>
      </c>
      <c r="F668" s="7">
        <v>241670818</v>
      </c>
      <c r="G668" s="42">
        <v>14744.56</v>
      </c>
    </row>
    <row r="669" spans="1:7" ht="14.25" customHeight="1">
      <c r="A669" s="41">
        <v>43297</v>
      </c>
      <c r="B669" s="7">
        <v>11018.95</v>
      </c>
      <c r="C669" s="7">
        <v>11019.5</v>
      </c>
      <c r="D669" s="7">
        <v>10926.25</v>
      </c>
      <c r="E669" s="7">
        <v>10936.85</v>
      </c>
      <c r="F669" s="7">
        <v>216971413</v>
      </c>
      <c r="G669" s="42">
        <v>13709.57</v>
      </c>
    </row>
    <row r="670" spans="1:7" ht="14.25" customHeight="1">
      <c r="A670" s="41">
        <v>43298</v>
      </c>
      <c r="B670" s="7">
        <v>10939.65</v>
      </c>
      <c r="C670" s="7">
        <v>11018.5</v>
      </c>
      <c r="D670" s="7">
        <v>10925.6</v>
      </c>
      <c r="E670" s="7">
        <v>11008.05</v>
      </c>
      <c r="F670" s="7">
        <v>217107580</v>
      </c>
      <c r="G670" s="42">
        <v>12649.4</v>
      </c>
    </row>
    <row r="671" spans="1:7" ht="14.25" customHeight="1">
      <c r="A671" s="41">
        <v>43299</v>
      </c>
      <c r="B671" s="7">
        <v>11060.2</v>
      </c>
      <c r="C671" s="7">
        <v>11076.2</v>
      </c>
      <c r="D671" s="7">
        <v>10956.3</v>
      </c>
      <c r="E671" s="7">
        <v>10980.45</v>
      </c>
      <c r="F671" s="7">
        <v>232502459</v>
      </c>
      <c r="G671" s="42">
        <v>13320.2</v>
      </c>
    </row>
    <row r="672" spans="1:7" ht="14.25" customHeight="1">
      <c r="A672" s="41">
        <v>43300</v>
      </c>
      <c r="B672" s="7">
        <v>10999.5</v>
      </c>
      <c r="C672" s="7">
        <v>11006.5</v>
      </c>
      <c r="D672" s="7">
        <v>10935.45</v>
      </c>
      <c r="E672" s="7">
        <v>10957.1</v>
      </c>
      <c r="F672" s="7">
        <v>222056399</v>
      </c>
      <c r="G672" s="42">
        <v>12199.98</v>
      </c>
    </row>
    <row r="673" spans="1:7" ht="14.25" customHeight="1">
      <c r="A673" s="41">
        <v>43301</v>
      </c>
      <c r="B673" s="7">
        <v>10963.5</v>
      </c>
      <c r="C673" s="7">
        <v>11030.25</v>
      </c>
      <c r="D673" s="7">
        <v>10946.2</v>
      </c>
      <c r="E673" s="7">
        <v>11010.2</v>
      </c>
      <c r="F673" s="7">
        <v>193144113</v>
      </c>
      <c r="G673" s="42">
        <v>14105.94</v>
      </c>
    </row>
    <row r="674" spans="1:7" ht="14.25" customHeight="1">
      <c r="A674" s="41">
        <v>43304</v>
      </c>
      <c r="B674" s="7">
        <v>11019.85</v>
      </c>
      <c r="C674" s="7">
        <v>11093.4</v>
      </c>
      <c r="D674" s="7">
        <v>11010.95</v>
      </c>
      <c r="E674" s="7">
        <v>11084.75</v>
      </c>
      <c r="F674" s="7">
        <v>236153085</v>
      </c>
      <c r="G674" s="42">
        <v>14932.51</v>
      </c>
    </row>
    <row r="675" spans="1:7" ht="14.25" customHeight="1">
      <c r="A675" s="41">
        <v>43305</v>
      </c>
      <c r="B675" s="7">
        <v>11109</v>
      </c>
      <c r="C675" s="7">
        <v>11143.4</v>
      </c>
      <c r="D675" s="7">
        <v>11092.5</v>
      </c>
      <c r="E675" s="7">
        <v>11134.3</v>
      </c>
      <c r="F675" s="7">
        <v>212247395</v>
      </c>
      <c r="G675" s="42">
        <v>13931.15</v>
      </c>
    </row>
    <row r="676" spans="1:7" ht="14.25" customHeight="1">
      <c r="A676" s="41">
        <v>43306</v>
      </c>
      <c r="B676" s="7">
        <v>11148.4</v>
      </c>
      <c r="C676" s="7">
        <v>11157.15</v>
      </c>
      <c r="D676" s="7">
        <v>11113.25</v>
      </c>
      <c r="E676" s="7">
        <v>11132</v>
      </c>
      <c r="F676" s="7">
        <v>212333169</v>
      </c>
      <c r="G676" s="42">
        <v>12528.8</v>
      </c>
    </row>
    <row r="677" spans="1:7" ht="14.25" customHeight="1">
      <c r="A677" s="41">
        <v>43307</v>
      </c>
      <c r="B677" s="7">
        <v>11132.95</v>
      </c>
      <c r="C677" s="7">
        <v>11185.85</v>
      </c>
      <c r="D677" s="7">
        <v>11125.7</v>
      </c>
      <c r="E677" s="7">
        <v>11167.3</v>
      </c>
      <c r="F677" s="7">
        <v>376657398</v>
      </c>
      <c r="G677" s="42">
        <v>21595.33</v>
      </c>
    </row>
    <row r="678" spans="1:7" ht="14.25" customHeight="1">
      <c r="A678" s="41">
        <v>43308</v>
      </c>
      <c r="B678" s="7">
        <v>11232.75</v>
      </c>
      <c r="C678" s="7">
        <v>11283.4</v>
      </c>
      <c r="D678" s="7">
        <v>11210.25</v>
      </c>
      <c r="E678" s="7">
        <v>11278.35</v>
      </c>
      <c r="F678" s="7">
        <v>324343457</v>
      </c>
      <c r="G678" s="42">
        <v>15203.09</v>
      </c>
    </row>
    <row r="679" spans="1:7" ht="14.25" customHeight="1">
      <c r="A679" s="41">
        <v>43311</v>
      </c>
      <c r="B679" s="7">
        <v>11296.65</v>
      </c>
      <c r="C679" s="7">
        <v>11328.1</v>
      </c>
      <c r="D679" s="7">
        <v>11261.45</v>
      </c>
      <c r="E679" s="7">
        <v>11319.55</v>
      </c>
      <c r="F679" s="7">
        <v>287435926</v>
      </c>
      <c r="G679" s="42">
        <v>14716.66</v>
      </c>
    </row>
    <row r="680" spans="1:7" ht="14.25" customHeight="1">
      <c r="A680" s="41">
        <v>43312</v>
      </c>
      <c r="B680" s="7">
        <v>11311.05</v>
      </c>
      <c r="C680" s="7">
        <v>11366</v>
      </c>
      <c r="D680" s="7">
        <v>11267.75</v>
      </c>
      <c r="E680" s="7">
        <v>11356.5</v>
      </c>
      <c r="F680" s="7">
        <v>264430889</v>
      </c>
      <c r="G680" s="42">
        <v>15297.4</v>
      </c>
    </row>
    <row r="681" spans="1:7" ht="14.25" customHeight="1">
      <c r="A681" s="41">
        <v>43313</v>
      </c>
      <c r="B681" s="7">
        <v>11359.8</v>
      </c>
      <c r="C681" s="7">
        <v>11390.55</v>
      </c>
      <c r="D681" s="7">
        <v>11313.55</v>
      </c>
      <c r="E681" s="7">
        <v>11346.2</v>
      </c>
      <c r="F681" s="7">
        <v>278012697</v>
      </c>
      <c r="G681" s="42">
        <v>14436.12</v>
      </c>
    </row>
    <row r="682" spans="1:7" ht="14.25" customHeight="1">
      <c r="A682" s="41">
        <v>43314</v>
      </c>
      <c r="B682" s="7">
        <v>11328.9</v>
      </c>
      <c r="C682" s="7">
        <v>11328.9</v>
      </c>
      <c r="D682" s="7">
        <v>11234.95</v>
      </c>
      <c r="E682" s="7">
        <v>11244.7</v>
      </c>
      <c r="F682" s="7">
        <v>216533127</v>
      </c>
      <c r="G682" s="42">
        <v>12267.66</v>
      </c>
    </row>
    <row r="683" spans="1:7" ht="14.25" customHeight="1">
      <c r="A683" s="41">
        <v>43315</v>
      </c>
      <c r="B683" s="7">
        <v>11297.8</v>
      </c>
      <c r="C683" s="7">
        <v>11368</v>
      </c>
      <c r="D683" s="7">
        <v>11294.55</v>
      </c>
      <c r="E683" s="7">
        <v>11360.8</v>
      </c>
      <c r="F683" s="7">
        <v>225146360</v>
      </c>
      <c r="G683" s="42">
        <v>12984.66</v>
      </c>
    </row>
    <row r="684" spans="1:7" ht="14.25" customHeight="1">
      <c r="A684" s="41">
        <v>43318</v>
      </c>
      <c r="B684" s="7">
        <v>11401.5</v>
      </c>
      <c r="C684" s="7">
        <v>11427.65</v>
      </c>
      <c r="D684" s="7">
        <v>11370.6</v>
      </c>
      <c r="E684" s="7">
        <v>11387.1</v>
      </c>
      <c r="F684" s="7">
        <v>210002582</v>
      </c>
      <c r="G684" s="42">
        <v>11321.55</v>
      </c>
    </row>
    <row r="685" spans="1:7" ht="14.25" customHeight="1">
      <c r="A685" s="41">
        <v>43319</v>
      </c>
      <c r="B685" s="7">
        <v>11423.15</v>
      </c>
      <c r="C685" s="7">
        <v>11428.95</v>
      </c>
      <c r="D685" s="7">
        <v>11359.7</v>
      </c>
      <c r="E685" s="7">
        <v>11389.45</v>
      </c>
      <c r="F685" s="7">
        <v>233409612</v>
      </c>
      <c r="G685" s="42">
        <v>12457.71</v>
      </c>
    </row>
    <row r="686" spans="1:7" ht="14.25" customHeight="1">
      <c r="A686" s="41">
        <v>43320</v>
      </c>
      <c r="B686" s="7">
        <v>11412.5</v>
      </c>
      <c r="C686" s="7">
        <v>11459.95</v>
      </c>
      <c r="D686" s="7">
        <v>11379.3</v>
      </c>
      <c r="E686" s="7">
        <v>11450</v>
      </c>
      <c r="F686" s="7">
        <v>217047641</v>
      </c>
      <c r="G686" s="42">
        <v>12422.62</v>
      </c>
    </row>
    <row r="687" spans="1:7" ht="14.25" customHeight="1">
      <c r="A687" s="41">
        <v>43321</v>
      </c>
      <c r="B687" s="7">
        <v>11493.25</v>
      </c>
      <c r="C687" s="7">
        <v>11495.2</v>
      </c>
      <c r="D687" s="7">
        <v>11454.1</v>
      </c>
      <c r="E687" s="7">
        <v>11470.7</v>
      </c>
      <c r="F687" s="7">
        <v>311521403</v>
      </c>
      <c r="G687" s="42">
        <v>15842.76</v>
      </c>
    </row>
    <row r="688" spans="1:7" ht="14.25" customHeight="1">
      <c r="A688" s="41">
        <v>43322</v>
      </c>
      <c r="B688" s="7">
        <v>11474.95</v>
      </c>
      <c r="C688" s="7">
        <v>11478.75</v>
      </c>
      <c r="D688" s="7">
        <v>11419.65</v>
      </c>
      <c r="E688" s="7">
        <v>11429.5</v>
      </c>
      <c r="F688" s="7">
        <v>336424182</v>
      </c>
      <c r="G688" s="42">
        <v>15738.26</v>
      </c>
    </row>
    <row r="689" spans="1:7" ht="14.25" customHeight="1">
      <c r="A689" s="41">
        <v>43325</v>
      </c>
      <c r="B689" s="7">
        <v>11369.6</v>
      </c>
      <c r="C689" s="7">
        <v>11406.3</v>
      </c>
      <c r="D689" s="7">
        <v>11340.3</v>
      </c>
      <c r="E689" s="7">
        <v>11355.75</v>
      </c>
      <c r="F689" s="7">
        <v>254466760</v>
      </c>
      <c r="G689" s="42">
        <v>12899.22</v>
      </c>
    </row>
    <row r="690" spans="1:7" ht="14.25" customHeight="1">
      <c r="A690" s="41">
        <v>43326</v>
      </c>
      <c r="B690" s="7">
        <v>11381.7</v>
      </c>
      <c r="C690" s="7">
        <v>11452.45</v>
      </c>
      <c r="D690" s="7">
        <v>11370.8</v>
      </c>
      <c r="E690" s="7">
        <v>11435.1</v>
      </c>
      <c r="F690" s="7">
        <v>239841680</v>
      </c>
      <c r="G690" s="42">
        <v>13935.35</v>
      </c>
    </row>
    <row r="691" spans="1:7" ht="14.25" customHeight="1">
      <c r="A691" s="41">
        <v>43328</v>
      </c>
      <c r="B691" s="7">
        <v>11397.15</v>
      </c>
      <c r="C691" s="7">
        <v>11449.85</v>
      </c>
      <c r="D691" s="7">
        <v>11366.25</v>
      </c>
      <c r="E691" s="7">
        <v>11385.05</v>
      </c>
      <c r="F691" s="7">
        <v>299610298</v>
      </c>
      <c r="G691" s="42">
        <v>17081.62</v>
      </c>
    </row>
    <row r="692" spans="1:7" ht="14.25" customHeight="1">
      <c r="A692" s="41">
        <v>43329</v>
      </c>
      <c r="B692" s="7">
        <v>11437.15</v>
      </c>
      <c r="C692" s="7">
        <v>11486.45</v>
      </c>
      <c r="D692" s="7">
        <v>11431.8</v>
      </c>
      <c r="E692" s="7">
        <v>11470.75</v>
      </c>
      <c r="F692" s="7">
        <v>241985503</v>
      </c>
      <c r="G692" s="42">
        <v>13275.31</v>
      </c>
    </row>
    <row r="693" spans="1:7" ht="14.25" customHeight="1">
      <c r="A693" s="41">
        <v>43332</v>
      </c>
      <c r="B693" s="7">
        <v>11502.1</v>
      </c>
      <c r="C693" s="7">
        <v>11565.3</v>
      </c>
      <c r="D693" s="7">
        <v>11499.65</v>
      </c>
      <c r="E693" s="7">
        <v>11551.75</v>
      </c>
      <c r="F693" s="7">
        <v>239843358</v>
      </c>
      <c r="G693" s="42">
        <v>14119.93</v>
      </c>
    </row>
    <row r="694" spans="1:7" ht="14.25" customHeight="1">
      <c r="A694" s="41">
        <v>43333</v>
      </c>
      <c r="B694" s="7">
        <v>11576.2</v>
      </c>
      <c r="C694" s="7">
        <v>11581.75</v>
      </c>
      <c r="D694" s="7">
        <v>11539.6</v>
      </c>
      <c r="E694" s="7">
        <v>11570.9</v>
      </c>
      <c r="F694" s="7">
        <v>231063669</v>
      </c>
      <c r="G694" s="42">
        <v>13528.83</v>
      </c>
    </row>
    <row r="695" spans="1:7" ht="14.25" customHeight="1">
      <c r="A695" s="41">
        <v>43335</v>
      </c>
      <c r="B695" s="7">
        <v>11620.7</v>
      </c>
      <c r="C695" s="7">
        <v>11620.7</v>
      </c>
      <c r="D695" s="7">
        <v>11546.7</v>
      </c>
      <c r="E695" s="7">
        <v>11582.75</v>
      </c>
      <c r="F695" s="7">
        <v>256163842</v>
      </c>
      <c r="G695" s="42">
        <v>16117.77</v>
      </c>
    </row>
    <row r="696" spans="1:7" ht="14.25" customHeight="1">
      <c r="A696" s="41">
        <v>43336</v>
      </c>
      <c r="B696" s="7">
        <v>11566.6</v>
      </c>
      <c r="C696" s="7">
        <v>11604.6</v>
      </c>
      <c r="D696" s="7">
        <v>11532</v>
      </c>
      <c r="E696" s="7">
        <v>11557.1</v>
      </c>
      <c r="F696" s="7">
        <v>225604574</v>
      </c>
      <c r="G696" s="42">
        <v>13019.55</v>
      </c>
    </row>
    <row r="697" spans="1:7" ht="14.25" customHeight="1">
      <c r="A697" s="41">
        <v>43339</v>
      </c>
      <c r="B697" s="7">
        <v>11605.85</v>
      </c>
      <c r="C697" s="7">
        <v>11700.95</v>
      </c>
      <c r="D697" s="7">
        <v>11595.6</v>
      </c>
      <c r="E697" s="7">
        <v>11691.95</v>
      </c>
      <c r="F697" s="7">
        <v>205689327</v>
      </c>
      <c r="G697" s="42">
        <v>11707.5</v>
      </c>
    </row>
    <row r="698" spans="1:7" ht="14.25" customHeight="1">
      <c r="A698" s="41">
        <v>43340</v>
      </c>
      <c r="B698" s="7">
        <v>11731.95</v>
      </c>
      <c r="C698" s="7">
        <v>11760.2</v>
      </c>
      <c r="D698" s="7">
        <v>11710.5</v>
      </c>
      <c r="E698" s="7">
        <v>11738.5</v>
      </c>
      <c r="F698" s="7">
        <v>249420312</v>
      </c>
      <c r="G698" s="42">
        <v>13946.7</v>
      </c>
    </row>
    <row r="699" spans="1:7" ht="14.25" customHeight="1">
      <c r="A699" s="41">
        <v>43341</v>
      </c>
      <c r="B699" s="7">
        <v>11744.95</v>
      </c>
      <c r="C699" s="7">
        <v>11753.2</v>
      </c>
      <c r="D699" s="7">
        <v>11678.85</v>
      </c>
      <c r="E699" s="7">
        <v>11691.9</v>
      </c>
      <c r="F699" s="7">
        <v>259351550</v>
      </c>
      <c r="G699" s="42">
        <v>14324.65</v>
      </c>
    </row>
    <row r="700" spans="1:7" ht="14.25" customHeight="1">
      <c r="A700" s="41">
        <v>43342</v>
      </c>
      <c r="B700" s="7">
        <v>11694.75</v>
      </c>
      <c r="C700" s="7">
        <v>11698.8</v>
      </c>
      <c r="D700" s="7">
        <v>11639.7</v>
      </c>
      <c r="E700" s="7">
        <v>11676.8</v>
      </c>
      <c r="F700" s="7">
        <v>323450305</v>
      </c>
      <c r="G700" s="42">
        <v>18275.54</v>
      </c>
    </row>
    <row r="701" spans="1:7" ht="14.25" customHeight="1">
      <c r="A701" s="41">
        <v>43343</v>
      </c>
      <c r="B701" s="7">
        <v>11675.85</v>
      </c>
      <c r="C701" s="7">
        <v>11727.65</v>
      </c>
      <c r="D701" s="7">
        <v>11640.1</v>
      </c>
      <c r="E701" s="7">
        <v>11680.5</v>
      </c>
      <c r="F701" s="7">
        <v>357230312</v>
      </c>
      <c r="G701" s="42">
        <v>20755.73</v>
      </c>
    </row>
    <row r="702" spans="1:7" ht="14.25" customHeight="1">
      <c r="A702" s="41">
        <v>43346</v>
      </c>
      <c r="B702" s="7">
        <v>11751.8</v>
      </c>
      <c r="C702" s="7">
        <v>11751.8</v>
      </c>
      <c r="D702" s="7">
        <v>11567.4</v>
      </c>
      <c r="E702" s="7">
        <v>11582.35</v>
      </c>
      <c r="F702" s="7">
        <v>241726864</v>
      </c>
      <c r="G702" s="42">
        <v>16139.58</v>
      </c>
    </row>
    <row r="703" spans="1:7" ht="14.25" customHeight="1">
      <c r="A703" s="41">
        <v>43347</v>
      </c>
      <c r="B703" s="7">
        <v>11598.75</v>
      </c>
      <c r="C703" s="7">
        <v>11602.55</v>
      </c>
      <c r="D703" s="7">
        <v>11496.85</v>
      </c>
      <c r="E703" s="7">
        <v>11520.3</v>
      </c>
      <c r="F703" s="7">
        <v>262701030</v>
      </c>
      <c r="G703" s="42">
        <v>16254.78</v>
      </c>
    </row>
    <row r="704" spans="1:7" ht="14.25" customHeight="1">
      <c r="A704" s="41">
        <v>43348</v>
      </c>
      <c r="B704" s="7">
        <v>11514.85</v>
      </c>
      <c r="C704" s="7">
        <v>11542.65</v>
      </c>
      <c r="D704" s="7">
        <v>11393.85</v>
      </c>
      <c r="E704" s="7">
        <v>11476.95</v>
      </c>
      <c r="F704" s="7">
        <v>253689858</v>
      </c>
      <c r="G704" s="42">
        <v>15078.23</v>
      </c>
    </row>
    <row r="705" spans="1:7" ht="14.25" customHeight="1">
      <c r="A705" s="41">
        <v>43349</v>
      </c>
      <c r="B705" s="7">
        <v>11514.15</v>
      </c>
      <c r="C705" s="7">
        <v>11562.25</v>
      </c>
      <c r="D705" s="7">
        <v>11436.05</v>
      </c>
      <c r="E705" s="7">
        <v>11536.9</v>
      </c>
      <c r="F705" s="7">
        <v>255558129</v>
      </c>
      <c r="G705" s="42">
        <v>15161</v>
      </c>
    </row>
    <row r="706" spans="1:7" ht="14.25" customHeight="1">
      <c r="A706" s="41">
        <v>43350</v>
      </c>
      <c r="B706" s="7">
        <v>11558.25</v>
      </c>
      <c r="C706" s="7">
        <v>11603</v>
      </c>
      <c r="D706" s="7">
        <v>11484.4</v>
      </c>
      <c r="E706" s="7">
        <v>11589.1</v>
      </c>
      <c r="F706" s="7">
        <v>305029077</v>
      </c>
      <c r="G706" s="42">
        <v>16441.02</v>
      </c>
    </row>
    <row r="707" spans="1:7" ht="14.25" customHeight="1">
      <c r="A707" s="41">
        <v>43353</v>
      </c>
      <c r="B707" s="7">
        <v>11570.25</v>
      </c>
      <c r="C707" s="7">
        <v>11573</v>
      </c>
      <c r="D707" s="7">
        <v>11427.3</v>
      </c>
      <c r="E707" s="7">
        <v>11438.1</v>
      </c>
      <c r="F707" s="7">
        <v>295597988</v>
      </c>
      <c r="G707" s="42">
        <v>16513.89</v>
      </c>
    </row>
    <row r="708" spans="1:7" ht="14.25" customHeight="1">
      <c r="A708" s="41">
        <v>43354</v>
      </c>
      <c r="B708" s="7">
        <v>11476.85</v>
      </c>
      <c r="C708" s="7">
        <v>11479.4</v>
      </c>
      <c r="D708" s="7">
        <v>11274</v>
      </c>
      <c r="E708" s="7">
        <v>11287.5</v>
      </c>
      <c r="F708" s="7">
        <v>318093125</v>
      </c>
      <c r="G708" s="42">
        <v>18745.54</v>
      </c>
    </row>
    <row r="709" spans="1:7" ht="14.25" customHeight="1">
      <c r="A709" s="41">
        <v>43355</v>
      </c>
      <c r="B709" s="7">
        <v>11340.1</v>
      </c>
      <c r="C709" s="7">
        <v>11380.75</v>
      </c>
      <c r="D709" s="7">
        <v>11250.2</v>
      </c>
      <c r="E709" s="7">
        <v>11369.9</v>
      </c>
      <c r="F709" s="7">
        <v>276509748</v>
      </c>
      <c r="G709" s="42">
        <v>15567.9</v>
      </c>
    </row>
    <row r="710" spans="1:7" ht="14.25" customHeight="1">
      <c r="A710" s="41">
        <v>43357</v>
      </c>
      <c r="B710" s="7">
        <v>11443.5</v>
      </c>
      <c r="C710" s="7">
        <v>11523.25</v>
      </c>
      <c r="D710" s="7">
        <v>11430.55</v>
      </c>
      <c r="E710" s="7">
        <v>11515.2</v>
      </c>
      <c r="F710" s="7">
        <v>285218296</v>
      </c>
      <c r="G710" s="42">
        <v>16423.36</v>
      </c>
    </row>
    <row r="711" spans="1:7" ht="14.25" customHeight="1">
      <c r="A711" s="41">
        <v>43360</v>
      </c>
      <c r="B711" s="7">
        <v>11464.95</v>
      </c>
      <c r="C711" s="7">
        <v>11464.95</v>
      </c>
      <c r="D711" s="7">
        <v>11366.9</v>
      </c>
      <c r="E711" s="7">
        <v>11377.75</v>
      </c>
      <c r="F711" s="7">
        <v>207620518</v>
      </c>
      <c r="G711" s="42">
        <v>11294.84</v>
      </c>
    </row>
    <row r="712" spans="1:7" ht="14.25" customHeight="1">
      <c r="A712" s="41">
        <v>43361</v>
      </c>
      <c r="B712" s="7">
        <v>11381.55</v>
      </c>
      <c r="C712" s="7">
        <v>11411.45</v>
      </c>
      <c r="D712" s="7">
        <v>11268.95</v>
      </c>
      <c r="E712" s="7">
        <v>11278.9</v>
      </c>
      <c r="F712" s="7">
        <v>248298794</v>
      </c>
      <c r="G712" s="42">
        <v>13814.11</v>
      </c>
    </row>
    <row r="713" spans="1:7" ht="14.25" customHeight="1">
      <c r="A713" s="41">
        <v>43362</v>
      </c>
      <c r="B713" s="7">
        <v>11326.65</v>
      </c>
      <c r="C713" s="7">
        <v>11332.05</v>
      </c>
      <c r="D713" s="7">
        <v>11210.9</v>
      </c>
      <c r="E713" s="7">
        <v>11234.35</v>
      </c>
      <c r="F713" s="7">
        <v>258424384</v>
      </c>
      <c r="G713" s="42">
        <v>15116.69</v>
      </c>
    </row>
    <row r="714" spans="1:7" ht="14.25" customHeight="1">
      <c r="A714" s="41">
        <v>43364</v>
      </c>
      <c r="B714" s="7">
        <v>11271.3</v>
      </c>
      <c r="C714" s="7">
        <v>11346.8</v>
      </c>
      <c r="D714" s="7">
        <v>10866.45</v>
      </c>
      <c r="E714" s="7">
        <v>11143.1</v>
      </c>
      <c r="F714" s="7">
        <v>741153209</v>
      </c>
      <c r="G714" s="42">
        <v>35131.19</v>
      </c>
    </row>
    <row r="715" spans="1:7" ht="14.25" customHeight="1">
      <c r="A715" s="41">
        <v>43367</v>
      </c>
      <c r="B715" s="7">
        <v>11164.4</v>
      </c>
      <c r="C715" s="7">
        <v>11170.15</v>
      </c>
      <c r="D715" s="7">
        <v>10943.6</v>
      </c>
      <c r="E715" s="7">
        <v>10967.4</v>
      </c>
      <c r="F715" s="7">
        <v>398815949</v>
      </c>
      <c r="G715" s="42">
        <v>23023.34</v>
      </c>
    </row>
    <row r="716" spans="1:7" ht="14.25" customHeight="1">
      <c r="A716" s="41">
        <v>43368</v>
      </c>
      <c r="B716" s="7">
        <v>10969.95</v>
      </c>
      <c r="C716" s="7">
        <v>11080.6</v>
      </c>
      <c r="D716" s="7">
        <v>10882.85</v>
      </c>
      <c r="E716" s="7">
        <v>11067.45</v>
      </c>
      <c r="F716" s="7">
        <v>417548830</v>
      </c>
      <c r="G716" s="42">
        <v>22878.57</v>
      </c>
    </row>
    <row r="717" spans="1:7" ht="14.25" customHeight="1">
      <c r="A717" s="41">
        <v>43369</v>
      </c>
      <c r="B717" s="7">
        <v>11145.55</v>
      </c>
      <c r="C717" s="7">
        <v>11145.55</v>
      </c>
      <c r="D717" s="7">
        <v>10993.05</v>
      </c>
      <c r="E717" s="7">
        <v>11053.8</v>
      </c>
      <c r="F717" s="7">
        <v>351041146</v>
      </c>
      <c r="G717" s="42">
        <v>17803.68</v>
      </c>
    </row>
    <row r="718" spans="1:7" ht="14.25" customHeight="1">
      <c r="A718" s="41">
        <v>43370</v>
      </c>
      <c r="B718" s="7">
        <v>11079.8</v>
      </c>
      <c r="C718" s="7">
        <v>11089.45</v>
      </c>
      <c r="D718" s="7">
        <v>10953.35</v>
      </c>
      <c r="E718" s="7">
        <v>10977.55</v>
      </c>
      <c r="F718" s="7">
        <v>418210067</v>
      </c>
      <c r="G718" s="42">
        <v>22582.86</v>
      </c>
    </row>
    <row r="719" spans="1:7" ht="14.25" customHeight="1">
      <c r="A719" s="41">
        <v>43371</v>
      </c>
      <c r="B719" s="7">
        <v>11008.1</v>
      </c>
      <c r="C719" s="7">
        <v>11034.1</v>
      </c>
      <c r="D719" s="7">
        <v>10850.3</v>
      </c>
      <c r="E719" s="7">
        <v>10930.45</v>
      </c>
      <c r="F719" s="7">
        <v>492894147</v>
      </c>
      <c r="G719" s="42">
        <v>23227.86</v>
      </c>
    </row>
    <row r="720" spans="1:7" ht="14.25" customHeight="1">
      <c r="A720" s="41">
        <v>43374</v>
      </c>
      <c r="B720" s="7">
        <v>10930.9</v>
      </c>
      <c r="C720" s="7">
        <v>11035.65</v>
      </c>
      <c r="D720" s="7">
        <v>10821.55</v>
      </c>
      <c r="E720" s="7">
        <v>11008.3</v>
      </c>
      <c r="F720" s="7">
        <v>398987274</v>
      </c>
      <c r="G720" s="42">
        <v>20391.72</v>
      </c>
    </row>
    <row r="721" spans="1:7" ht="14.25" customHeight="1">
      <c r="A721" s="41">
        <v>43376</v>
      </c>
      <c r="B721" s="7">
        <v>10982.7</v>
      </c>
      <c r="C721" s="7">
        <v>10989.05</v>
      </c>
      <c r="D721" s="7">
        <v>10843.75</v>
      </c>
      <c r="E721" s="7">
        <v>10858.25</v>
      </c>
      <c r="F721" s="7">
        <v>398756507</v>
      </c>
      <c r="G721" s="42">
        <v>21225.59</v>
      </c>
    </row>
    <row r="722" spans="1:7" ht="14.25" customHeight="1">
      <c r="A722" s="41">
        <v>43377</v>
      </c>
      <c r="B722" s="7">
        <v>10754.7</v>
      </c>
      <c r="C722" s="7">
        <v>10754.7</v>
      </c>
      <c r="D722" s="7">
        <v>10547.25</v>
      </c>
      <c r="E722" s="7">
        <v>10599.25</v>
      </c>
      <c r="F722" s="7">
        <v>438202008</v>
      </c>
      <c r="G722" s="42">
        <v>23711.57</v>
      </c>
    </row>
    <row r="723" spans="1:7" ht="14.25" customHeight="1">
      <c r="A723" s="41">
        <v>43378</v>
      </c>
      <c r="B723" s="7">
        <v>10514.1</v>
      </c>
      <c r="C723" s="7">
        <v>10540.65</v>
      </c>
      <c r="D723" s="7">
        <v>10261.9</v>
      </c>
      <c r="E723" s="7">
        <v>10316.450000000001</v>
      </c>
      <c r="F723" s="7">
        <v>625153832</v>
      </c>
      <c r="G723" s="42">
        <v>25254.21</v>
      </c>
    </row>
    <row r="724" spans="1:7" ht="14.25" customHeight="1">
      <c r="A724" s="41">
        <v>43381</v>
      </c>
      <c r="B724" s="7">
        <v>10310.15</v>
      </c>
      <c r="C724" s="7">
        <v>10398.35</v>
      </c>
      <c r="D724" s="7">
        <v>10198.4</v>
      </c>
      <c r="E724" s="7">
        <v>10348.049999999999</v>
      </c>
      <c r="F724" s="7">
        <v>470279031</v>
      </c>
      <c r="G724" s="42">
        <v>22130.94</v>
      </c>
    </row>
    <row r="725" spans="1:7" ht="14.25" customHeight="1">
      <c r="A725" s="41">
        <v>43382</v>
      </c>
      <c r="B725" s="7">
        <v>10390.299999999999</v>
      </c>
      <c r="C725" s="7">
        <v>10397.6</v>
      </c>
      <c r="D725" s="7">
        <v>10279.35</v>
      </c>
      <c r="E725" s="7">
        <v>10301.049999999999</v>
      </c>
      <c r="F725" s="7">
        <v>443795275</v>
      </c>
      <c r="G725" s="42">
        <v>18285.41</v>
      </c>
    </row>
    <row r="726" spans="1:7" ht="14.25" customHeight="1">
      <c r="A726" s="41">
        <v>43383</v>
      </c>
      <c r="B726" s="7">
        <v>10331.85</v>
      </c>
      <c r="C726" s="7">
        <v>10482.35</v>
      </c>
      <c r="D726" s="7">
        <v>10318.25</v>
      </c>
      <c r="E726" s="7">
        <v>10460.1</v>
      </c>
      <c r="F726" s="7">
        <v>373844130</v>
      </c>
      <c r="G726" s="42">
        <v>19592.59</v>
      </c>
    </row>
    <row r="727" spans="1:7" ht="14.25" customHeight="1">
      <c r="A727" s="41">
        <v>43384</v>
      </c>
      <c r="B727" s="7">
        <v>10169.799999999999</v>
      </c>
      <c r="C727" s="7">
        <v>10335.950000000001</v>
      </c>
      <c r="D727" s="7">
        <v>10138.6</v>
      </c>
      <c r="E727" s="7">
        <v>10234.65</v>
      </c>
      <c r="F727" s="7">
        <v>498509417</v>
      </c>
      <c r="G727" s="42">
        <v>21907.13</v>
      </c>
    </row>
    <row r="728" spans="1:7" ht="14.25" customHeight="1">
      <c r="A728" s="41">
        <v>43385</v>
      </c>
      <c r="B728" s="7">
        <v>10331.549999999999</v>
      </c>
      <c r="C728" s="7">
        <v>10492.45</v>
      </c>
      <c r="D728" s="7">
        <v>10322.15</v>
      </c>
      <c r="E728" s="7">
        <v>10472.5</v>
      </c>
      <c r="F728" s="7">
        <v>354056762</v>
      </c>
      <c r="G728" s="42">
        <v>18606.04</v>
      </c>
    </row>
    <row r="729" spans="1:7" ht="14.25" customHeight="1">
      <c r="A729" s="41">
        <v>43388</v>
      </c>
      <c r="B729" s="7">
        <v>10524.2</v>
      </c>
      <c r="C729" s="7">
        <v>10526.3</v>
      </c>
      <c r="D729" s="7">
        <v>10410.15</v>
      </c>
      <c r="E729" s="7">
        <v>10512.5</v>
      </c>
      <c r="F729" s="7">
        <v>267517728</v>
      </c>
      <c r="G729" s="42">
        <v>14372.15</v>
      </c>
    </row>
    <row r="730" spans="1:7" ht="14.25" customHeight="1">
      <c r="A730" s="41">
        <v>43389</v>
      </c>
      <c r="B730" s="7">
        <v>10550.15</v>
      </c>
      <c r="C730" s="7">
        <v>10604.9</v>
      </c>
      <c r="D730" s="7">
        <v>10525.3</v>
      </c>
      <c r="E730" s="7">
        <v>10584.75</v>
      </c>
      <c r="F730" s="7">
        <v>273444095</v>
      </c>
      <c r="G730" s="42">
        <v>15453.03</v>
      </c>
    </row>
    <row r="731" spans="1:7" ht="14.25" customHeight="1">
      <c r="A731" s="41">
        <v>43390</v>
      </c>
      <c r="B731" s="7">
        <v>10688.7</v>
      </c>
      <c r="C731" s="7">
        <v>10710.15</v>
      </c>
      <c r="D731" s="7">
        <v>10436.450000000001</v>
      </c>
      <c r="E731" s="7">
        <v>10453.049999999999</v>
      </c>
      <c r="F731" s="7">
        <v>293586908</v>
      </c>
      <c r="G731" s="42">
        <v>17173.14</v>
      </c>
    </row>
    <row r="732" spans="1:7" ht="14.25" customHeight="1">
      <c r="A732" s="41">
        <v>43392</v>
      </c>
      <c r="B732" s="7">
        <v>10339.700000000001</v>
      </c>
      <c r="C732" s="7">
        <v>10380.1</v>
      </c>
      <c r="D732" s="7">
        <v>10249.6</v>
      </c>
      <c r="E732" s="7">
        <v>10303.549999999999</v>
      </c>
      <c r="F732" s="7">
        <v>368552204</v>
      </c>
      <c r="G732" s="42">
        <v>20505.66</v>
      </c>
    </row>
    <row r="733" spans="1:7" ht="14.25" customHeight="1">
      <c r="A733" s="41">
        <v>43395</v>
      </c>
      <c r="B733" s="7">
        <v>10405.85</v>
      </c>
      <c r="C733" s="7">
        <v>10408.549999999999</v>
      </c>
      <c r="D733" s="7">
        <v>10224</v>
      </c>
      <c r="E733" s="7">
        <v>10245.25</v>
      </c>
      <c r="F733" s="7">
        <v>306472776</v>
      </c>
      <c r="G733" s="42">
        <v>17241.939999999999</v>
      </c>
    </row>
    <row r="734" spans="1:7" ht="14.25" customHeight="1">
      <c r="A734" s="41">
        <v>43396</v>
      </c>
      <c r="B734" s="7">
        <v>10152.6</v>
      </c>
      <c r="C734" s="7">
        <v>10222.1</v>
      </c>
      <c r="D734" s="7">
        <v>10102.35</v>
      </c>
      <c r="E734" s="7">
        <v>10146.799999999999</v>
      </c>
      <c r="F734" s="7">
        <v>312042090</v>
      </c>
      <c r="G734" s="42">
        <v>18114.71</v>
      </c>
    </row>
    <row r="735" spans="1:7" ht="14.25" customHeight="1">
      <c r="A735" s="41">
        <v>43397</v>
      </c>
      <c r="B735" s="7">
        <v>10278.15</v>
      </c>
      <c r="C735" s="7">
        <v>10290.65</v>
      </c>
      <c r="D735" s="7">
        <v>10126.700000000001</v>
      </c>
      <c r="E735" s="7">
        <v>10224.75</v>
      </c>
      <c r="F735" s="7">
        <v>362272428</v>
      </c>
      <c r="G735" s="42">
        <v>19413.240000000002</v>
      </c>
    </row>
    <row r="736" spans="1:7" ht="14.25" customHeight="1">
      <c r="A736" s="41">
        <v>43398</v>
      </c>
      <c r="B736" s="7">
        <v>10135.049999999999</v>
      </c>
      <c r="C736" s="7">
        <v>10166.6</v>
      </c>
      <c r="D736" s="7">
        <v>10079.299999999999</v>
      </c>
      <c r="E736" s="7">
        <v>10124.9</v>
      </c>
      <c r="F736" s="7">
        <v>522421914</v>
      </c>
      <c r="G736" s="42">
        <v>23503.759999999998</v>
      </c>
    </row>
    <row r="737" spans="1:7" ht="14.25" customHeight="1">
      <c r="A737" s="41">
        <v>43399</v>
      </c>
      <c r="B737" s="7">
        <v>10122.35</v>
      </c>
      <c r="C737" s="7">
        <v>10128.85</v>
      </c>
      <c r="D737" s="7">
        <v>10004.549999999999</v>
      </c>
      <c r="E737" s="7">
        <v>10030</v>
      </c>
      <c r="F737" s="7">
        <v>375563273</v>
      </c>
      <c r="G737" s="42">
        <v>16120.14</v>
      </c>
    </row>
    <row r="738" spans="1:7" ht="14.25" customHeight="1">
      <c r="A738" s="41">
        <v>43402</v>
      </c>
      <c r="B738" s="7">
        <v>10078.1</v>
      </c>
      <c r="C738" s="7">
        <v>10275.299999999999</v>
      </c>
      <c r="D738" s="7">
        <v>10020.35</v>
      </c>
      <c r="E738" s="7">
        <v>10250.85</v>
      </c>
      <c r="F738" s="7">
        <v>375749433</v>
      </c>
      <c r="G738" s="42">
        <v>17514.849999999999</v>
      </c>
    </row>
    <row r="739" spans="1:7" ht="14.25" customHeight="1">
      <c r="A739" s="41">
        <v>43403</v>
      </c>
      <c r="B739" s="7">
        <v>10239.4</v>
      </c>
      <c r="C739" s="7">
        <v>10285.1</v>
      </c>
      <c r="D739" s="7">
        <v>10175.35</v>
      </c>
      <c r="E739" s="7">
        <v>10198.4</v>
      </c>
      <c r="F739" s="7">
        <v>298753965</v>
      </c>
      <c r="G739" s="42">
        <v>14789.51</v>
      </c>
    </row>
    <row r="740" spans="1:7" ht="14.25" customHeight="1">
      <c r="A740" s="41">
        <v>43404</v>
      </c>
      <c r="B740" s="7">
        <v>10209.549999999999</v>
      </c>
      <c r="C740" s="7">
        <v>10396</v>
      </c>
      <c r="D740" s="7">
        <v>10105.1</v>
      </c>
      <c r="E740" s="7">
        <v>10386.6</v>
      </c>
      <c r="F740" s="7">
        <v>386618948</v>
      </c>
      <c r="G740" s="42">
        <v>21513.85</v>
      </c>
    </row>
    <row r="741" spans="1:7" ht="14.25" customHeight="1">
      <c r="A741" s="41">
        <v>43405</v>
      </c>
      <c r="B741" s="7">
        <v>10441.700000000001</v>
      </c>
      <c r="C741" s="7">
        <v>10441.9</v>
      </c>
      <c r="D741" s="7">
        <v>10341.9</v>
      </c>
      <c r="E741" s="7">
        <v>10380.450000000001</v>
      </c>
      <c r="F741" s="7">
        <v>359340403</v>
      </c>
      <c r="G741" s="42">
        <v>18111.88</v>
      </c>
    </row>
    <row r="742" spans="1:7" ht="14.25" customHeight="1">
      <c r="A742" s="41">
        <v>43406</v>
      </c>
      <c r="B742" s="7">
        <v>10462.299999999999</v>
      </c>
      <c r="C742" s="7">
        <v>10606.95</v>
      </c>
      <c r="D742" s="7">
        <v>10457.700000000001</v>
      </c>
      <c r="E742" s="7">
        <v>10553</v>
      </c>
      <c r="F742" s="7">
        <v>434175607</v>
      </c>
      <c r="G742" s="42">
        <v>21758.799999999999</v>
      </c>
    </row>
    <row r="743" spans="1:7" ht="14.25" customHeight="1">
      <c r="A743" s="41">
        <v>43409</v>
      </c>
      <c r="B743" s="7">
        <v>10558.75</v>
      </c>
      <c r="C743" s="7">
        <v>10558.8</v>
      </c>
      <c r="D743" s="7">
        <v>10477</v>
      </c>
      <c r="E743" s="7">
        <v>10524</v>
      </c>
      <c r="F743" s="7">
        <v>311176379</v>
      </c>
      <c r="G743" s="42">
        <v>14761.17</v>
      </c>
    </row>
    <row r="744" spans="1:7" ht="14.25" customHeight="1">
      <c r="A744" s="41">
        <v>43410</v>
      </c>
      <c r="B744" s="7">
        <v>10552</v>
      </c>
      <c r="C744" s="7">
        <v>10600.25</v>
      </c>
      <c r="D744" s="7">
        <v>10491.45</v>
      </c>
      <c r="E744" s="7">
        <v>10530</v>
      </c>
      <c r="F744" s="7">
        <v>309878810</v>
      </c>
      <c r="G744" s="42">
        <v>14006.19</v>
      </c>
    </row>
    <row r="745" spans="1:7" ht="14.25" customHeight="1">
      <c r="A745" s="41">
        <v>43411</v>
      </c>
      <c r="B745" s="7">
        <v>10614.45</v>
      </c>
      <c r="C745" s="7">
        <v>10616.45</v>
      </c>
      <c r="D745" s="7">
        <v>10582.3</v>
      </c>
      <c r="E745" s="7">
        <v>10598.4</v>
      </c>
      <c r="F745" s="7">
        <v>32194181</v>
      </c>
      <c r="G745" s="42">
        <v>1534.08</v>
      </c>
    </row>
    <row r="746" spans="1:7" ht="14.25" customHeight="1">
      <c r="A746" s="41">
        <v>43413</v>
      </c>
      <c r="B746" s="7">
        <v>10614.7</v>
      </c>
      <c r="C746" s="7">
        <v>10619.55</v>
      </c>
      <c r="D746" s="7">
        <v>10544.85</v>
      </c>
      <c r="E746" s="7">
        <v>10585.2</v>
      </c>
      <c r="F746" s="7">
        <v>305817331</v>
      </c>
      <c r="G746" s="42">
        <v>15294.83</v>
      </c>
    </row>
    <row r="747" spans="1:7" ht="14.25" customHeight="1">
      <c r="A747" s="41">
        <v>43416</v>
      </c>
      <c r="B747" s="7">
        <v>10607.8</v>
      </c>
      <c r="C747" s="7">
        <v>10645.5</v>
      </c>
      <c r="D747" s="7">
        <v>10464.049999999999</v>
      </c>
      <c r="E747" s="7">
        <v>10482.200000000001</v>
      </c>
      <c r="F747" s="7">
        <v>267710127</v>
      </c>
      <c r="G747" s="42">
        <v>13445.33</v>
      </c>
    </row>
    <row r="748" spans="1:7" ht="14.25" customHeight="1">
      <c r="A748" s="41">
        <v>43417</v>
      </c>
      <c r="B748" s="7">
        <v>10451.9</v>
      </c>
      <c r="C748" s="7">
        <v>10596.25</v>
      </c>
      <c r="D748" s="7">
        <v>10440.549999999999</v>
      </c>
      <c r="E748" s="7">
        <v>10582.5</v>
      </c>
      <c r="F748" s="7">
        <v>262541595</v>
      </c>
      <c r="G748" s="42">
        <v>13078.98</v>
      </c>
    </row>
    <row r="749" spans="1:7" ht="14.25" customHeight="1">
      <c r="A749" s="41">
        <v>43418</v>
      </c>
      <c r="B749" s="7">
        <v>10634.9</v>
      </c>
      <c r="C749" s="7">
        <v>10651.6</v>
      </c>
      <c r="D749" s="7">
        <v>10532.7</v>
      </c>
      <c r="E749" s="7">
        <v>10576.3</v>
      </c>
      <c r="F749" s="7">
        <v>396373781</v>
      </c>
      <c r="G749" s="42">
        <v>19374.89</v>
      </c>
    </row>
    <row r="750" spans="1:7" ht="14.25" customHeight="1">
      <c r="A750" s="41">
        <v>43419</v>
      </c>
      <c r="B750" s="7">
        <v>10580.6</v>
      </c>
      <c r="C750" s="7">
        <v>10646.5</v>
      </c>
      <c r="D750" s="7">
        <v>10557.5</v>
      </c>
      <c r="E750" s="7">
        <v>10616.7</v>
      </c>
      <c r="F750" s="7">
        <v>306011926</v>
      </c>
      <c r="G750" s="42">
        <v>14937.67</v>
      </c>
    </row>
    <row r="751" spans="1:7" ht="14.25" customHeight="1">
      <c r="A751" s="41">
        <v>43420</v>
      </c>
      <c r="B751" s="7">
        <v>10644</v>
      </c>
      <c r="C751" s="7">
        <v>10695.15</v>
      </c>
      <c r="D751" s="7">
        <v>10631.15</v>
      </c>
      <c r="E751" s="7">
        <v>10682.2</v>
      </c>
      <c r="F751" s="7">
        <v>353384918</v>
      </c>
      <c r="G751" s="42">
        <v>16728.88</v>
      </c>
    </row>
    <row r="752" spans="1:7" ht="14.25" customHeight="1">
      <c r="A752" s="41">
        <v>43423</v>
      </c>
      <c r="B752" s="7">
        <v>10731.25</v>
      </c>
      <c r="C752" s="7">
        <v>10774.7</v>
      </c>
      <c r="D752" s="7">
        <v>10688.8</v>
      </c>
      <c r="E752" s="7">
        <v>10763.4</v>
      </c>
      <c r="F752" s="7">
        <v>280522364</v>
      </c>
      <c r="G752" s="42">
        <v>13540.9</v>
      </c>
    </row>
    <row r="753" spans="1:7" ht="14.25" customHeight="1">
      <c r="A753" s="41">
        <v>43424</v>
      </c>
      <c r="B753" s="7">
        <v>10740.1</v>
      </c>
      <c r="C753" s="7">
        <v>10740.85</v>
      </c>
      <c r="D753" s="7">
        <v>10640.85</v>
      </c>
      <c r="E753" s="7">
        <v>10656.2</v>
      </c>
      <c r="F753" s="7">
        <v>304322623</v>
      </c>
      <c r="G753" s="42">
        <v>13077.24</v>
      </c>
    </row>
    <row r="754" spans="1:7" ht="14.25" customHeight="1">
      <c r="A754" s="41">
        <v>43425</v>
      </c>
      <c r="B754" s="7">
        <v>10670.95</v>
      </c>
      <c r="C754" s="7">
        <v>10671.3</v>
      </c>
      <c r="D754" s="7">
        <v>10562.35</v>
      </c>
      <c r="E754" s="7">
        <v>10600.05</v>
      </c>
      <c r="F754" s="7">
        <v>310191008</v>
      </c>
      <c r="G754" s="42">
        <v>15382.32</v>
      </c>
    </row>
    <row r="755" spans="1:7" ht="14.25" customHeight="1">
      <c r="A755" s="41">
        <v>43426</v>
      </c>
      <c r="B755" s="7">
        <v>10612.65</v>
      </c>
      <c r="C755" s="7">
        <v>10646.25</v>
      </c>
      <c r="D755" s="7">
        <v>10512</v>
      </c>
      <c r="E755" s="7">
        <v>10526.75</v>
      </c>
      <c r="F755" s="7">
        <v>246926671</v>
      </c>
      <c r="G755" s="42">
        <v>12254.36</v>
      </c>
    </row>
    <row r="756" spans="1:7" ht="14.25" customHeight="1">
      <c r="A756" s="41">
        <v>43430</v>
      </c>
      <c r="B756" s="7">
        <v>10568.3</v>
      </c>
      <c r="C756" s="7">
        <v>10637.8</v>
      </c>
      <c r="D756" s="7">
        <v>10489.75</v>
      </c>
      <c r="E756" s="7">
        <v>10628.6</v>
      </c>
      <c r="F756" s="7">
        <v>332863041</v>
      </c>
      <c r="G756" s="42">
        <v>15927.25</v>
      </c>
    </row>
    <row r="757" spans="1:7" ht="14.25" customHeight="1">
      <c r="A757" s="41">
        <v>43431</v>
      </c>
      <c r="B757" s="7">
        <v>10621.45</v>
      </c>
      <c r="C757" s="7">
        <v>10695.15</v>
      </c>
      <c r="D757" s="7">
        <v>10596.35</v>
      </c>
      <c r="E757" s="7">
        <v>10685.6</v>
      </c>
      <c r="F757" s="7">
        <v>382834178</v>
      </c>
      <c r="G757" s="42">
        <v>17296.28</v>
      </c>
    </row>
    <row r="758" spans="1:7" ht="14.25" customHeight="1">
      <c r="A758" s="41">
        <v>43432</v>
      </c>
      <c r="B758" s="7">
        <v>10708.75</v>
      </c>
      <c r="C758" s="7">
        <v>10757.8</v>
      </c>
      <c r="D758" s="7">
        <v>10699.85</v>
      </c>
      <c r="E758" s="7">
        <v>10728.85</v>
      </c>
      <c r="F758" s="7">
        <v>437627174</v>
      </c>
      <c r="G758" s="42">
        <v>17737.28</v>
      </c>
    </row>
    <row r="759" spans="1:7" ht="14.25" customHeight="1">
      <c r="A759" s="41">
        <v>43433</v>
      </c>
      <c r="B759" s="7">
        <v>10808.7</v>
      </c>
      <c r="C759" s="7">
        <v>10883.05</v>
      </c>
      <c r="D759" s="7">
        <v>10782.35</v>
      </c>
      <c r="E759" s="7">
        <v>10858.7</v>
      </c>
      <c r="F759" s="7">
        <v>712650890</v>
      </c>
      <c r="G759" s="42">
        <v>26283.43</v>
      </c>
    </row>
    <row r="760" spans="1:7" ht="14.25" customHeight="1">
      <c r="A760" s="41">
        <v>43434</v>
      </c>
      <c r="B760" s="7">
        <v>10892.1</v>
      </c>
      <c r="C760" s="7">
        <v>10922.45</v>
      </c>
      <c r="D760" s="7">
        <v>10835.1</v>
      </c>
      <c r="E760" s="7">
        <v>10876.75</v>
      </c>
      <c r="F760" s="7">
        <v>467857329</v>
      </c>
      <c r="G760" s="42">
        <v>19964.330000000002</v>
      </c>
    </row>
    <row r="761" spans="1:7" ht="14.25" customHeight="1">
      <c r="A761" s="41">
        <v>43437</v>
      </c>
      <c r="B761" s="7">
        <v>10930.7</v>
      </c>
      <c r="C761" s="7">
        <v>10941.2</v>
      </c>
      <c r="D761" s="7">
        <v>10845.35</v>
      </c>
      <c r="E761" s="7">
        <v>10883.75</v>
      </c>
      <c r="F761" s="7">
        <v>422358631</v>
      </c>
      <c r="G761" s="42">
        <v>18484.91</v>
      </c>
    </row>
    <row r="762" spans="1:7" ht="14.25" customHeight="1">
      <c r="A762" s="41">
        <v>43438</v>
      </c>
      <c r="B762" s="7">
        <v>10877.1</v>
      </c>
      <c r="C762" s="7">
        <v>10890.95</v>
      </c>
      <c r="D762" s="7">
        <v>10833.35</v>
      </c>
      <c r="E762" s="7">
        <v>10869.5</v>
      </c>
      <c r="F762" s="7">
        <v>332137359</v>
      </c>
      <c r="G762" s="42">
        <v>15857.16</v>
      </c>
    </row>
    <row r="763" spans="1:7" ht="14.25" customHeight="1">
      <c r="A763" s="41">
        <v>43439</v>
      </c>
      <c r="B763" s="7">
        <v>10820.45</v>
      </c>
      <c r="C763" s="7">
        <v>10821.05</v>
      </c>
      <c r="D763" s="7">
        <v>10747.95</v>
      </c>
      <c r="E763" s="7">
        <v>10782.9</v>
      </c>
      <c r="F763" s="7">
        <v>322019985</v>
      </c>
      <c r="G763" s="42">
        <v>15176.26</v>
      </c>
    </row>
    <row r="764" spans="1:7" ht="14.25" customHeight="1">
      <c r="A764" s="41">
        <v>43440</v>
      </c>
      <c r="B764" s="7">
        <v>10718.15</v>
      </c>
      <c r="C764" s="7">
        <v>10722.65</v>
      </c>
      <c r="D764" s="7">
        <v>10588.25</v>
      </c>
      <c r="E764" s="7">
        <v>10601.15</v>
      </c>
      <c r="F764" s="7">
        <v>328275196</v>
      </c>
      <c r="G764" s="42">
        <v>16488.87</v>
      </c>
    </row>
    <row r="765" spans="1:7" ht="14.25" customHeight="1">
      <c r="A765" s="41">
        <v>43441</v>
      </c>
      <c r="B765" s="7">
        <v>10644.8</v>
      </c>
      <c r="C765" s="7">
        <v>10704.55</v>
      </c>
      <c r="D765" s="7">
        <v>10599.35</v>
      </c>
      <c r="E765" s="7">
        <v>10693.7</v>
      </c>
      <c r="F765" s="7">
        <v>335849636</v>
      </c>
      <c r="G765" s="42">
        <v>18597.830000000002</v>
      </c>
    </row>
    <row r="766" spans="1:7" ht="14.25" customHeight="1">
      <c r="A766" s="41">
        <v>43444</v>
      </c>
      <c r="B766" s="7">
        <v>10508.7</v>
      </c>
      <c r="C766" s="7">
        <v>10558.85</v>
      </c>
      <c r="D766" s="7">
        <v>10474.950000000001</v>
      </c>
      <c r="E766" s="7">
        <v>10488.45</v>
      </c>
      <c r="F766" s="7">
        <v>393097292</v>
      </c>
      <c r="G766" s="42">
        <v>16524.36</v>
      </c>
    </row>
    <row r="767" spans="1:7" ht="14.25" customHeight="1">
      <c r="A767" s="41">
        <v>43445</v>
      </c>
      <c r="B767" s="7">
        <v>10350.049999999999</v>
      </c>
      <c r="C767" s="7">
        <v>10567.15</v>
      </c>
      <c r="D767" s="7">
        <v>10333.85</v>
      </c>
      <c r="E767" s="7">
        <v>10549.15</v>
      </c>
      <c r="F767" s="7">
        <v>438699334</v>
      </c>
      <c r="G767" s="42">
        <v>20112.91</v>
      </c>
    </row>
    <row r="768" spans="1:7" ht="14.25" customHeight="1">
      <c r="A768" s="41">
        <v>43446</v>
      </c>
      <c r="B768" s="7">
        <v>10591</v>
      </c>
      <c r="C768" s="7">
        <v>10752.2</v>
      </c>
      <c r="D768" s="7">
        <v>10560.8</v>
      </c>
      <c r="E768" s="7">
        <v>10737.6</v>
      </c>
      <c r="F768" s="7">
        <v>371697496</v>
      </c>
      <c r="G768" s="42">
        <v>17447.45</v>
      </c>
    </row>
    <row r="769" spans="1:7" ht="14.25" customHeight="1">
      <c r="A769" s="41">
        <v>43447</v>
      </c>
      <c r="B769" s="7">
        <v>10810.75</v>
      </c>
      <c r="C769" s="7">
        <v>10838.6</v>
      </c>
      <c r="D769" s="7">
        <v>10749.5</v>
      </c>
      <c r="E769" s="7">
        <v>10791.55</v>
      </c>
      <c r="F769" s="7">
        <v>387810061</v>
      </c>
      <c r="G769" s="42">
        <v>17582.8</v>
      </c>
    </row>
    <row r="770" spans="1:7" ht="14.25" customHeight="1">
      <c r="A770" s="41">
        <v>43448</v>
      </c>
      <c r="B770" s="7">
        <v>10784.5</v>
      </c>
      <c r="C770" s="7">
        <v>10815.75</v>
      </c>
      <c r="D770" s="7">
        <v>10752.1</v>
      </c>
      <c r="E770" s="7">
        <v>10805.45</v>
      </c>
      <c r="F770" s="7">
        <v>350579275</v>
      </c>
      <c r="G770" s="42">
        <v>14486.1</v>
      </c>
    </row>
    <row r="771" spans="1:7" ht="14.25" customHeight="1">
      <c r="A771" s="41">
        <v>43451</v>
      </c>
      <c r="B771" s="7">
        <v>10853.2</v>
      </c>
      <c r="C771" s="7">
        <v>10900.35</v>
      </c>
      <c r="D771" s="7">
        <v>10844.85</v>
      </c>
      <c r="E771" s="7">
        <v>10888.35</v>
      </c>
      <c r="F771" s="7">
        <v>306145514</v>
      </c>
      <c r="G771" s="42">
        <v>12528.59</v>
      </c>
    </row>
    <row r="772" spans="1:7" ht="14.25" customHeight="1">
      <c r="A772" s="41">
        <v>43452</v>
      </c>
      <c r="B772" s="7">
        <v>10850.9</v>
      </c>
      <c r="C772" s="7">
        <v>10915.4</v>
      </c>
      <c r="D772" s="7">
        <v>10819.1</v>
      </c>
      <c r="E772" s="7">
        <v>10908.7</v>
      </c>
      <c r="F772" s="7">
        <v>294942271</v>
      </c>
      <c r="G772" s="42">
        <v>13556.45</v>
      </c>
    </row>
    <row r="773" spans="1:7" ht="14.25" customHeight="1">
      <c r="A773" s="41">
        <v>43453</v>
      </c>
      <c r="B773" s="7">
        <v>10930.55</v>
      </c>
      <c r="C773" s="7">
        <v>10985.15</v>
      </c>
      <c r="D773" s="7">
        <v>10928</v>
      </c>
      <c r="E773" s="7">
        <v>10967.3</v>
      </c>
      <c r="F773" s="7">
        <v>321801803</v>
      </c>
      <c r="G773" s="42">
        <v>17172.64</v>
      </c>
    </row>
    <row r="774" spans="1:7" ht="14.25" customHeight="1">
      <c r="A774" s="41">
        <v>43454</v>
      </c>
      <c r="B774" s="7">
        <v>10885.2</v>
      </c>
      <c r="C774" s="7">
        <v>10962.55</v>
      </c>
      <c r="D774" s="7">
        <v>10880.05</v>
      </c>
      <c r="E774" s="7">
        <v>10951.7</v>
      </c>
      <c r="F774" s="7">
        <v>328802751</v>
      </c>
      <c r="G774" s="42">
        <v>14945.94</v>
      </c>
    </row>
    <row r="775" spans="1:7" ht="14.25" customHeight="1">
      <c r="A775" s="41">
        <v>43455</v>
      </c>
      <c r="B775" s="7">
        <v>10944.25</v>
      </c>
      <c r="C775" s="7">
        <v>10963.65</v>
      </c>
      <c r="D775" s="7">
        <v>10738.65</v>
      </c>
      <c r="E775" s="7">
        <v>10754</v>
      </c>
      <c r="F775" s="7">
        <v>389235107</v>
      </c>
      <c r="G775" s="42">
        <v>18663.849999999999</v>
      </c>
    </row>
    <row r="776" spans="1:7" ht="14.25" customHeight="1">
      <c r="A776" s="41">
        <v>43458</v>
      </c>
      <c r="B776" s="7">
        <v>10780.9</v>
      </c>
      <c r="C776" s="7">
        <v>10782.3</v>
      </c>
      <c r="D776" s="7">
        <v>10649.25</v>
      </c>
      <c r="E776" s="7">
        <v>10663.5</v>
      </c>
      <c r="F776" s="7">
        <v>230291344</v>
      </c>
      <c r="G776" s="42">
        <v>10695.6</v>
      </c>
    </row>
    <row r="777" spans="1:7" ht="14.25" customHeight="1">
      <c r="A777" s="41">
        <v>43460</v>
      </c>
      <c r="B777" s="7">
        <v>10635.45</v>
      </c>
      <c r="C777" s="7">
        <v>10747.5</v>
      </c>
      <c r="D777" s="7">
        <v>10534.55</v>
      </c>
      <c r="E777" s="7">
        <v>10729.85</v>
      </c>
      <c r="F777" s="7">
        <v>271942701</v>
      </c>
      <c r="G777" s="42">
        <v>12831.99</v>
      </c>
    </row>
    <row r="778" spans="1:7" ht="14.25" customHeight="1">
      <c r="A778" s="41">
        <v>43461</v>
      </c>
      <c r="B778" s="7">
        <v>10817.9</v>
      </c>
      <c r="C778" s="7">
        <v>10834.2</v>
      </c>
      <c r="D778" s="7">
        <v>10764.45</v>
      </c>
      <c r="E778" s="7">
        <v>10779.8</v>
      </c>
      <c r="F778" s="7">
        <v>470160392</v>
      </c>
      <c r="G778" s="42">
        <v>19119.88</v>
      </c>
    </row>
    <row r="779" spans="1:7" ht="14.25" customHeight="1">
      <c r="A779" s="41">
        <v>43462</v>
      </c>
      <c r="B779" s="7">
        <v>10820.95</v>
      </c>
      <c r="C779" s="7">
        <v>10893.6</v>
      </c>
      <c r="D779" s="7">
        <v>10817.15</v>
      </c>
      <c r="E779" s="7">
        <v>10859.9</v>
      </c>
      <c r="F779" s="7">
        <v>253086507</v>
      </c>
      <c r="G779" s="42">
        <v>12615.01</v>
      </c>
    </row>
    <row r="780" spans="1:7" ht="14.25" customHeight="1">
      <c r="A780" s="41">
        <v>43465</v>
      </c>
      <c r="B780" s="7">
        <v>10913.2</v>
      </c>
      <c r="C780" s="7">
        <v>10923.55</v>
      </c>
      <c r="D780" s="7">
        <v>10853.2</v>
      </c>
      <c r="E780" s="7">
        <v>10862.55</v>
      </c>
      <c r="F780" s="7">
        <v>186494657</v>
      </c>
      <c r="G780" s="42">
        <v>10176.129999999999</v>
      </c>
    </row>
    <row r="781" spans="1:7" ht="14.25" customHeight="1">
      <c r="A781" s="41">
        <v>43466</v>
      </c>
      <c r="B781" s="7">
        <v>10881.7</v>
      </c>
      <c r="C781" s="7">
        <v>10923.6</v>
      </c>
      <c r="D781" s="7">
        <v>10807.1</v>
      </c>
      <c r="E781" s="7">
        <v>10910.1</v>
      </c>
      <c r="F781" s="7">
        <v>159404542</v>
      </c>
      <c r="G781" s="42">
        <v>8688.26</v>
      </c>
    </row>
    <row r="782" spans="1:7" ht="14.25" customHeight="1">
      <c r="A782" s="41">
        <v>43467</v>
      </c>
      <c r="B782" s="7">
        <v>10868.85</v>
      </c>
      <c r="C782" s="7">
        <v>10895.35</v>
      </c>
      <c r="D782" s="7">
        <v>10735.05</v>
      </c>
      <c r="E782" s="7">
        <v>10792.5</v>
      </c>
      <c r="F782" s="7">
        <v>309665939</v>
      </c>
      <c r="G782" s="42">
        <v>15352.25</v>
      </c>
    </row>
    <row r="783" spans="1:7" ht="14.25" customHeight="1">
      <c r="A783" s="41">
        <v>43468</v>
      </c>
      <c r="B783" s="7">
        <v>10796.8</v>
      </c>
      <c r="C783" s="7">
        <v>10814.05</v>
      </c>
      <c r="D783" s="7">
        <v>10661.25</v>
      </c>
      <c r="E783" s="7">
        <v>10672.25</v>
      </c>
      <c r="F783" s="7">
        <v>286241745</v>
      </c>
      <c r="G783" s="42">
        <v>15030.45</v>
      </c>
    </row>
    <row r="784" spans="1:7" ht="14.25" customHeight="1">
      <c r="A784" s="41">
        <v>43469</v>
      </c>
      <c r="B784" s="7">
        <v>10699.7</v>
      </c>
      <c r="C784" s="7">
        <v>10741.05</v>
      </c>
      <c r="D784" s="7">
        <v>10628.65</v>
      </c>
      <c r="E784" s="7">
        <v>10727.35</v>
      </c>
      <c r="F784" s="7">
        <v>296596655</v>
      </c>
      <c r="G784" s="42">
        <v>14516.74</v>
      </c>
    </row>
    <row r="785" spans="1:7" ht="14.25" customHeight="1">
      <c r="A785" s="41">
        <v>43472</v>
      </c>
      <c r="B785" s="7">
        <v>10804.85</v>
      </c>
      <c r="C785" s="7">
        <v>10835.95</v>
      </c>
      <c r="D785" s="7">
        <v>10750.15</v>
      </c>
      <c r="E785" s="7">
        <v>10771.8</v>
      </c>
      <c r="F785" s="7">
        <v>269371080</v>
      </c>
      <c r="G785" s="42">
        <v>12731.29</v>
      </c>
    </row>
    <row r="786" spans="1:7" ht="14.25" customHeight="1">
      <c r="A786" s="41">
        <v>43473</v>
      </c>
      <c r="B786" s="7">
        <v>10786.25</v>
      </c>
      <c r="C786" s="7">
        <v>10818.45</v>
      </c>
      <c r="D786" s="7">
        <v>10733.25</v>
      </c>
      <c r="E786" s="7">
        <v>10802.15</v>
      </c>
      <c r="F786" s="7">
        <v>277697672</v>
      </c>
      <c r="G786" s="42">
        <v>13433.48</v>
      </c>
    </row>
    <row r="787" spans="1:7" ht="14.25" customHeight="1">
      <c r="A787" s="41">
        <v>43474</v>
      </c>
      <c r="B787" s="7">
        <v>10862.4</v>
      </c>
      <c r="C787" s="7">
        <v>10870.4</v>
      </c>
      <c r="D787" s="7">
        <v>10749.4</v>
      </c>
      <c r="E787" s="7">
        <v>10855.15</v>
      </c>
      <c r="F787" s="7">
        <v>333010535</v>
      </c>
      <c r="G787" s="42">
        <v>16213.3</v>
      </c>
    </row>
    <row r="788" spans="1:7" ht="14.25" customHeight="1">
      <c r="A788" s="41">
        <v>43475</v>
      </c>
      <c r="B788" s="7">
        <v>10859.35</v>
      </c>
      <c r="C788" s="7">
        <v>10859.35</v>
      </c>
      <c r="D788" s="7">
        <v>10801.8</v>
      </c>
      <c r="E788" s="7">
        <v>10821.6</v>
      </c>
      <c r="F788" s="7">
        <v>254365477</v>
      </c>
      <c r="G788" s="42">
        <v>12031.26</v>
      </c>
    </row>
    <row r="789" spans="1:7" ht="14.25" customHeight="1">
      <c r="A789" s="41">
        <v>43476</v>
      </c>
      <c r="B789" s="7">
        <v>10834.75</v>
      </c>
      <c r="C789" s="7">
        <v>10850.15</v>
      </c>
      <c r="D789" s="7">
        <v>10739.4</v>
      </c>
      <c r="E789" s="7">
        <v>10794.95</v>
      </c>
      <c r="F789" s="7">
        <v>260792200</v>
      </c>
      <c r="G789" s="42">
        <v>13084.6</v>
      </c>
    </row>
    <row r="790" spans="1:7" ht="14.25" customHeight="1">
      <c r="A790" s="41">
        <v>43479</v>
      </c>
      <c r="B790" s="7">
        <v>10807</v>
      </c>
      <c r="C790" s="7">
        <v>10808</v>
      </c>
      <c r="D790" s="7">
        <v>10692.35</v>
      </c>
      <c r="E790" s="7">
        <v>10737.6</v>
      </c>
      <c r="F790" s="7">
        <v>298774178</v>
      </c>
      <c r="G790" s="42">
        <v>12732.57</v>
      </c>
    </row>
    <row r="791" spans="1:7" ht="14.25" customHeight="1">
      <c r="A791" s="41">
        <v>43480</v>
      </c>
      <c r="B791" s="7">
        <v>10777.55</v>
      </c>
      <c r="C791" s="7">
        <v>10896.95</v>
      </c>
      <c r="D791" s="7">
        <v>10777.55</v>
      </c>
      <c r="E791" s="7">
        <v>10886.8</v>
      </c>
      <c r="F791" s="7">
        <v>310737078</v>
      </c>
      <c r="G791" s="42">
        <v>14879.91</v>
      </c>
    </row>
    <row r="792" spans="1:7" ht="14.25" customHeight="1">
      <c r="A792" s="41">
        <v>43481</v>
      </c>
      <c r="B792" s="7">
        <v>10899.65</v>
      </c>
      <c r="C792" s="7">
        <v>10928.15</v>
      </c>
      <c r="D792" s="7">
        <v>10876.9</v>
      </c>
      <c r="E792" s="7">
        <v>10890.3</v>
      </c>
      <c r="F792" s="7">
        <v>276539042</v>
      </c>
      <c r="G792" s="42">
        <v>13081.63</v>
      </c>
    </row>
    <row r="793" spans="1:7" ht="14.25" customHeight="1">
      <c r="A793" s="41">
        <v>43482</v>
      </c>
      <c r="B793" s="7">
        <v>10920.85</v>
      </c>
      <c r="C793" s="7">
        <v>10930.65</v>
      </c>
      <c r="D793" s="7">
        <v>10844.65</v>
      </c>
      <c r="E793" s="7">
        <v>10905.2</v>
      </c>
      <c r="F793" s="7">
        <v>271676319</v>
      </c>
      <c r="G793" s="42">
        <v>13215.83</v>
      </c>
    </row>
    <row r="794" spans="1:7" ht="14.25" customHeight="1">
      <c r="A794" s="41">
        <v>43483</v>
      </c>
      <c r="B794" s="7">
        <v>10914.85</v>
      </c>
      <c r="C794" s="7">
        <v>10928.2</v>
      </c>
      <c r="D794" s="7">
        <v>10852.2</v>
      </c>
      <c r="E794" s="7">
        <v>10906.95</v>
      </c>
      <c r="F794" s="7">
        <v>323814108</v>
      </c>
      <c r="G794" s="42">
        <v>16408.830000000002</v>
      </c>
    </row>
    <row r="795" spans="1:7" ht="14.25" customHeight="1">
      <c r="A795" s="41">
        <v>43486</v>
      </c>
      <c r="B795" s="7">
        <v>10919.35</v>
      </c>
      <c r="C795" s="7">
        <v>10987.45</v>
      </c>
      <c r="D795" s="7">
        <v>10885.75</v>
      </c>
      <c r="E795" s="7">
        <v>10961.85</v>
      </c>
      <c r="F795" s="7">
        <v>288829125</v>
      </c>
      <c r="G795" s="42">
        <v>17289.7</v>
      </c>
    </row>
    <row r="796" spans="1:7" ht="14.25" customHeight="1">
      <c r="A796" s="41">
        <v>43487</v>
      </c>
      <c r="B796" s="7">
        <v>10949.8</v>
      </c>
      <c r="C796" s="7">
        <v>10949.8</v>
      </c>
      <c r="D796" s="7">
        <v>10864.15</v>
      </c>
      <c r="E796" s="7">
        <v>10922.75</v>
      </c>
      <c r="F796" s="7">
        <v>300768112</v>
      </c>
      <c r="G796" s="42">
        <v>17483.62</v>
      </c>
    </row>
    <row r="797" spans="1:7" ht="14.25" customHeight="1">
      <c r="A797" s="41">
        <v>43488</v>
      </c>
      <c r="B797" s="7">
        <v>10931.05</v>
      </c>
      <c r="C797" s="7">
        <v>10944.8</v>
      </c>
      <c r="D797" s="7">
        <v>10811.95</v>
      </c>
      <c r="E797" s="7">
        <v>10831.5</v>
      </c>
      <c r="F797" s="7">
        <v>298876314</v>
      </c>
      <c r="G797" s="42">
        <v>14736.91</v>
      </c>
    </row>
    <row r="798" spans="1:7" ht="14.25" customHeight="1">
      <c r="A798" s="41">
        <v>43489</v>
      </c>
      <c r="B798" s="7">
        <v>10844.05</v>
      </c>
      <c r="C798" s="7">
        <v>10866.6</v>
      </c>
      <c r="D798" s="7">
        <v>10798.65</v>
      </c>
      <c r="E798" s="7">
        <v>10849.8</v>
      </c>
      <c r="F798" s="7">
        <v>361082096</v>
      </c>
      <c r="G798" s="42">
        <v>15298.48</v>
      </c>
    </row>
    <row r="799" spans="1:7" ht="14.25" customHeight="1">
      <c r="A799" s="41">
        <v>43490</v>
      </c>
      <c r="B799" s="7">
        <v>10859.75</v>
      </c>
      <c r="C799" s="7">
        <v>10931.7</v>
      </c>
      <c r="D799" s="7">
        <v>10756.45</v>
      </c>
      <c r="E799" s="7">
        <v>10780.55</v>
      </c>
      <c r="F799" s="7">
        <v>463444758</v>
      </c>
      <c r="G799" s="42">
        <v>20542.36</v>
      </c>
    </row>
    <row r="800" spans="1:7" ht="14.25" customHeight="1">
      <c r="A800" s="41">
        <v>43493</v>
      </c>
      <c r="B800" s="7">
        <v>10792.45</v>
      </c>
      <c r="C800" s="7">
        <v>10804.45</v>
      </c>
      <c r="D800" s="7">
        <v>10630.95</v>
      </c>
      <c r="E800" s="7">
        <v>10661.55</v>
      </c>
      <c r="F800" s="7">
        <v>419682627</v>
      </c>
      <c r="G800" s="42">
        <v>21144.33</v>
      </c>
    </row>
    <row r="801" spans="1:7" ht="14.25" customHeight="1">
      <c r="A801" s="41">
        <v>43494</v>
      </c>
      <c r="B801" s="7">
        <v>10653.7</v>
      </c>
      <c r="C801" s="7">
        <v>10690.35</v>
      </c>
      <c r="D801" s="7">
        <v>10583.65</v>
      </c>
      <c r="E801" s="7">
        <v>10652.2</v>
      </c>
      <c r="F801" s="7">
        <v>356908994</v>
      </c>
      <c r="G801" s="42">
        <v>18832.060000000001</v>
      </c>
    </row>
    <row r="802" spans="1:7" ht="14.25" customHeight="1">
      <c r="A802" s="41">
        <v>43495</v>
      </c>
      <c r="B802" s="7">
        <v>10702.25</v>
      </c>
      <c r="C802" s="7">
        <v>10710.2</v>
      </c>
      <c r="D802" s="7">
        <v>10612.85</v>
      </c>
      <c r="E802" s="7">
        <v>10651.8</v>
      </c>
      <c r="F802" s="7">
        <v>410107910</v>
      </c>
      <c r="G802" s="42">
        <v>21214.81</v>
      </c>
    </row>
    <row r="803" spans="1:7" ht="14.25" customHeight="1">
      <c r="A803" s="41">
        <v>43496</v>
      </c>
      <c r="B803" s="7">
        <v>10690.55</v>
      </c>
      <c r="C803" s="7">
        <v>10838.05</v>
      </c>
      <c r="D803" s="7">
        <v>10678.55</v>
      </c>
      <c r="E803" s="7">
        <v>10830.95</v>
      </c>
      <c r="F803" s="7">
        <v>604818027</v>
      </c>
      <c r="G803" s="42">
        <v>27471.18</v>
      </c>
    </row>
    <row r="804" spans="1:7" ht="14.25" customHeight="1">
      <c r="A804" s="41">
        <v>43497</v>
      </c>
      <c r="B804" s="7">
        <v>10851.35</v>
      </c>
      <c r="C804" s="7">
        <v>10983.45</v>
      </c>
      <c r="D804" s="7">
        <v>10813.45</v>
      </c>
      <c r="E804" s="7">
        <v>10893.65</v>
      </c>
      <c r="F804" s="7">
        <v>482272661</v>
      </c>
      <c r="G804" s="42">
        <v>23112.37</v>
      </c>
    </row>
    <row r="805" spans="1:7" ht="14.25" customHeight="1">
      <c r="A805" s="41">
        <v>43500</v>
      </c>
      <c r="B805" s="7">
        <v>10876.75</v>
      </c>
      <c r="C805" s="7">
        <v>10927.9</v>
      </c>
      <c r="D805" s="7">
        <v>10814.15</v>
      </c>
      <c r="E805" s="7">
        <v>10912.25</v>
      </c>
      <c r="F805" s="7">
        <v>318300039</v>
      </c>
      <c r="G805" s="42">
        <v>15478.81</v>
      </c>
    </row>
    <row r="806" spans="1:7" ht="14.25" customHeight="1">
      <c r="A806" s="41">
        <v>43501</v>
      </c>
      <c r="B806" s="7">
        <v>10908.65</v>
      </c>
      <c r="C806" s="7">
        <v>10956.7</v>
      </c>
      <c r="D806" s="7">
        <v>10886.7</v>
      </c>
      <c r="E806" s="7">
        <v>10934.35</v>
      </c>
      <c r="F806" s="7">
        <v>268095127</v>
      </c>
      <c r="G806" s="42">
        <v>13435.13</v>
      </c>
    </row>
    <row r="807" spans="1:7" ht="14.25" customHeight="1">
      <c r="A807" s="41">
        <v>43502</v>
      </c>
      <c r="B807" s="7">
        <v>10965.1</v>
      </c>
      <c r="C807" s="7">
        <v>11072.6</v>
      </c>
      <c r="D807" s="7">
        <v>10962.7</v>
      </c>
      <c r="E807" s="7">
        <v>11062.45</v>
      </c>
      <c r="F807" s="7">
        <v>298510497</v>
      </c>
      <c r="G807" s="42">
        <v>15172.85</v>
      </c>
    </row>
    <row r="808" spans="1:7" ht="14.25" customHeight="1">
      <c r="A808" s="41">
        <v>43503</v>
      </c>
      <c r="B808" s="7">
        <v>11070.45</v>
      </c>
      <c r="C808" s="7">
        <v>11118.1</v>
      </c>
      <c r="D808" s="7">
        <v>11043.6</v>
      </c>
      <c r="E808" s="7">
        <v>11069.4</v>
      </c>
      <c r="F808" s="7">
        <v>263544426</v>
      </c>
      <c r="G808" s="42">
        <v>13542.69</v>
      </c>
    </row>
    <row r="809" spans="1:7" ht="14.25" customHeight="1">
      <c r="A809" s="41">
        <v>43504</v>
      </c>
      <c r="B809" s="7">
        <v>11023.5</v>
      </c>
      <c r="C809" s="7">
        <v>11041.2</v>
      </c>
      <c r="D809" s="7">
        <v>10925.45</v>
      </c>
      <c r="E809" s="7">
        <v>10943.6</v>
      </c>
      <c r="F809" s="7">
        <v>352787419</v>
      </c>
      <c r="G809" s="42">
        <v>15507.05</v>
      </c>
    </row>
    <row r="810" spans="1:7" ht="14.25" customHeight="1">
      <c r="A810" s="41">
        <v>43507</v>
      </c>
      <c r="B810" s="7">
        <v>10930.9</v>
      </c>
      <c r="C810" s="7">
        <v>10930.9</v>
      </c>
      <c r="D810" s="7">
        <v>10857.1</v>
      </c>
      <c r="E810" s="7">
        <v>10888.8</v>
      </c>
      <c r="F810" s="7">
        <v>285985383</v>
      </c>
      <c r="G810" s="42">
        <v>13818.92</v>
      </c>
    </row>
    <row r="811" spans="1:7" ht="14.25" customHeight="1">
      <c r="A811" s="41">
        <v>43508</v>
      </c>
      <c r="B811" s="7">
        <v>10879.7</v>
      </c>
      <c r="C811" s="7">
        <v>10910.9</v>
      </c>
      <c r="D811" s="7">
        <v>10823.8</v>
      </c>
      <c r="E811" s="7">
        <v>10831.4</v>
      </c>
      <c r="F811" s="7">
        <v>292314643</v>
      </c>
      <c r="G811" s="42">
        <v>14424.78</v>
      </c>
    </row>
    <row r="812" spans="1:7" ht="14.25" customHeight="1">
      <c r="A812" s="41">
        <v>43509</v>
      </c>
      <c r="B812" s="7">
        <v>10870.55</v>
      </c>
      <c r="C812" s="7">
        <v>10891.65</v>
      </c>
      <c r="D812" s="7">
        <v>10772.1</v>
      </c>
      <c r="E812" s="7">
        <v>10793.65</v>
      </c>
      <c r="F812" s="7">
        <v>321958549</v>
      </c>
      <c r="G812" s="42">
        <v>15360.98</v>
      </c>
    </row>
    <row r="813" spans="1:7" ht="14.25" customHeight="1">
      <c r="A813" s="41">
        <v>43510</v>
      </c>
      <c r="B813" s="7">
        <v>10786.1</v>
      </c>
      <c r="C813" s="7">
        <v>10792.7</v>
      </c>
      <c r="D813" s="7">
        <v>10718.75</v>
      </c>
      <c r="E813" s="7">
        <v>10746.05</v>
      </c>
      <c r="F813" s="7">
        <v>627041405</v>
      </c>
      <c r="G813" s="42">
        <v>20797.41</v>
      </c>
    </row>
    <row r="814" spans="1:7" ht="14.25" customHeight="1">
      <c r="A814" s="41">
        <v>43511</v>
      </c>
      <c r="B814" s="7">
        <v>10780.25</v>
      </c>
      <c r="C814" s="7">
        <v>10785.75</v>
      </c>
      <c r="D814" s="7">
        <v>10620.4</v>
      </c>
      <c r="E814" s="7">
        <v>10724.4</v>
      </c>
      <c r="F814" s="7">
        <v>521876968</v>
      </c>
      <c r="G814" s="42">
        <v>20733.95</v>
      </c>
    </row>
    <row r="815" spans="1:7" ht="14.25" customHeight="1">
      <c r="A815" s="41">
        <v>43514</v>
      </c>
      <c r="B815" s="7">
        <v>10738.65</v>
      </c>
      <c r="C815" s="7">
        <v>10759.9</v>
      </c>
      <c r="D815" s="7">
        <v>10628.4</v>
      </c>
      <c r="E815" s="7">
        <v>10640.95</v>
      </c>
      <c r="F815" s="7">
        <v>345440240</v>
      </c>
      <c r="G815" s="42">
        <v>14903.19</v>
      </c>
    </row>
    <row r="816" spans="1:7" ht="14.25" customHeight="1">
      <c r="A816" s="41">
        <v>43515</v>
      </c>
      <c r="B816" s="7">
        <v>10636.7</v>
      </c>
      <c r="C816" s="7">
        <v>10722.85</v>
      </c>
      <c r="D816" s="7">
        <v>10585.65</v>
      </c>
      <c r="E816" s="7">
        <v>10604.35</v>
      </c>
      <c r="F816" s="7">
        <v>291507060</v>
      </c>
      <c r="G816" s="42">
        <v>13765.01</v>
      </c>
    </row>
    <row r="817" spans="1:7" ht="14.25" customHeight="1">
      <c r="A817" s="41">
        <v>43516</v>
      </c>
      <c r="B817" s="7">
        <v>10655.45</v>
      </c>
      <c r="C817" s="7">
        <v>10752.7</v>
      </c>
      <c r="D817" s="7">
        <v>10646.4</v>
      </c>
      <c r="E817" s="7">
        <v>10735.45</v>
      </c>
      <c r="F817" s="7">
        <v>289195306</v>
      </c>
      <c r="G817" s="42">
        <v>13209.71</v>
      </c>
    </row>
    <row r="818" spans="1:7" ht="14.25" customHeight="1">
      <c r="A818" s="41">
        <v>43517</v>
      </c>
      <c r="B818" s="7">
        <v>10744.1</v>
      </c>
      <c r="C818" s="7">
        <v>10808.85</v>
      </c>
      <c r="D818" s="7">
        <v>10721.5</v>
      </c>
      <c r="E818" s="7">
        <v>10789.85</v>
      </c>
      <c r="F818" s="7">
        <v>279584955</v>
      </c>
      <c r="G818" s="42">
        <v>14758.5</v>
      </c>
    </row>
    <row r="819" spans="1:7" ht="14.25" customHeight="1">
      <c r="A819" s="41">
        <v>43518</v>
      </c>
      <c r="B819" s="7">
        <v>10782.7</v>
      </c>
      <c r="C819" s="7">
        <v>10801.55</v>
      </c>
      <c r="D819" s="7">
        <v>10758.4</v>
      </c>
      <c r="E819" s="7">
        <v>10791.65</v>
      </c>
      <c r="F819" s="7">
        <v>396846597</v>
      </c>
      <c r="G819" s="42">
        <v>24386.42</v>
      </c>
    </row>
    <row r="820" spans="1:7" ht="14.25" customHeight="1">
      <c r="A820" s="41">
        <v>43521</v>
      </c>
      <c r="B820" s="7">
        <v>10813.25</v>
      </c>
      <c r="C820" s="7">
        <v>10887.1</v>
      </c>
      <c r="D820" s="7">
        <v>10788.05</v>
      </c>
      <c r="E820" s="7">
        <v>10880.1</v>
      </c>
      <c r="F820" s="7">
        <v>385905142</v>
      </c>
      <c r="G820" s="42">
        <v>16466.09</v>
      </c>
    </row>
    <row r="821" spans="1:7" ht="14.25" customHeight="1">
      <c r="A821" s="41">
        <v>43522</v>
      </c>
      <c r="B821" s="7">
        <v>10775.3</v>
      </c>
      <c r="C821" s="7">
        <v>10888.75</v>
      </c>
      <c r="D821" s="7">
        <v>10729.3</v>
      </c>
      <c r="E821" s="7">
        <v>10835.3</v>
      </c>
      <c r="F821" s="7">
        <v>414954476</v>
      </c>
      <c r="G821" s="42">
        <v>19186.75</v>
      </c>
    </row>
    <row r="822" spans="1:7" ht="14.25" customHeight="1">
      <c r="A822" s="41">
        <v>43523</v>
      </c>
      <c r="B822" s="7">
        <v>10881.2</v>
      </c>
      <c r="C822" s="7">
        <v>10939.7</v>
      </c>
      <c r="D822" s="7">
        <v>10751.2</v>
      </c>
      <c r="E822" s="7">
        <v>10806.65</v>
      </c>
      <c r="F822" s="7">
        <v>381080073</v>
      </c>
      <c r="G822" s="42">
        <v>18313.849999999999</v>
      </c>
    </row>
    <row r="823" spans="1:7" ht="14.25" customHeight="1">
      <c r="A823" s="41">
        <v>43524</v>
      </c>
      <c r="B823" s="7">
        <v>10865.7</v>
      </c>
      <c r="C823" s="7">
        <v>10865.7</v>
      </c>
      <c r="D823" s="7">
        <v>10784.85</v>
      </c>
      <c r="E823" s="7">
        <v>10792.5</v>
      </c>
      <c r="F823" s="7">
        <v>644159018</v>
      </c>
      <c r="G823" s="42">
        <v>27123.34</v>
      </c>
    </row>
    <row r="824" spans="1:7" ht="14.25" customHeight="1">
      <c r="A824" s="41">
        <v>43525</v>
      </c>
      <c r="B824" s="7">
        <v>10842.65</v>
      </c>
      <c r="C824" s="7">
        <v>10877.9</v>
      </c>
      <c r="D824" s="7">
        <v>10823.1</v>
      </c>
      <c r="E824" s="7">
        <v>10863.5</v>
      </c>
      <c r="F824" s="7">
        <v>308526309</v>
      </c>
      <c r="G824" s="42">
        <v>15010.06</v>
      </c>
    </row>
    <row r="825" spans="1:7" ht="14.25" customHeight="1">
      <c r="A825" s="41">
        <v>43529</v>
      </c>
      <c r="B825" s="7">
        <v>10864.85</v>
      </c>
      <c r="C825" s="7">
        <v>10994.9</v>
      </c>
      <c r="D825" s="7">
        <v>10817</v>
      </c>
      <c r="E825" s="7">
        <v>10987.45</v>
      </c>
      <c r="F825" s="7">
        <v>373220239</v>
      </c>
      <c r="G825" s="42">
        <v>17960.03</v>
      </c>
    </row>
    <row r="826" spans="1:7" ht="14.25" customHeight="1">
      <c r="A826" s="41">
        <v>43530</v>
      </c>
      <c r="B826" s="7">
        <v>11024.85</v>
      </c>
      <c r="C826" s="7">
        <v>11062.3</v>
      </c>
      <c r="D826" s="7">
        <v>10998.85</v>
      </c>
      <c r="E826" s="7">
        <v>11053</v>
      </c>
      <c r="F826" s="7">
        <v>372550850</v>
      </c>
      <c r="G826" s="42">
        <v>17850.93</v>
      </c>
    </row>
    <row r="827" spans="1:7" ht="14.25" customHeight="1">
      <c r="A827" s="41">
        <v>43531</v>
      </c>
      <c r="B827" s="7">
        <v>11077.95</v>
      </c>
      <c r="C827" s="7">
        <v>11089.05</v>
      </c>
      <c r="D827" s="7">
        <v>11027.1</v>
      </c>
      <c r="E827" s="7">
        <v>11058.2</v>
      </c>
      <c r="F827" s="7">
        <v>321208766</v>
      </c>
      <c r="G827" s="42">
        <v>15321.68</v>
      </c>
    </row>
    <row r="828" spans="1:7" ht="14.25" customHeight="1">
      <c r="A828" s="41">
        <v>43532</v>
      </c>
      <c r="B828" s="7">
        <v>11038.85</v>
      </c>
      <c r="C828" s="7">
        <v>11049</v>
      </c>
      <c r="D828" s="7">
        <v>11008.95</v>
      </c>
      <c r="E828" s="7">
        <v>11035.4</v>
      </c>
      <c r="F828" s="7">
        <v>326569833</v>
      </c>
      <c r="G828" s="42">
        <v>14369.77</v>
      </c>
    </row>
    <row r="829" spans="1:7" ht="14.25" customHeight="1">
      <c r="A829" s="41">
        <v>43535</v>
      </c>
      <c r="B829" s="7">
        <v>11068.75</v>
      </c>
      <c r="C829" s="7">
        <v>11180.9</v>
      </c>
      <c r="D829" s="7">
        <v>11059.85</v>
      </c>
      <c r="E829" s="7">
        <v>11168.05</v>
      </c>
      <c r="F829" s="7">
        <v>352242287</v>
      </c>
      <c r="G829" s="42">
        <v>17349.95</v>
      </c>
    </row>
    <row r="830" spans="1:7" ht="14.25" customHeight="1">
      <c r="A830" s="41">
        <v>43536</v>
      </c>
      <c r="B830" s="7">
        <v>11231.35</v>
      </c>
      <c r="C830" s="7">
        <v>11320.4</v>
      </c>
      <c r="D830" s="7">
        <v>11227</v>
      </c>
      <c r="E830" s="7">
        <v>11301.2</v>
      </c>
      <c r="F830" s="7">
        <v>391310519</v>
      </c>
      <c r="G830" s="42">
        <v>20861.349999999999</v>
      </c>
    </row>
    <row r="831" spans="1:7" ht="14.25" customHeight="1">
      <c r="A831" s="41">
        <v>43537</v>
      </c>
      <c r="B831" s="7">
        <v>11326.2</v>
      </c>
      <c r="C831" s="7">
        <v>11352.3</v>
      </c>
      <c r="D831" s="7">
        <v>11276.6</v>
      </c>
      <c r="E831" s="7">
        <v>11341.7</v>
      </c>
      <c r="F831" s="7">
        <v>382996187</v>
      </c>
      <c r="G831" s="42">
        <v>20851.669999999998</v>
      </c>
    </row>
    <row r="832" spans="1:7" ht="14.25" customHeight="1">
      <c r="A832" s="41">
        <v>43538</v>
      </c>
      <c r="B832" s="7">
        <v>11382.5</v>
      </c>
      <c r="C832" s="7">
        <v>11383.45</v>
      </c>
      <c r="D832" s="7">
        <v>11313.75</v>
      </c>
      <c r="E832" s="7">
        <v>11343.25</v>
      </c>
      <c r="F832" s="7">
        <v>294480678</v>
      </c>
      <c r="G832" s="42">
        <v>15661.05</v>
      </c>
    </row>
    <row r="833" spans="1:7" ht="14.25" customHeight="1">
      <c r="A833" s="41">
        <v>43539</v>
      </c>
      <c r="B833" s="7">
        <v>11376.85</v>
      </c>
      <c r="C833" s="7">
        <v>11487</v>
      </c>
      <c r="D833" s="7">
        <v>11370.8</v>
      </c>
      <c r="E833" s="7">
        <v>11426.85</v>
      </c>
      <c r="F833" s="7">
        <v>463704896</v>
      </c>
      <c r="G833" s="42">
        <v>25143.26</v>
      </c>
    </row>
    <row r="834" spans="1:7" ht="14.25" customHeight="1">
      <c r="A834" s="41">
        <v>43542</v>
      </c>
      <c r="B834" s="7">
        <v>11473.85</v>
      </c>
      <c r="C834" s="7">
        <v>11530.15</v>
      </c>
      <c r="D834" s="7">
        <v>11412.5</v>
      </c>
      <c r="E834" s="7">
        <v>11462.2</v>
      </c>
      <c r="F834" s="7">
        <v>320250041</v>
      </c>
      <c r="G834" s="42">
        <v>16942.22</v>
      </c>
    </row>
    <row r="835" spans="1:7" ht="14.25" customHeight="1">
      <c r="A835" s="41">
        <v>43543</v>
      </c>
      <c r="B835" s="7">
        <v>11500.3</v>
      </c>
      <c r="C835" s="7">
        <v>11543.85</v>
      </c>
      <c r="D835" s="7">
        <v>11451.25</v>
      </c>
      <c r="E835" s="7">
        <v>11532.4</v>
      </c>
      <c r="F835" s="7">
        <v>326099667</v>
      </c>
      <c r="G835" s="42">
        <v>16179.92</v>
      </c>
    </row>
    <row r="836" spans="1:7" ht="14.25" customHeight="1">
      <c r="A836" s="41">
        <v>43544</v>
      </c>
      <c r="B836" s="7">
        <v>11553.35</v>
      </c>
      <c r="C836" s="7">
        <v>11556.1</v>
      </c>
      <c r="D836" s="7">
        <v>11503.1</v>
      </c>
      <c r="E836" s="7">
        <v>11521.05</v>
      </c>
      <c r="F836" s="7">
        <v>366298049</v>
      </c>
      <c r="G836" s="42">
        <v>18311.439999999999</v>
      </c>
    </row>
    <row r="837" spans="1:7" ht="14.25" customHeight="1">
      <c r="A837" s="41">
        <v>43546</v>
      </c>
      <c r="B837" s="7">
        <v>11549.2</v>
      </c>
      <c r="C837" s="7">
        <v>11572.8</v>
      </c>
      <c r="D837" s="7">
        <v>11434.55</v>
      </c>
      <c r="E837" s="7">
        <v>11456.9</v>
      </c>
      <c r="F837" s="7">
        <v>386193935</v>
      </c>
      <c r="G837" s="42">
        <v>19755.740000000002</v>
      </c>
    </row>
    <row r="838" spans="1:7" ht="14.25" customHeight="1">
      <c r="A838" s="41">
        <v>43549</v>
      </c>
      <c r="B838" s="7">
        <v>11395.65</v>
      </c>
      <c r="C838" s="7">
        <v>11395.65</v>
      </c>
      <c r="D838" s="7">
        <v>11311.6</v>
      </c>
      <c r="E838" s="7">
        <v>11354.25</v>
      </c>
      <c r="F838" s="7">
        <v>294459196</v>
      </c>
      <c r="G838" s="42">
        <v>14101.14</v>
      </c>
    </row>
    <row r="839" spans="1:7" ht="14.25" customHeight="1">
      <c r="A839" s="41">
        <v>43550</v>
      </c>
      <c r="B839" s="7">
        <v>11375.2</v>
      </c>
      <c r="C839" s="7">
        <v>11496.75</v>
      </c>
      <c r="D839" s="7">
        <v>11352.45</v>
      </c>
      <c r="E839" s="7">
        <v>11483.25</v>
      </c>
      <c r="F839" s="7">
        <v>282575496</v>
      </c>
      <c r="G839" s="42">
        <v>14611.68</v>
      </c>
    </row>
    <row r="840" spans="1:7" ht="14.25" customHeight="1">
      <c r="A840" s="41">
        <v>43551</v>
      </c>
      <c r="B840" s="7">
        <v>11531.45</v>
      </c>
      <c r="C840" s="7">
        <v>11546.2</v>
      </c>
      <c r="D840" s="7">
        <v>11413</v>
      </c>
      <c r="E840" s="7">
        <v>11445.05</v>
      </c>
      <c r="F840" s="7">
        <v>350446089</v>
      </c>
      <c r="G840" s="42">
        <v>18356.52</v>
      </c>
    </row>
    <row r="841" spans="1:7" ht="14.25" customHeight="1">
      <c r="A841" s="41">
        <v>43552</v>
      </c>
      <c r="B841" s="7">
        <v>11463.65</v>
      </c>
      <c r="C841" s="7">
        <v>11588.5</v>
      </c>
      <c r="D841" s="7">
        <v>11452.45</v>
      </c>
      <c r="E841" s="7">
        <v>11570</v>
      </c>
      <c r="F841" s="7">
        <v>527678809</v>
      </c>
      <c r="G841" s="42">
        <v>25719.65</v>
      </c>
    </row>
    <row r="842" spans="1:7" ht="14.25" customHeight="1">
      <c r="A842" s="41">
        <v>43553</v>
      </c>
      <c r="B842" s="7">
        <v>11625.45</v>
      </c>
      <c r="C842" s="7">
        <v>11630.35</v>
      </c>
      <c r="D842" s="7">
        <v>11570.15</v>
      </c>
      <c r="E842" s="7">
        <v>11623.9</v>
      </c>
      <c r="F842" s="7">
        <v>416276981</v>
      </c>
      <c r="G842" s="42">
        <v>20515.25</v>
      </c>
    </row>
    <row r="843" spans="1:7" ht="14.25" customHeight="1">
      <c r="A843" s="41">
        <v>43556</v>
      </c>
      <c r="B843" s="7">
        <v>11665.2</v>
      </c>
      <c r="C843" s="7">
        <v>11738.1</v>
      </c>
      <c r="D843" s="7">
        <v>11644.75</v>
      </c>
      <c r="E843" s="7">
        <v>11669.15</v>
      </c>
      <c r="F843" s="7">
        <v>379572660</v>
      </c>
      <c r="G843" s="42">
        <v>18977.990000000002</v>
      </c>
    </row>
    <row r="844" spans="1:7" ht="14.25" customHeight="1">
      <c r="A844" s="41">
        <v>43557</v>
      </c>
      <c r="B844" s="7">
        <v>11711.55</v>
      </c>
      <c r="C844" s="7">
        <v>11729.35</v>
      </c>
      <c r="D844" s="7">
        <v>11655.85</v>
      </c>
      <c r="E844" s="7">
        <v>11713.2</v>
      </c>
      <c r="F844" s="7">
        <v>386131413</v>
      </c>
      <c r="G844" s="42">
        <v>18673.7</v>
      </c>
    </row>
    <row r="845" spans="1:7" ht="14.25" customHeight="1">
      <c r="A845" s="41">
        <v>43558</v>
      </c>
      <c r="B845" s="7">
        <v>11735.3</v>
      </c>
      <c r="C845" s="7">
        <v>11761</v>
      </c>
      <c r="D845" s="7">
        <v>11629.15</v>
      </c>
      <c r="E845" s="7">
        <v>11643.95</v>
      </c>
      <c r="F845" s="7">
        <v>365760070</v>
      </c>
      <c r="G845" s="42">
        <v>19050.95</v>
      </c>
    </row>
    <row r="846" spans="1:7" ht="14.25" customHeight="1">
      <c r="A846" s="41">
        <v>43559</v>
      </c>
      <c r="B846" s="7">
        <v>11660.2</v>
      </c>
      <c r="C846" s="7">
        <v>11662.55</v>
      </c>
      <c r="D846" s="7">
        <v>11559.2</v>
      </c>
      <c r="E846" s="7">
        <v>11598</v>
      </c>
      <c r="F846" s="7">
        <v>349029830</v>
      </c>
      <c r="G846" s="42">
        <v>19713.009999999998</v>
      </c>
    </row>
    <row r="847" spans="1:7" ht="14.25" customHeight="1">
      <c r="A847" s="41">
        <v>43560</v>
      </c>
      <c r="B847" s="7">
        <v>11638.4</v>
      </c>
      <c r="C847" s="7">
        <v>11689.65</v>
      </c>
      <c r="D847" s="7">
        <v>11609.5</v>
      </c>
      <c r="E847" s="7">
        <v>11665.95</v>
      </c>
      <c r="F847" s="7">
        <v>266665797</v>
      </c>
      <c r="G847" s="42">
        <v>15000.35</v>
      </c>
    </row>
    <row r="848" spans="1:7" ht="14.25" customHeight="1">
      <c r="A848" s="41">
        <v>43563</v>
      </c>
      <c r="B848" s="7">
        <v>11704.35</v>
      </c>
      <c r="C848" s="7">
        <v>11710.3</v>
      </c>
      <c r="D848" s="7">
        <v>11549.1</v>
      </c>
      <c r="E848" s="7">
        <v>11604.5</v>
      </c>
      <c r="F848" s="7">
        <v>260932608</v>
      </c>
      <c r="G848" s="42">
        <v>14203.96</v>
      </c>
    </row>
    <row r="849" spans="1:7" ht="14.25" customHeight="1">
      <c r="A849" s="41">
        <v>43564</v>
      </c>
      <c r="B849" s="7">
        <v>11612.05</v>
      </c>
      <c r="C849" s="7">
        <v>11683.9</v>
      </c>
      <c r="D849" s="7">
        <v>11569.7</v>
      </c>
      <c r="E849" s="7">
        <v>11671.95</v>
      </c>
      <c r="F849" s="7">
        <v>300467538</v>
      </c>
      <c r="G849" s="42">
        <v>15984.39</v>
      </c>
    </row>
    <row r="850" spans="1:7" ht="14.25" customHeight="1">
      <c r="A850" s="41">
        <v>43565</v>
      </c>
      <c r="B850" s="7">
        <v>11646.85</v>
      </c>
      <c r="C850" s="7">
        <v>11680.05</v>
      </c>
      <c r="D850" s="7">
        <v>11571.75</v>
      </c>
      <c r="E850" s="7">
        <v>11584.3</v>
      </c>
      <c r="F850" s="7">
        <v>359941110</v>
      </c>
      <c r="G850" s="42">
        <v>22258.46</v>
      </c>
    </row>
    <row r="851" spans="1:7" ht="14.25" customHeight="1">
      <c r="A851" s="41">
        <v>43566</v>
      </c>
      <c r="B851" s="7">
        <v>11592.55</v>
      </c>
      <c r="C851" s="7">
        <v>11606.7</v>
      </c>
      <c r="D851" s="7">
        <v>11550.55</v>
      </c>
      <c r="E851" s="7">
        <v>11596.7</v>
      </c>
      <c r="F851" s="7">
        <v>279775726</v>
      </c>
      <c r="G851" s="42">
        <v>14332.2</v>
      </c>
    </row>
    <row r="852" spans="1:7" ht="14.25" customHeight="1">
      <c r="A852" s="41">
        <v>43567</v>
      </c>
      <c r="B852" s="7">
        <v>11612.85</v>
      </c>
      <c r="C852" s="7">
        <v>11657.35</v>
      </c>
      <c r="D852" s="7">
        <v>11578.8</v>
      </c>
      <c r="E852" s="7">
        <v>11643.45</v>
      </c>
      <c r="F852" s="7">
        <v>246006184</v>
      </c>
      <c r="G852" s="42">
        <v>13598.61</v>
      </c>
    </row>
    <row r="853" spans="1:7" ht="14.25" customHeight="1">
      <c r="A853" s="41">
        <v>43570</v>
      </c>
      <c r="B853" s="7">
        <v>11667</v>
      </c>
      <c r="C853" s="7">
        <v>11704.6</v>
      </c>
      <c r="D853" s="7">
        <v>11648.25</v>
      </c>
      <c r="E853" s="7">
        <v>11690.35</v>
      </c>
      <c r="F853" s="7">
        <v>289996075</v>
      </c>
      <c r="G853" s="42">
        <v>15635.79</v>
      </c>
    </row>
    <row r="854" spans="1:7" ht="14.25" customHeight="1">
      <c r="A854" s="41">
        <v>43571</v>
      </c>
      <c r="B854" s="7">
        <v>11736.2</v>
      </c>
      <c r="C854" s="7">
        <v>11810.95</v>
      </c>
      <c r="D854" s="7">
        <v>11731.55</v>
      </c>
      <c r="E854" s="7">
        <v>11787.15</v>
      </c>
      <c r="F854" s="7">
        <v>354315040</v>
      </c>
      <c r="G854" s="42">
        <v>17585.48</v>
      </c>
    </row>
    <row r="855" spans="1:7" ht="14.25" customHeight="1">
      <c r="A855" s="41">
        <v>43573</v>
      </c>
      <c r="B855" s="7">
        <v>11856.15</v>
      </c>
      <c r="C855" s="7">
        <v>11856.15</v>
      </c>
      <c r="D855" s="7">
        <v>11738.5</v>
      </c>
      <c r="E855" s="7">
        <v>11752.8</v>
      </c>
      <c r="F855" s="7">
        <v>339653709</v>
      </c>
      <c r="G855" s="42">
        <v>18271.27</v>
      </c>
    </row>
    <row r="856" spans="1:7" ht="14.25" customHeight="1">
      <c r="A856" s="41">
        <v>43577</v>
      </c>
      <c r="B856" s="7">
        <v>11727.05</v>
      </c>
      <c r="C856" s="7">
        <v>11727.05</v>
      </c>
      <c r="D856" s="7">
        <v>11583.95</v>
      </c>
      <c r="E856" s="7">
        <v>11594.45</v>
      </c>
      <c r="F856" s="7">
        <v>260356055</v>
      </c>
      <c r="G856" s="42">
        <v>13754.12</v>
      </c>
    </row>
    <row r="857" spans="1:7" ht="14.25" customHeight="1">
      <c r="A857" s="41">
        <v>43578</v>
      </c>
      <c r="B857" s="7">
        <v>11612.95</v>
      </c>
      <c r="C857" s="7">
        <v>11645.95</v>
      </c>
      <c r="D857" s="7">
        <v>11564.8</v>
      </c>
      <c r="E857" s="7">
        <v>11575.95</v>
      </c>
      <c r="F857" s="7">
        <v>272544486</v>
      </c>
      <c r="G857" s="42">
        <v>14500.53</v>
      </c>
    </row>
    <row r="858" spans="1:7" ht="14.25" customHeight="1">
      <c r="A858" s="41">
        <v>43579</v>
      </c>
      <c r="B858" s="7">
        <v>11601.5</v>
      </c>
      <c r="C858" s="7">
        <v>11740.85</v>
      </c>
      <c r="D858" s="7">
        <v>11578.85</v>
      </c>
      <c r="E858" s="7">
        <v>11726.15</v>
      </c>
      <c r="F858" s="7">
        <v>335196513</v>
      </c>
      <c r="G858" s="42">
        <v>17046.66</v>
      </c>
    </row>
    <row r="859" spans="1:7" ht="14.25" customHeight="1">
      <c r="A859" s="41">
        <v>43580</v>
      </c>
      <c r="B859" s="7">
        <v>11735.7</v>
      </c>
      <c r="C859" s="7">
        <v>11796.75</v>
      </c>
      <c r="D859" s="7">
        <v>11624.3</v>
      </c>
      <c r="E859" s="7">
        <v>11641.8</v>
      </c>
      <c r="F859" s="7">
        <v>604360395</v>
      </c>
      <c r="G859" s="42">
        <v>28254.3</v>
      </c>
    </row>
    <row r="860" spans="1:7" ht="14.25" customHeight="1">
      <c r="A860" s="41">
        <v>43581</v>
      </c>
      <c r="B860" s="7">
        <v>11683.75</v>
      </c>
      <c r="C860" s="7">
        <v>11762.9</v>
      </c>
      <c r="D860" s="7">
        <v>11661.75</v>
      </c>
      <c r="E860" s="7">
        <v>11754.65</v>
      </c>
      <c r="F860" s="7">
        <v>333483764</v>
      </c>
      <c r="G860" s="42">
        <v>18098.830000000002</v>
      </c>
    </row>
    <row r="861" spans="1:7" ht="14.25" customHeight="1">
      <c r="A861" s="41">
        <v>43585</v>
      </c>
      <c r="B861" s="7">
        <v>11748.75</v>
      </c>
      <c r="C861" s="7">
        <v>11756.25</v>
      </c>
      <c r="D861" s="7">
        <v>11655.9</v>
      </c>
      <c r="E861" s="7">
        <v>11748.15</v>
      </c>
      <c r="F861" s="7">
        <v>532630874</v>
      </c>
      <c r="G861" s="42">
        <v>23324.98</v>
      </c>
    </row>
    <row r="862" spans="1:7" ht="14.25" customHeight="1">
      <c r="A862" s="41">
        <v>43587</v>
      </c>
      <c r="B862" s="7">
        <v>11725.55</v>
      </c>
      <c r="C862" s="7">
        <v>11789.3</v>
      </c>
      <c r="D862" s="7">
        <v>11699.55</v>
      </c>
      <c r="E862" s="7">
        <v>11724.75</v>
      </c>
      <c r="F862" s="7">
        <v>380278045</v>
      </c>
      <c r="G862" s="42">
        <v>17790.060000000001</v>
      </c>
    </row>
    <row r="863" spans="1:7" ht="14.25" customHeight="1">
      <c r="A863" s="41">
        <v>43588</v>
      </c>
      <c r="B863" s="7">
        <v>11722.6</v>
      </c>
      <c r="C863" s="7">
        <v>11770.9</v>
      </c>
      <c r="D863" s="7">
        <v>11699.35</v>
      </c>
      <c r="E863" s="7">
        <v>11712.25</v>
      </c>
      <c r="F863" s="7">
        <v>305519934</v>
      </c>
      <c r="G863" s="42">
        <v>15156.32</v>
      </c>
    </row>
    <row r="864" spans="1:7" ht="14.25" customHeight="1">
      <c r="A864" s="41">
        <v>43591</v>
      </c>
      <c r="B864" s="7">
        <v>11605.8</v>
      </c>
      <c r="C864" s="7">
        <v>11632.55</v>
      </c>
      <c r="D864" s="7">
        <v>11571.35</v>
      </c>
      <c r="E864" s="7">
        <v>11598.25</v>
      </c>
      <c r="F864" s="7">
        <v>299046480</v>
      </c>
      <c r="G864" s="42">
        <v>14703.42</v>
      </c>
    </row>
    <row r="865" spans="1:7" ht="14.25" customHeight="1">
      <c r="A865" s="41">
        <v>43592</v>
      </c>
      <c r="B865" s="7">
        <v>11651.5</v>
      </c>
      <c r="C865" s="7">
        <v>11657.05</v>
      </c>
      <c r="D865" s="7">
        <v>11484.45</v>
      </c>
      <c r="E865" s="7">
        <v>11497.9</v>
      </c>
      <c r="F865" s="7">
        <v>337495624</v>
      </c>
      <c r="G865" s="42">
        <v>16632.84</v>
      </c>
    </row>
    <row r="866" spans="1:7" ht="14.25" customHeight="1">
      <c r="A866" s="41">
        <v>43593</v>
      </c>
      <c r="B866" s="7">
        <v>11478.7</v>
      </c>
      <c r="C866" s="7">
        <v>11479.1</v>
      </c>
      <c r="D866" s="7">
        <v>11346.95</v>
      </c>
      <c r="E866" s="7">
        <v>11359.45</v>
      </c>
      <c r="F866" s="7">
        <v>372826025</v>
      </c>
      <c r="G866" s="42">
        <v>17440.009999999998</v>
      </c>
    </row>
    <row r="867" spans="1:7" ht="14.25" customHeight="1">
      <c r="A867" s="41">
        <v>43594</v>
      </c>
      <c r="B867" s="7">
        <v>11322.4</v>
      </c>
      <c r="C867" s="7">
        <v>11357.6</v>
      </c>
      <c r="D867" s="7">
        <v>11255.05</v>
      </c>
      <c r="E867" s="7">
        <v>11301.8</v>
      </c>
      <c r="F867" s="7">
        <v>373028059</v>
      </c>
      <c r="G867" s="42">
        <v>17602.86</v>
      </c>
    </row>
    <row r="868" spans="1:7" ht="14.25" customHeight="1">
      <c r="A868" s="41">
        <v>43595</v>
      </c>
      <c r="B868" s="7">
        <v>11314.15</v>
      </c>
      <c r="C868" s="7">
        <v>11345.8</v>
      </c>
      <c r="D868" s="7">
        <v>11251.05</v>
      </c>
      <c r="E868" s="7">
        <v>11278.9</v>
      </c>
      <c r="F868" s="7">
        <v>387323416</v>
      </c>
      <c r="G868" s="42">
        <v>18085.189999999999</v>
      </c>
    </row>
    <row r="869" spans="1:7" ht="14.25" customHeight="1">
      <c r="A869" s="41">
        <v>43598</v>
      </c>
      <c r="B869" s="7">
        <v>11258.7</v>
      </c>
      <c r="C869" s="7">
        <v>11300.2</v>
      </c>
      <c r="D869" s="7">
        <v>11125.6</v>
      </c>
      <c r="E869" s="7">
        <v>11148.2</v>
      </c>
      <c r="F869" s="7">
        <v>357586433</v>
      </c>
      <c r="G869" s="42">
        <v>16722.91</v>
      </c>
    </row>
    <row r="870" spans="1:7" ht="14.25" customHeight="1">
      <c r="A870" s="41">
        <v>43599</v>
      </c>
      <c r="B870" s="7">
        <v>11151.65</v>
      </c>
      <c r="C870" s="7">
        <v>11294.75</v>
      </c>
      <c r="D870" s="7">
        <v>11108.3</v>
      </c>
      <c r="E870" s="7">
        <v>11222.05</v>
      </c>
      <c r="F870" s="7">
        <v>398122725</v>
      </c>
      <c r="G870" s="42">
        <v>19906.38</v>
      </c>
    </row>
    <row r="871" spans="1:7" ht="14.25" customHeight="1">
      <c r="A871" s="41">
        <v>43600</v>
      </c>
      <c r="B871" s="7">
        <v>11271.7</v>
      </c>
      <c r="C871" s="7">
        <v>11286.8</v>
      </c>
      <c r="D871" s="7">
        <v>11136.95</v>
      </c>
      <c r="E871" s="7">
        <v>11157</v>
      </c>
      <c r="F871" s="7">
        <v>414174258</v>
      </c>
      <c r="G871" s="42">
        <v>17931.75</v>
      </c>
    </row>
    <row r="872" spans="1:7" ht="14.25" customHeight="1">
      <c r="A872" s="41">
        <v>43601</v>
      </c>
      <c r="B872" s="7">
        <v>11180.35</v>
      </c>
      <c r="C872" s="7">
        <v>11281.55</v>
      </c>
      <c r="D872" s="7">
        <v>11143.35</v>
      </c>
      <c r="E872" s="7">
        <v>11257.1</v>
      </c>
      <c r="F872" s="7">
        <v>350734572</v>
      </c>
      <c r="G872" s="42">
        <v>15629.57</v>
      </c>
    </row>
    <row r="873" spans="1:7" ht="14.25" customHeight="1">
      <c r="A873" s="41">
        <v>43602</v>
      </c>
      <c r="B873" s="7">
        <v>11261.9</v>
      </c>
      <c r="C873" s="7">
        <v>11426.15</v>
      </c>
      <c r="D873" s="7">
        <v>11259.85</v>
      </c>
      <c r="E873" s="7">
        <v>11407.15</v>
      </c>
      <c r="F873" s="7">
        <v>412109200</v>
      </c>
      <c r="G873" s="42">
        <v>20177.63</v>
      </c>
    </row>
    <row r="874" spans="1:7" ht="14.25" customHeight="1">
      <c r="A874" s="41">
        <v>43605</v>
      </c>
      <c r="B874" s="7">
        <v>11651.9</v>
      </c>
      <c r="C874" s="7">
        <v>11845.2</v>
      </c>
      <c r="D874" s="7">
        <v>11591.7</v>
      </c>
      <c r="E874" s="7">
        <v>11828.25</v>
      </c>
      <c r="F874" s="7">
        <v>452096261</v>
      </c>
      <c r="G874" s="42">
        <v>25223.78</v>
      </c>
    </row>
    <row r="875" spans="1:7" ht="14.25" customHeight="1">
      <c r="A875" s="41">
        <v>43606</v>
      </c>
      <c r="B875" s="7">
        <v>11863.65</v>
      </c>
      <c r="C875" s="7">
        <v>11883.55</v>
      </c>
      <c r="D875" s="7">
        <v>11682.8</v>
      </c>
      <c r="E875" s="7">
        <v>11709.1</v>
      </c>
      <c r="F875" s="7">
        <v>381038129</v>
      </c>
      <c r="G875" s="42">
        <v>20324.669999999998</v>
      </c>
    </row>
    <row r="876" spans="1:7" ht="14.25" customHeight="1">
      <c r="A876" s="41">
        <v>43607</v>
      </c>
      <c r="B876" s="7">
        <v>11727.95</v>
      </c>
      <c r="C876" s="7">
        <v>11784.8</v>
      </c>
      <c r="D876" s="7">
        <v>11682.4</v>
      </c>
      <c r="E876" s="7">
        <v>11737.9</v>
      </c>
      <c r="F876" s="7">
        <v>355870667</v>
      </c>
      <c r="G876" s="42">
        <v>19582.41</v>
      </c>
    </row>
    <row r="877" spans="1:7" ht="14.25" customHeight="1">
      <c r="A877" s="41">
        <v>43608</v>
      </c>
      <c r="B877" s="7">
        <v>11901.3</v>
      </c>
      <c r="C877" s="7">
        <v>12041.15</v>
      </c>
      <c r="D877" s="7">
        <v>11614.5</v>
      </c>
      <c r="E877" s="7">
        <v>11657.05</v>
      </c>
      <c r="F877" s="7">
        <v>569030654</v>
      </c>
      <c r="G877" s="42">
        <v>31180.080000000002</v>
      </c>
    </row>
    <row r="878" spans="1:7" ht="14.25" customHeight="1">
      <c r="A878" s="41">
        <v>43609</v>
      </c>
      <c r="B878" s="7">
        <v>11748</v>
      </c>
      <c r="C878" s="7">
        <v>11859</v>
      </c>
      <c r="D878" s="7">
        <v>11658.1</v>
      </c>
      <c r="E878" s="7">
        <v>11844.1</v>
      </c>
      <c r="F878" s="7">
        <v>374637415</v>
      </c>
      <c r="G878" s="42">
        <v>20028.490000000002</v>
      </c>
    </row>
    <row r="879" spans="1:7" ht="14.25" customHeight="1">
      <c r="A879" s="41">
        <v>43612</v>
      </c>
      <c r="B879" s="7">
        <v>11855.5</v>
      </c>
      <c r="C879" s="7">
        <v>11957.15</v>
      </c>
      <c r="D879" s="7">
        <v>11812.4</v>
      </c>
      <c r="E879" s="7">
        <v>11924.75</v>
      </c>
      <c r="F879" s="7">
        <v>348356214</v>
      </c>
      <c r="G879" s="42">
        <v>17735.36</v>
      </c>
    </row>
    <row r="880" spans="1:7" ht="14.25" customHeight="1">
      <c r="A880" s="41">
        <v>43613</v>
      </c>
      <c r="B880" s="7">
        <v>11958.35</v>
      </c>
      <c r="C880" s="7">
        <v>11958.55</v>
      </c>
      <c r="D880" s="7">
        <v>11864.9</v>
      </c>
      <c r="E880" s="7">
        <v>11928.75</v>
      </c>
      <c r="F880" s="7">
        <v>598308334</v>
      </c>
      <c r="G880" s="42">
        <v>28833.54</v>
      </c>
    </row>
    <row r="881" spans="1:7" ht="14.25" customHeight="1">
      <c r="A881" s="41">
        <v>43614</v>
      </c>
      <c r="B881" s="7">
        <v>11905.8</v>
      </c>
      <c r="C881" s="7">
        <v>11931.9</v>
      </c>
      <c r="D881" s="7">
        <v>11836.8</v>
      </c>
      <c r="E881" s="7">
        <v>11861.1</v>
      </c>
      <c r="F881" s="7">
        <v>318068673</v>
      </c>
      <c r="G881" s="42">
        <v>15985.92</v>
      </c>
    </row>
    <row r="882" spans="1:7" ht="14.25" customHeight="1">
      <c r="A882" s="41">
        <v>43615</v>
      </c>
      <c r="B882" s="7">
        <v>11865.3</v>
      </c>
      <c r="C882" s="7">
        <v>11968.55</v>
      </c>
      <c r="D882" s="7">
        <v>11859.4</v>
      </c>
      <c r="E882" s="7">
        <v>11945.9</v>
      </c>
      <c r="F882" s="7">
        <v>421199867</v>
      </c>
      <c r="G882" s="42">
        <v>20261.849999999999</v>
      </c>
    </row>
    <row r="883" spans="1:7" ht="14.25" customHeight="1">
      <c r="A883" s="41">
        <v>43616</v>
      </c>
      <c r="B883" s="7">
        <v>11999.8</v>
      </c>
      <c r="C883" s="7">
        <v>12039.25</v>
      </c>
      <c r="D883" s="7">
        <v>11829.45</v>
      </c>
      <c r="E883" s="7">
        <v>11922.8</v>
      </c>
      <c r="F883" s="7">
        <v>438879129</v>
      </c>
      <c r="G883" s="42">
        <v>22789</v>
      </c>
    </row>
    <row r="884" spans="1:7" ht="14.25" customHeight="1">
      <c r="A884" s="41">
        <v>43619</v>
      </c>
      <c r="B884" s="7">
        <v>11953.75</v>
      </c>
      <c r="C884" s="7">
        <v>12103.05</v>
      </c>
      <c r="D884" s="7">
        <v>11920.1</v>
      </c>
      <c r="E884" s="7">
        <v>12088.55</v>
      </c>
      <c r="F884" s="7">
        <v>315296955</v>
      </c>
      <c r="G884" s="42">
        <v>17451.36</v>
      </c>
    </row>
    <row r="885" spans="1:7" ht="14.25" customHeight="1">
      <c r="A885" s="41">
        <v>43620</v>
      </c>
      <c r="B885" s="7">
        <v>12052.65</v>
      </c>
      <c r="C885" s="7">
        <v>12095.2</v>
      </c>
      <c r="D885" s="7">
        <v>12005.85</v>
      </c>
      <c r="E885" s="7">
        <v>12021.65</v>
      </c>
      <c r="F885" s="7">
        <v>289221904</v>
      </c>
      <c r="G885" s="42">
        <v>15308.28</v>
      </c>
    </row>
    <row r="886" spans="1:7" ht="14.25" customHeight="1">
      <c r="A886" s="41">
        <v>43622</v>
      </c>
      <c r="B886" s="7">
        <v>12039.8</v>
      </c>
      <c r="C886" s="7">
        <v>12039.8</v>
      </c>
      <c r="D886" s="7">
        <v>11830.25</v>
      </c>
      <c r="E886" s="7">
        <v>11843.75</v>
      </c>
      <c r="F886" s="7">
        <v>415206942</v>
      </c>
      <c r="G886" s="42">
        <v>21144.77</v>
      </c>
    </row>
    <row r="887" spans="1:7" ht="14.25" customHeight="1">
      <c r="A887" s="41">
        <v>43623</v>
      </c>
      <c r="B887" s="7">
        <v>11865.2</v>
      </c>
      <c r="C887" s="7">
        <v>11897.5</v>
      </c>
      <c r="D887" s="7">
        <v>11769.5</v>
      </c>
      <c r="E887" s="7">
        <v>11870.65</v>
      </c>
      <c r="F887" s="7">
        <v>302455910</v>
      </c>
      <c r="G887" s="42">
        <v>14939.4</v>
      </c>
    </row>
    <row r="888" spans="1:7" ht="14.25" customHeight="1">
      <c r="A888" s="41">
        <v>43626</v>
      </c>
      <c r="B888" s="7">
        <v>11934.9</v>
      </c>
      <c r="C888" s="7">
        <v>11975.05</v>
      </c>
      <c r="D888" s="7">
        <v>11871.75</v>
      </c>
      <c r="E888" s="7">
        <v>11922.7</v>
      </c>
      <c r="F888" s="7">
        <v>303329445</v>
      </c>
      <c r="G888" s="42">
        <v>13125.41</v>
      </c>
    </row>
    <row r="889" spans="1:7" ht="14.25" customHeight="1">
      <c r="A889" s="41">
        <v>43627</v>
      </c>
      <c r="B889" s="7">
        <v>11959.85</v>
      </c>
      <c r="C889" s="7">
        <v>12000.35</v>
      </c>
      <c r="D889" s="7">
        <v>11904.35</v>
      </c>
      <c r="E889" s="7">
        <v>11965.6</v>
      </c>
      <c r="F889" s="7">
        <v>332181958</v>
      </c>
      <c r="G889" s="42">
        <v>15392.28</v>
      </c>
    </row>
    <row r="890" spans="1:7" ht="14.25" customHeight="1">
      <c r="A890" s="41">
        <v>43628</v>
      </c>
      <c r="B890" s="7">
        <v>11962.45</v>
      </c>
      <c r="C890" s="7">
        <v>11962.45</v>
      </c>
      <c r="D890" s="7">
        <v>11866.35</v>
      </c>
      <c r="E890" s="7">
        <v>11906.2</v>
      </c>
      <c r="F890" s="7">
        <v>283718253</v>
      </c>
      <c r="G890" s="42">
        <v>14120.17</v>
      </c>
    </row>
    <row r="891" spans="1:7" ht="14.25" customHeight="1">
      <c r="A891" s="41">
        <v>43629</v>
      </c>
      <c r="B891" s="7">
        <v>11873.9</v>
      </c>
      <c r="C891" s="7">
        <v>11931.35</v>
      </c>
      <c r="D891" s="7">
        <v>11817.05</v>
      </c>
      <c r="E891" s="7">
        <v>11914.05</v>
      </c>
      <c r="F891" s="7">
        <v>447901993</v>
      </c>
      <c r="G891" s="42">
        <v>18680.91</v>
      </c>
    </row>
    <row r="892" spans="1:7" ht="14.25" customHeight="1">
      <c r="A892" s="41">
        <v>43630</v>
      </c>
      <c r="B892" s="7">
        <v>11910.1</v>
      </c>
      <c r="C892" s="7">
        <v>11911.85</v>
      </c>
      <c r="D892" s="7">
        <v>11797.7</v>
      </c>
      <c r="E892" s="7">
        <v>11823.3</v>
      </c>
      <c r="F892" s="7">
        <v>390294634</v>
      </c>
      <c r="G892" s="42">
        <v>16226.57</v>
      </c>
    </row>
    <row r="893" spans="1:7" ht="14.25" customHeight="1">
      <c r="A893" s="41">
        <v>43633</v>
      </c>
      <c r="B893" s="7">
        <v>11844</v>
      </c>
      <c r="C893" s="7">
        <v>11844.05</v>
      </c>
      <c r="D893" s="7">
        <v>11657.75</v>
      </c>
      <c r="E893" s="7">
        <v>11672.15</v>
      </c>
      <c r="F893" s="7">
        <v>295528399</v>
      </c>
      <c r="G893" s="42">
        <v>13851.67</v>
      </c>
    </row>
    <row r="894" spans="1:7" ht="14.25" customHeight="1">
      <c r="A894" s="41">
        <v>43634</v>
      </c>
      <c r="B894" s="7">
        <v>11677.05</v>
      </c>
      <c r="C894" s="7">
        <v>11727.2</v>
      </c>
      <c r="D894" s="7">
        <v>11641.15</v>
      </c>
      <c r="E894" s="7">
        <v>11691.5</v>
      </c>
      <c r="F894" s="7">
        <v>365525622</v>
      </c>
      <c r="G894" s="42">
        <v>16120.69</v>
      </c>
    </row>
    <row r="895" spans="1:7" ht="14.25" customHeight="1">
      <c r="A895" s="41">
        <v>43635</v>
      </c>
      <c r="B895" s="7">
        <v>11744.45</v>
      </c>
      <c r="C895" s="7">
        <v>11802.5</v>
      </c>
      <c r="D895" s="7">
        <v>11625.1</v>
      </c>
      <c r="E895" s="7">
        <v>11691.45</v>
      </c>
      <c r="F895" s="7">
        <v>446933027</v>
      </c>
      <c r="G895" s="42">
        <v>18722.71</v>
      </c>
    </row>
    <row r="896" spans="1:7" ht="14.25" customHeight="1">
      <c r="A896" s="41">
        <v>43636</v>
      </c>
      <c r="B896" s="7">
        <v>11653.65</v>
      </c>
      <c r="C896" s="7">
        <v>11843.5</v>
      </c>
      <c r="D896" s="7">
        <v>11635.05</v>
      </c>
      <c r="E896" s="7">
        <v>11831.75</v>
      </c>
      <c r="F896" s="7">
        <v>442016954</v>
      </c>
      <c r="G896" s="42">
        <v>18839.11</v>
      </c>
    </row>
    <row r="897" spans="1:7" ht="14.25" customHeight="1">
      <c r="A897" s="41">
        <v>43637</v>
      </c>
      <c r="B897" s="7">
        <v>11827.6</v>
      </c>
      <c r="C897" s="7">
        <v>11827.95</v>
      </c>
      <c r="D897" s="7">
        <v>11705.1</v>
      </c>
      <c r="E897" s="7">
        <v>11724.1</v>
      </c>
      <c r="F897" s="7">
        <v>468430388</v>
      </c>
      <c r="G897" s="42">
        <v>23346.13</v>
      </c>
    </row>
    <row r="898" spans="1:7" ht="14.25" customHeight="1">
      <c r="A898" s="41">
        <v>43640</v>
      </c>
      <c r="B898" s="7">
        <v>11725.8</v>
      </c>
      <c r="C898" s="7">
        <v>11754</v>
      </c>
      <c r="D898" s="7">
        <v>11670.2</v>
      </c>
      <c r="E898" s="7">
        <v>11699.65</v>
      </c>
      <c r="F898" s="7">
        <v>277620788</v>
      </c>
      <c r="G898" s="42">
        <v>12631.38</v>
      </c>
    </row>
    <row r="899" spans="1:7" ht="14.25" customHeight="1">
      <c r="A899" s="41">
        <v>43641</v>
      </c>
      <c r="B899" s="7">
        <v>11681</v>
      </c>
      <c r="C899" s="7">
        <v>11814.4</v>
      </c>
      <c r="D899" s="7">
        <v>11651</v>
      </c>
      <c r="E899" s="7">
        <v>11796.45</v>
      </c>
      <c r="F899" s="7">
        <v>300476353</v>
      </c>
      <c r="G899" s="42">
        <v>13822.83</v>
      </c>
    </row>
    <row r="900" spans="1:7" ht="14.25" customHeight="1">
      <c r="A900" s="41">
        <v>43642</v>
      </c>
      <c r="B900" s="7">
        <v>11768.15</v>
      </c>
      <c r="C900" s="7">
        <v>11871.85</v>
      </c>
      <c r="D900" s="7">
        <v>11757.55</v>
      </c>
      <c r="E900" s="7">
        <v>11847.55</v>
      </c>
      <c r="F900" s="7">
        <v>327885018</v>
      </c>
      <c r="G900" s="42">
        <v>14650.89</v>
      </c>
    </row>
    <row r="901" spans="1:7" ht="14.25" customHeight="1">
      <c r="A901" s="41">
        <v>43643</v>
      </c>
      <c r="B901" s="7">
        <v>11860.85</v>
      </c>
      <c r="C901" s="7">
        <v>11911.15</v>
      </c>
      <c r="D901" s="7">
        <v>11821.05</v>
      </c>
      <c r="E901" s="7">
        <v>11841.55</v>
      </c>
      <c r="F901" s="7">
        <v>480169350</v>
      </c>
      <c r="G901" s="42">
        <v>23300.3</v>
      </c>
    </row>
    <row r="902" spans="1:7" ht="14.25" customHeight="1">
      <c r="A902" s="41">
        <v>43644</v>
      </c>
      <c r="B902" s="7">
        <v>11861.15</v>
      </c>
      <c r="C902" s="7">
        <v>11871.7</v>
      </c>
      <c r="D902" s="7">
        <v>11775.5</v>
      </c>
      <c r="E902" s="7">
        <v>11788.85</v>
      </c>
      <c r="F902" s="7">
        <v>303888701</v>
      </c>
      <c r="G902" s="42">
        <v>15191.9</v>
      </c>
    </row>
    <row r="903" spans="1:7" ht="14.25" customHeight="1">
      <c r="A903" s="41">
        <v>43647</v>
      </c>
      <c r="B903" s="7">
        <v>11839.9</v>
      </c>
      <c r="C903" s="7">
        <v>11884.65</v>
      </c>
      <c r="D903" s="7">
        <v>11830.8</v>
      </c>
      <c r="E903" s="7">
        <v>11865.6</v>
      </c>
      <c r="F903" s="7">
        <v>278415889</v>
      </c>
      <c r="G903" s="42">
        <v>12874.96</v>
      </c>
    </row>
    <row r="904" spans="1:7" ht="14.25" customHeight="1">
      <c r="A904" s="41">
        <v>43648</v>
      </c>
      <c r="B904" s="7">
        <v>11890.3</v>
      </c>
      <c r="C904" s="7">
        <v>11917.45</v>
      </c>
      <c r="D904" s="7">
        <v>11814.7</v>
      </c>
      <c r="E904" s="7">
        <v>11910.3</v>
      </c>
      <c r="F904" s="7">
        <v>363197036</v>
      </c>
      <c r="G904" s="42">
        <v>13615.94</v>
      </c>
    </row>
    <row r="905" spans="1:7" ht="14.25" customHeight="1">
      <c r="A905" s="41">
        <v>43649</v>
      </c>
      <c r="B905" s="7">
        <v>11932.15</v>
      </c>
      <c r="C905" s="7">
        <v>11945.2</v>
      </c>
      <c r="D905" s="7">
        <v>11887.05</v>
      </c>
      <c r="E905" s="7">
        <v>11916.75</v>
      </c>
      <c r="F905" s="7">
        <v>340527508</v>
      </c>
      <c r="G905" s="42">
        <v>14290.33</v>
      </c>
    </row>
    <row r="906" spans="1:7" ht="14.25" customHeight="1">
      <c r="A906" s="41">
        <v>43650</v>
      </c>
      <c r="B906" s="7">
        <v>11928.8</v>
      </c>
      <c r="C906" s="7">
        <v>11969.25</v>
      </c>
      <c r="D906" s="7">
        <v>11923.65</v>
      </c>
      <c r="E906" s="7">
        <v>11946.75</v>
      </c>
      <c r="F906" s="7">
        <v>333595172</v>
      </c>
      <c r="G906" s="42">
        <v>14758.87</v>
      </c>
    </row>
    <row r="907" spans="1:7" ht="14.25" customHeight="1">
      <c r="A907" s="41">
        <v>43651</v>
      </c>
      <c r="B907" s="7">
        <v>11964.75</v>
      </c>
      <c r="C907" s="7">
        <v>11981.75</v>
      </c>
      <c r="D907" s="7">
        <v>11797.9</v>
      </c>
      <c r="E907" s="7">
        <v>11811.15</v>
      </c>
      <c r="F907" s="7">
        <v>530720039</v>
      </c>
      <c r="G907" s="42">
        <v>18871.990000000002</v>
      </c>
    </row>
    <row r="908" spans="1:7" ht="14.25" customHeight="1">
      <c r="A908" s="41">
        <v>43654</v>
      </c>
      <c r="B908" s="7">
        <v>11770.4</v>
      </c>
      <c r="C908" s="7">
        <v>11771.9</v>
      </c>
      <c r="D908" s="7">
        <v>11523.3</v>
      </c>
      <c r="E908" s="7">
        <v>11558.6</v>
      </c>
      <c r="F908" s="7">
        <v>464029444</v>
      </c>
      <c r="G908" s="42">
        <v>19146.25</v>
      </c>
    </row>
    <row r="909" spans="1:7" ht="14.25" customHeight="1">
      <c r="A909" s="41">
        <v>43655</v>
      </c>
      <c r="B909" s="7">
        <v>11531.6</v>
      </c>
      <c r="C909" s="7">
        <v>11582.55</v>
      </c>
      <c r="D909" s="7">
        <v>11461</v>
      </c>
      <c r="E909" s="7">
        <v>11555.9</v>
      </c>
      <c r="F909" s="7">
        <v>442520253</v>
      </c>
      <c r="G909" s="42">
        <v>21577.95</v>
      </c>
    </row>
    <row r="910" spans="1:7" ht="14.25" customHeight="1">
      <c r="A910" s="41">
        <v>43656</v>
      </c>
      <c r="B910" s="7">
        <v>11536.15</v>
      </c>
      <c r="C910" s="7">
        <v>11593.7</v>
      </c>
      <c r="D910" s="7">
        <v>11475.65</v>
      </c>
      <c r="E910" s="7">
        <v>11498.9</v>
      </c>
      <c r="F910" s="7">
        <v>337571014</v>
      </c>
      <c r="G910" s="42">
        <v>16098.53</v>
      </c>
    </row>
    <row r="911" spans="1:7" ht="14.25" customHeight="1">
      <c r="A911" s="41">
        <v>43657</v>
      </c>
      <c r="B911" s="7">
        <v>11561.45</v>
      </c>
      <c r="C911" s="7">
        <v>11599</v>
      </c>
      <c r="D911" s="7">
        <v>11519.5</v>
      </c>
      <c r="E911" s="7">
        <v>11582.9</v>
      </c>
      <c r="F911" s="7">
        <v>317257578</v>
      </c>
      <c r="G911" s="42">
        <v>14586.2</v>
      </c>
    </row>
    <row r="912" spans="1:7" ht="14.25" customHeight="1">
      <c r="A912" s="41">
        <v>43658</v>
      </c>
      <c r="B912" s="7">
        <v>11601.15</v>
      </c>
      <c r="C912" s="7">
        <v>11639.55</v>
      </c>
      <c r="D912" s="7">
        <v>11538.6</v>
      </c>
      <c r="E912" s="7">
        <v>11552.5</v>
      </c>
      <c r="F912" s="7">
        <v>359421182</v>
      </c>
      <c r="G912" s="42">
        <v>16947.57</v>
      </c>
    </row>
    <row r="913" spans="1:7" ht="14.25" customHeight="1">
      <c r="A913" s="41">
        <v>43661</v>
      </c>
      <c r="B913" s="7">
        <v>11614.75</v>
      </c>
      <c r="C913" s="7">
        <v>11618.4</v>
      </c>
      <c r="D913" s="7">
        <v>11532.3</v>
      </c>
      <c r="E913" s="7">
        <v>11588.35</v>
      </c>
      <c r="F913" s="7">
        <v>368788782</v>
      </c>
      <c r="G913" s="42">
        <v>15835.99</v>
      </c>
    </row>
    <row r="914" spans="1:7" ht="14.25" customHeight="1">
      <c r="A914" s="41">
        <v>43662</v>
      </c>
      <c r="B914" s="7">
        <v>11596.65</v>
      </c>
      <c r="C914" s="7">
        <v>11670.05</v>
      </c>
      <c r="D914" s="7">
        <v>11573.95</v>
      </c>
      <c r="E914" s="7">
        <v>11662.6</v>
      </c>
      <c r="F914" s="7">
        <v>480156167</v>
      </c>
      <c r="G914" s="42">
        <v>15967.91</v>
      </c>
    </row>
    <row r="915" spans="1:7" ht="14.25" customHeight="1">
      <c r="A915" s="41">
        <v>43663</v>
      </c>
      <c r="B915" s="7">
        <v>11670.75</v>
      </c>
      <c r="C915" s="7">
        <v>11706.65</v>
      </c>
      <c r="D915" s="7">
        <v>11651.15</v>
      </c>
      <c r="E915" s="7">
        <v>11687.5</v>
      </c>
      <c r="F915" s="7">
        <v>464827734</v>
      </c>
      <c r="G915" s="42">
        <v>15250.5</v>
      </c>
    </row>
    <row r="916" spans="1:7" ht="14.25" customHeight="1">
      <c r="A916" s="41">
        <v>43664</v>
      </c>
      <c r="B916" s="7">
        <v>11675.6</v>
      </c>
      <c r="C916" s="7">
        <v>11677.15</v>
      </c>
      <c r="D916" s="7">
        <v>11582.4</v>
      </c>
      <c r="E916" s="7">
        <v>11596.9</v>
      </c>
      <c r="F916" s="7">
        <v>498258158</v>
      </c>
      <c r="G916" s="42">
        <v>16684.03</v>
      </c>
    </row>
    <row r="917" spans="1:7" ht="14.25" customHeight="1">
      <c r="A917" s="41">
        <v>43665</v>
      </c>
      <c r="B917" s="7">
        <v>11627.95</v>
      </c>
      <c r="C917" s="7">
        <v>11640.35</v>
      </c>
      <c r="D917" s="7">
        <v>11399.3</v>
      </c>
      <c r="E917" s="7">
        <v>11419.25</v>
      </c>
      <c r="F917" s="7">
        <v>446049198</v>
      </c>
      <c r="G917" s="42">
        <v>17326.400000000001</v>
      </c>
    </row>
    <row r="918" spans="1:7" ht="14.25" customHeight="1">
      <c r="A918" s="41">
        <v>43668</v>
      </c>
      <c r="B918" s="7">
        <v>11392.85</v>
      </c>
      <c r="C918" s="7">
        <v>11398.15</v>
      </c>
      <c r="D918" s="7">
        <v>11301.25</v>
      </c>
      <c r="E918" s="7">
        <v>11346.2</v>
      </c>
      <c r="F918" s="7">
        <v>516044335</v>
      </c>
      <c r="G918" s="42">
        <v>19304.23</v>
      </c>
    </row>
    <row r="919" spans="1:7" ht="14.25" customHeight="1">
      <c r="A919" s="41">
        <v>43669</v>
      </c>
      <c r="B919" s="7">
        <v>11372.25</v>
      </c>
      <c r="C919" s="7">
        <v>11398.15</v>
      </c>
      <c r="D919" s="7">
        <v>11302.8</v>
      </c>
      <c r="E919" s="7">
        <v>11331.05</v>
      </c>
      <c r="F919" s="7">
        <v>458931191</v>
      </c>
      <c r="G919" s="42">
        <v>19199.32</v>
      </c>
    </row>
    <row r="920" spans="1:7" ht="14.25" customHeight="1">
      <c r="A920" s="41">
        <v>43670</v>
      </c>
      <c r="B920" s="7">
        <v>11322.45</v>
      </c>
      <c r="C920" s="7">
        <v>11359.75</v>
      </c>
      <c r="D920" s="7">
        <v>11229.8</v>
      </c>
      <c r="E920" s="7">
        <v>11271.3</v>
      </c>
      <c r="F920" s="7">
        <v>413202832</v>
      </c>
      <c r="G920" s="42">
        <v>18353.13</v>
      </c>
    </row>
    <row r="921" spans="1:7" ht="14.25" customHeight="1">
      <c r="A921" s="41">
        <v>43671</v>
      </c>
      <c r="B921" s="7">
        <v>11290.4</v>
      </c>
      <c r="C921" s="7">
        <v>11361.4</v>
      </c>
      <c r="D921" s="7">
        <v>11239.35</v>
      </c>
      <c r="E921" s="7">
        <v>11252.15</v>
      </c>
      <c r="F921" s="7">
        <v>553676897</v>
      </c>
      <c r="G921" s="42">
        <v>24329.21</v>
      </c>
    </row>
    <row r="922" spans="1:7" ht="14.25" customHeight="1">
      <c r="A922" s="41">
        <v>43672</v>
      </c>
      <c r="B922" s="7">
        <v>11247.45</v>
      </c>
      <c r="C922" s="7">
        <v>11307.6</v>
      </c>
      <c r="D922" s="7">
        <v>11210.05</v>
      </c>
      <c r="E922" s="7">
        <v>11284.3</v>
      </c>
      <c r="F922" s="7">
        <v>522670420</v>
      </c>
      <c r="G922" s="42">
        <v>20350.38</v>
      </c>
    </row>
    <row r="923" spans="1:7" ht="14.25" customHeight="1">
      <c r="A923" s="41">
        <v>43675</v>
      </c>
      <c r="B923" s="7">
        <v>11307.5</v>
      </c>
      <c r="C923" s="7">
        <v>11310.95</v>
      </c>
      <c r="D923" s="7">
        <v>11152.4</v>
      </c>
      <c r="E923" s="7">
        <v>11189.2</v>
      </c>
      <c r="F923" s="7">
        <v>482862376</v>
      </c>
      <c r="G923" s="42">
        <v>18705.919999999998</v>
      </c>
    </row>
    <row r="924" spans="1:7" ht="14.25" customHeight="1">
      <c r="A924" s="41">
        <v>43676</v>
      </c>
      <c r="B924" s="7">
        <v>11213.7</v>
      </c>
      <c r="C924" s="7">
        <v>11267.45</v>
      </c>
      <c r="D924" s="7">
        <v>11072.65</v>
      </c>
      <c r="E924" s="7">
        <v>11085.4</v>
      </c>
      <c r="F924" s="7">
        <v>479059399</v>
      </c>
      <c r="G924" s="42">
        <v>20545.71</v>
      </c>
    </row>
    <row r="925" spans="1:7" ht="14.25" customHeight="1">
      <c r="A925" s="41">
        <v>43677</v>
      </c>
      <c r="B925" s="7">
        <v>11034.05</v>
      </c>
      <c r="C925" s="7">
        <v>11145.3</v>
      </c>
      <c r="D925" s="7">
        <v>10999.4</v>
      </c>
      <c r="E925" s="7">
        <v>11118</v>
      </c>
      <c r="F925" s="7">
        <v>536694278</v>
      </c>
      <c r="G925" s="42">
        <v>23681.22</v>
      </c>
    </row>
    <row r="926" spans="1:7" ht="14.25" customHeight="1">
      <c r="A926" s="41">
        <v>43678</v>
      </c>
      <c r="B926" s="7">
        <v>11060.2</v>
      </c>
      <c r="C926" s="7">
        <v>11076.75</v>
      </c>
      <c r="D926" s="7">
        <v>10881</v>
      </c>
      <c r="E926" s="7">
        <v>10980</v>
      </c>
      <c r="F926" s="7">
        <v>499918953</v>
      </c>
      <c r="G926" s="42">
        <v>21048.32</v>
      </c>
    </row>
    <row r="927" spans="1:7" ht="14.25" customHeight="1">
      <c r="A927" s="41">
        <v>43679</v>
      </c>
      <c r="B927" s="7">
        <v>10930.3</v>
      </c>
      <c r="C927" s="7">
        <v>11080.15</v>
      </c>
      <c r="D927" s="7">
        <v>10848.95</v>
      </c>
      <c r="E927" s="7">
        <v>10997.35</v>
      </c>
      <c r="F927" s="7">
        <v>547416246</v>
      </c>
      <c r="G927" s="42">
        <v>23972.04</v>
      </c>
    </row>
    <row r="928" spans="1:7" ht="14.25" customHeight="1">
      <c r="A928" s="41">
        <v>43682</v>
      </c>
      <c r="B928" s="7">
        <v>10895.8</v>
      </c>
      <c r="C928" s="7">
        <v>10895.8</v>
      </c>
      <c r="D928" s="7">
        <v>10782.6</v>
      </c>
      <c r="E928" s="7">
        <v>10862.6</v>
      </c>
      <c r="F928" s="7">
        <v>506556609</v>
      </c>
      <c r="G928" s="42">
        <v>20824.099999999999</v>
      </c>
    </row>
    <row r="929" spans="1:7" ht="14.25" customHeight="1">
      <c r="A929" s="41">
        <v>43683</v>
      </c>
      <c r="B929" s="7">
        <v>10815.4</v>
      </c>
      <c r="C929" s="7">
        <v>11018.55</v>
      </c>
      <c r="D929" s="7">
        <v>10813.8</v>
      </c>
      <c r="E929" s="7">
        <v>10948.25</v>
      </c>
      <c r="F929" s="7">
        <v>517891491</v>
      </c>
      <c r="G929" s="42">
        <v>21676.400000000001</v>
      </c>
    </row>
    <row r="930" spans="1:7" ht="14.25" customHeight="1">
      <c r="A930" s="41">
        <v>43684</v>
      </c>
      <c r="B930" s="7">
        <v>10958.1</v>
      </c>
      <c r="C930" s="7">
        <v>10975.65</v>
      </c>
      <c r="D930" s="7">
        <v>10835.9</v>
      </c>
      <c r="E930" s="7">
        <v>10855.5</v>
      </c>
      <c r="F930" s="7">
        <v>548465787</v>
      </c>
      <c r="G930" s="42">
        <v>21228.28</v>
      </c>
    </row>
    <row r="931" spans="1:7" ht="14.25" customHeight="1">
      <c r="A931" s="41">
        <v>43685</v>
      </c>
      <c r="B931" s="7">
        <v>10899.2</v>
      </c>
      <c r="C931" s="7">
        <v>11058.05</v>
      </c>
      <c r="D931" s="7">
        <v>10842.95</v>
      </c>
      <c r="E931" s="7">
        <v>11032.45</v>
      </c>
      <c r="F931" s="7">
        <v>482471622</v>
      </c>
      <c r="G931" s="42">
        <v>20667.599999999999</v>
      </c>
    </row>
    <row r="932" spans="1:7" ht="14.25" customHeight="1">
      <c r="A932" s="41">
        <v>43686</v>
      </c>
      <c r="B932" s="7">
        <v>11087.9</v>
      </c>
      <c r="C932" s="7">
        <v>11181.45</v>
      </c>
      <c r="D932" s="7">
        <v>11062.8</v>
      </c>
      <c r="E932" s="7">
        <v>11109.65</v>
      </c>
      <c r="F932" s="7">
        <v>538063563</v>
      </c>
      <c r="G932" s="42">
        <v>21092.05</v>
      </c>
    </row>
    <row r="933" spans="1:7" ht="14.25" customHeight="1">
      <c r="A933" s="41">
        <v>43690</v>
      </c>
      <c r="B933" s="7">
        <v>11139.4</v>
      </c>
      <c r="C933" s="7">
        <v>11145.9</v>
      </c>
      <c r="D933" s="7">
        <v>10901.6</v>
      </c>
      <c r="E933" s="7">
        <v>10925.85</v>
      </c>
      <c r="F933" s="7">
        <v>624634647</v>
      </c>
      <c r="G933" s="42">
        <v>24790.67</v>
      </c>
    </row>
    <row r="934" spans="1:7" ht="14.25" customHeight="1">
      <c r="A934" s="41">
        <v>43691</v>
      </c>
      <c r="B934" s="7">
        <v>11003.25</v>
      </c>
      <c r="C934" s="7">
        <v>11078.15</v>
      </c>
      <c r="D934" s="7">
        <v>10935.6</v>
      </c>
      <c r="E934" s="7">
        <v>11029.4</v>
      </c>
      <c r="F934" s="7">
        <v>511541716</v>
      </c>
      <c r="G934" s="42">
        <v>19712.810000000001</v>
      </c>
    </row>
    <row r="935" spans="1:7" ht="14.25" customHeight="1">
      <c r="A935" s="41">
        <v>43693</v>
      </c>
      <c r="B935" s="7">
        <v>11043.65</v>
      </c>
      <c r="C935" s="7">
        <v>11068.65</v>
      </c>
      <c r="D935" s="7">
        <v>10924.3</v>
      </c>
      <c r="E935" s="7">
        <v>11047.8</v>
      </c>
      <c r="F935" s="7">
        <v>470909918</v>
      </c>
      <c r="G935" s="42">
        <v>19281.91</v>
      </c>
    </row>
    <row r="936" spans="1:7" ht="14.25" customHeight="1">
      <c r="A936" s="41">
        <v>43696</v>
      </c>
      <c r="B936" s="7">
        <v>11094.8</v>
      </c>
      <c r="C936" s="7">
        <v>11146.9</v>
      </c>
      <c r="D936" s="7">
        <v>11037.85</v>
      </c>
      <c r="E936" s="7">
        <v>11053.9</v>
      </c>
      <c r="F936" s="7">
        <v>369493161</v>
      </c>
      <c r="G936" s="42">
        <v>14120.35</v>
      </c>
    </row>
    <row r="937" spans="1:7" ht="14.25" customHeight="1">
      <c r="A937" s="41">
        <v>43697</v>
      </c>
      <c r="B937" s="7">
        <v>11063.9</v>
      </c>
      <c r="C937" s="7">
        <v>11076.3</v>
      </c>
      <c r="D937" s="7">
        <v>10985.3</v>
      </c>
      <c r="E937" s="7">
        <v>11017</v>
      </c>
      <c r="F937" s="7">
        <v>444715679</v>
      </c>
      <c r="G937" s="42">
        <v>16915.96</v>
      </c>
    </row>
    <row r="938" spans="1:7" ht="14.25" customHeight="1">
      <c r="A938" s="41">
        <v>43698</v>
      </c>
      <c r="B938" s="7">
        <v>11018.15</v>
      </c>
      <c r="C938" s="7">
        <v>11034.2</v>
      </c>
      <c r="D938" s="7">
        <v>10906.65</v>
      </c>
      <c r="E938" s="7">
        <v>10918.7</v>
      </c>
      <c r="F938" s="7">
        <v>557867906</v>
      </c>
      <c r="G938" s="42">
        <v>16747.990000000002</v>
      </c>
    </row>
    <row r="939" spans="1:7" ht="14.25" customHeight="1">
      <c r="A939" s="41">
        <v>43699</v>
      </c>
      <c r="B939" s="7">
        <v>10905.3</v>
      </c>
      <c r="C939" s="7">
        <v>10908.25</v>
      </c>
      <c r="D939" s="7">
        <v>10718.3</v>
      </c>
      <c r="E939" s="7">
        <v>10741.35</v>
      </c>
      <c r="F939" s="7">
        <v>668193449</v>
      </c>
      <c r="G939" s="42">
        <v>18764.38</v>
      </c>
    </row>
    <row r="940" spans="1:7" ht="14.25" customHeight="1">
      <c r="A940" s="41">
        <v>43700</v>
      </c>
      <c r="B940" s="7">
        <v>10699.6</v>
      </c>
      <c r="C940" s="7">
        <v>10862.55</v>
      </c>
      <c r="D940" s="7">
        <v>10637.15</v>
      </c>
      <c r="E940" s="7">
        <v>10829.35</v>
      </c>
      <c r="F940" s="7">
        <v>667079625</v>
      </c>
      <c r="G940" s="42">
        <v>20983.75</v>
      </c>
    </row>
    <row r="941" spans="1:7" ht="14.25" customHeight="1">
      <c r="A941" s="41">
        <v>43703</v>
      </c>
      <c r="B941" s="7">
        <v>11000.3</v>
      </c>
      <c r="C941" s="7">
        <v>11070.3</v>
      </c>
      <c r="D941" s="7">
        <v>10756.55</v>
      </c>
      <c r="E941" s="7">
        <v>11057.85</v>
      </c>
      <c r="F941" s="7">
        <v>684141923</v>
      </c>
      <c r="G941" s="42">
        <v>22375.99</v>
      </c>
    </row>
    <row r="942" spans="1:7" ht="14.25" customHeight="1">
      <c r="A942" s="41">
        <v>43704</v>
      </c>
      <c r="B942" s="7">
        <v>11106.55</v>
      </c>
      <c r="C942" s="7">
        <v>11141.75</v>
      </c>
      <c r="D942" s="7">
        <v>11049.5</v>
      </c>
      <c r="E942" s="7">
        <v>11105.35</v>
      </c>
      <c r="F942" s="7">
        <v>685551267</v>
      </c>
      <c r="G942" s="42">
        <v>27413.16</v>
      </c>
    </row>
    <row r="943" spans="1:7" ht="14.25" customHeight="1">
      <c r="A943" s="41">
        <v>43705</v>
      </c>
      <c r="B943" s="7">
        <v>11101.3</v>
      </c>
      <c r="C943" s="7">
        <v>11129.65</v>
      </c>
      <c r="D943" s="7">
        <v>10987.65</v>
      </c>
      <c r="E943" s="7">
        <v>11046.1</v>
      </c>
      <c r="F943" s="7">
        <v>549954696</v>
      </c>
      <c r="G943" s="42">
        <v>16739.43</v>
      </c>
    </row>
    <row r="944" spans="1:7" ht="14.25" customHeight="1">
      <c r="A944" s="41">
        <v>43706</v>
      </c>
      <c r="B944" s="7">
        <v>10996.05</v>
      </c>
      <c r="C944" s="7">
        <v>11021.1</v>
      </c>
      <c r="D944" s="7">
        <v>10922.4</v>
      </c>
      <c r="E944" s="7">
        <v>10948.3</v>
      </c>
      <c r="F944" s="7">
        <v>649876160</v>
      </c>
      <c r="G944" s="42">
        <v>20127.77</v>
      </c>
    </row>
    <row r="945" spans="1:7" ht="14.25" customHeight="1">
      <c r="A945" s="41">
        <v>43707</v>
      </c>
      <c r="B945" s="7">
        <v>10987.8</v>
      </c>
      <c r="C945" s="7">
        <v>11042.6</v>
      </c>
      <c r="D945" s="7">
        <v>10874.8</v>
      </c>
      <c r="E945" s="7">
        <v>11023.25</v>
      </c>
      <c r="F945" s="7">
        <v>628154431</v>
      </c>
      <c r="G945" s="42">
        <v>21057.31</v>
      </c>
    </row>
    <row r="946" spans="1:7" ht="14.25" customHeight="1">
      <c r="A946" s="41">
        <v>43711</v>
      </c>
      <c r="B946" s="7">
        <v>10960.95</v>
      </c>
      <c r="C946" s="7">
        <v>10967.5</v>
      </c>
      <c r="D946" s="7">
        <v>10772.7</v>
      </c>
      <c r="E946" s="7">
        <v>10797.9</v>
      </c>
      <c r="F946" s="7">
        <v>483038985</v>
      </c>
      <c r="G946" s="42">
        <v>16595.599999999999</v>
      </c>
    </row>
    <row r="947" spans="1:7" ht="14.25" customHeight="1">
      <c r="A947" s="41">
        <v>43712</v>
      </c>
      <c r="B947" s="7">
        <v>10790.4</v>
      </c>
      <c r="C947" s="7">
        <v>10858.75</v>
      </c>
      <c r="D947" s="7">
        <v>10746.35</v>
      </c>
      <c r="E947" s="7">
        <v>10844.65</v>
      </c>
      <c r="F947" s="7">
        <v>508784352</v>
      </c>
      <c r="G947" s="42">
        <v>19195.099999999999</v>
      </c>
    </row>
    <row r="948" spans="1:7" ht="14.25" customHeight="1">
      <c r="A948" s="41">
        <v>43713</v>
      </c>
      <c r="B948" s="7">
        <v>10860.95</v>
      </c>
      <c r="C948" s="7">
        <v>10920.1</v>
      </c>
      <c r="D948" s="7">
        <v>10816</v>
      </c>
      <c r="E948" s="7">
        <v>10847.9</v>
      </c>
      <c r="F948" s="7">
        <v>595699267</v>
      </c>
      <c r="G948" s="42">
        <v>18279.88</v>
      </c>
    </row>
    <row r="949" spans="1:7" ht="14.25" customHeight="1">
      <c r="A949" s="41">
        <v>43714</v>
      </c>
      <c r="B949" s="7">
        <v>10883.8</v>
      </c>
      <c r="C949" s="7">
        <v>10957.05</v>
      </c>
      <c r="D949" s="7">
        <v>10867.45</v>
      </c>
      <c r="E949" s="7">
        <v>10946.2</v>
      </c>
      <c r="F949" s="7">
        <v>497214445</v>
      </c>
      <c r="G949" s="42">
        <v>18167.78</v>
      </c>
    </row>
    <row r="950" spans="1:7" ht="14.25" customHeight="1">
      <c r="A950" s="41">
        <v>43717</v>
      </c>
      <c r="B950" s="7">
        <v>10936.7</v>
      </c>
      <c r="C950" s="7">
        <v>11028.85</v>
      </c>
      <c r="D950" s="7">
        <v>10889.8</v>
      </c>
      <c r="E950" s="7">
        <v>11003.05</v>
      </c>
      <c r="F950" s="7">
        <v>412471067</v>
      </c>
      <c r="G950" s="42">
        <v>14762.07</v>
      </c>
    </row>
    <row r="951" spans="1:7" ht="14.25" customHeight="1">
      <c r="A951" s="41">
        <v>43719</v>
      </c>
      <c r="B951" s="7">
        <v>11028.5</v>
      </c>
      <c r="C951" s="7">
        <v>11054.8</v>
      </c>
      <c r="D951" s="7">
        <v>11011.65</v>
      </c>
      <c r="E951" s="7">
        <v>11035.7</v>
      </c>
      <c r="F951" s="7">
        <v>687140326</v>
      </c>
      <c r="G951" s="42">
        <v>19550.59</v>
      </c>
    </row>
    <row r="952" spans="1:7" ht="14.25" customHeight="1">
      <c r="A952" s="41">
        <v>43720</v>
      </c>
      <c r="B952" s="7">
        <v>11058.3</v>
      </c>
      <c r="C952" s="7">
        <v>11081.75</v>
      </c>
      <c r="D952" s="7">
        <v>10964.95</v>
      </c>
      <c r="E952" s="7">
        <v>10982.8</v>
      </c>
      <c r="F952" s="7">
        <v>551436050</v>
      </c>
      <c r="G952" s="42">
        <v>17510.169999999998</v>
      </c>
    </row>
    <row r="953" spans="1:7" ht="14.25" customHeight="1">
      <c r="A953" s="41">
        <v>43721</v>
      </c>
      <c r="B953" s="7">
        <v>10986.8</v>
      </c>
      <c r="C953" s="7">
        <v>11084.45</v>
      </c>
      <c r="D953" s="7">
        <v>10945.75</v>
      </c>
      <c r="E953" s="7">
        <v>11075.9</v>
      </c>
      <c r="F953" s="7">
        <v>624305151</v>
      </c>
      <c r="G953" s="42">
        <v>18012.759999999998</v>
      </c>
    </row>
    <row r="954" spans="1:7" ht="14.25" customHeight="1">
      <c r="A954" s="41">
        <v>43724</v>
      </c>
      <c r="B954" s="7">
        <v>10994.85</v>
      </c>
      <c r="C954" s="7">
        <v>11052.7</v>
      </c>
      <c r="D954" s="7">
        <v>10968.2</v>
      </c>
      <c r="E954" s="7">
        <v>11003.5</v>
      </c>
      <c r="F954" s="7">
        <v>434449776</v>
      </c>
      <c r="G954" s="42">
        <v>15786.17</v>
      </c>
    </row>
    <row r="955" spans="1:7" ht="14.25" customHeight="1">
      <c r="A955" s="41">
        <v>43725</v>
      </c>
      <c r="B955" s="7">
        <v>11000.1</v>
      </c>
      <c r="C955" s="7">
        <v>11000.1</v>
      </c>
      <c r="D955" s="7">
        <v>10796.5</v>
      </c>
      <c r="E955" s="7">
        <v>10817.6</v>
      </c>
      <c r="F955" s="7">
        <v>482013044</v>
      </c>
      <c r="G955" s="42">
        <v>17721.93</v>
      </c>
    </row>
    <row r="956" spans="1:7" ht="14.25" customHeight="1">
      <c r="A956" s="41">
        <v>43726</v>
      </c>
      <c r="B956" s="7">
        <v>10872.8</v>
      </c>
      <c r="C956" s="7">
        <v>10885.15</v>
      </c>
      <c r="D956" s="7">
        <v>10804.85</v>
      </c>
      <c r="E956" s="7">
        <v>10840.65</v>
      </c>
      <c r="F956" s="7">
        <v>519155072</v>
      </c>
      <c r="G956" s="42">
        <v>16784.43</v>
      </c>
    </row>
    <row r="957" spans="1:7" ht="14.25" customHeight="1">
      <c r="A957" s="41">
        <v>43727</v>
      </c>
      <c r="B957" s="7">
        <v>10845.2</v>
      </c>
      <c r="C957" s="7">
        <v>10845.2</v>
      </c>
      <c r="D957" s="7">
        <v>10670.25</v>
      </c>
      <c r="E957" s="7">
        <v>10704.8</v>
      </c>
      <c r="F957" s="7">
        <v>642599183</v>
      </c>
      <c r="G957" s="42">
        <v>16642.830000000002</v>
      </c>
    </row>
    <row r="958" spans="1:7" ht="14.25" customHeight="1">
      <c r="A958" s="41">
        <v>43728</v>
      </c>
      <c r="B958" s="7">
        <v>10746.8</v>
      </c>
      <c r="C958" s="7">
        <v>11381.9</v>
      </c>
      <c r="D958" s="7">
        <v>10691</v>
      </c>
      <c r="E958" s="7">
        <v>11274.2</v>
      </c>
      <c r="F958" s="7">
        <v>1356767450</v>
      </c>
      <c r="G958" s="42">
        <v>54081.53</v>
      </c>
    </row>
    <row r="959" spans="1:7" ht="14.25" customHeight="1">
      <c r="A959" s="41">
        <v>43731</v>
      </c>
      <c r="B959" s="7">
        <v>11542.7</v>
      </c>
      <c r="C959" s="7">
        <v>11694.85</v>
      </c>
      <c r="D959" s="7">
        <v>11471.35</v>
      </c>
      <c r="E959" s="7">
        <v>11600.2</v>
      </c>
      <c r="F959" s="7">
        <v>882826741</v>
      </c>
      <c r="G959" s="42">
        <v>40005.01</v>
      </c>
    </row>
    <row r="960" spans="1:7" ht="14.25" customHeight="1">
      <c r="A960" s="41">
        <v>43732</v>
      </c>
      <c r="B960" s="7">
        <v>11590.7</v>
      </c>
      <c r="C960" s="7">
        <v>11655.05</v>
      </c>
      <c r="D960" s="7">
        <v>11539.2</v>
      </c>
      <c r="E960" s="7">
        <v>11588.2</v>
      </c>
      <c r="F960" s="7">
        <v>651722255</v>
      </c>
      <c r="G960" s="42">
        <v>26930.07</v>
      </c>
    </row>
    <row r="961" spans="1:7" ht="14.25" customHeight="1">
      <c r="A961" s="41">
        <v>43733</v>
      </c>
      <c r="B961" s="7">
        <v>11564.85</v>
      </c>
      <c r="C961" s="7">
        <v>11564.95</v>
      </c>
      <c r="D961" s="7">
        <v>11416.1</v>
      </c>
      <c r="E961" s="7">
        <v>11440.2</v>
      </c>
      <c r="F961" s="7">
        <v>629054640</v>
      </c>
      <c r="G961" s="42">
        <v>25266.240000000002</v>
      </c>
    </row>
    <row r="962" spans="1:7" ht="14.25" customHeight="1">
      <c r="A962" s="41">
        <v>43734</v>
      </c>
      <c r="B962" s="7">
        <v>11469.85</v>
      </c>
      <c r="C962" s="7">
        <v>11610.85</v>
      </c>
      <c r="D962" s="7">
        <v>11466.35</v>
      </c>
      <c r="E962" s="7">
        <v>11571.2</v>
      </c>
      <c r="F962" s="7">
        <v>844465614</v>
      </c>
      <c r="G962" s="42">
        <v>30707.84</v>
      </c>
    </row>
    <row r="963" spans="1:7" ht="14.25" customHeight="1">
      <c r="A963" s="41">
        <v>43735</v>
      </c>
      <c r="B963" s="7">
        <v>11556.35</v>
      </c>
      <c r="C963" s="7">
        <v>11593.6</v>
      </c>
      <c r="D963" s="7">
        <v>11499.75</v>
      </c>
      <c r="E963" s="7">
        <v>11512.4</v>
      </c>
      <c r="F963" s="7">
        <v>650017280</v>
      </c>
      <c r="G963" s="42">
        <v>19036.939999999999</v>
      </c>
    </row>
    <row r="964" spans="1:7" ht="14.25" customHeight="1">
      <c r="A964" s="41">
        <v>43738</v>
      </c>
      <c r="B964" s="7">
        <v>11491.15</v>
      </c>
      <c r="C964" s="7">
        <v>11508.25</v>
      </c>
      <c r="D964" s="7">
        <v>11390.8</v>
      </c>
      <c r="E964" s="7">
        <v>11474.45</v>
      </c>
      <c r="F964" s="7">
        <v>756848686</v>
      </c>
      <c r="G964" s="42">
        <v>23748.07</v>
      </c>
    </row>
    <row r="965" spans="1:7" ht="14.25" customHeight="1">
      <c r="A965" s="41">
        <v>43739</v>
      </c>
      <c r="B965" s="7">
        <v>11515.4</v>
      </c>
      <c r="C965" s="7">
        <v>11554.2</v>
      </c>
      <c r="D965" s="7">
        <v>11247.9</v>
      </c>
      <c r="E965" s="7">
        <v>11359.9</v>
      </c>
      <c r="F965" s="7">
        <v>1305415159</v>
      </c>
      <c r="G965" s="42">
        <v>28972.720000000001</v>
      </c>
    </row>
    <row r="966" spans="1:7" ht="14.25" customHeight="1">
      <c r="A966" s="41">
        <v>43741</v>
      </c>
      <c r="B966" s="7">
        <v>11322.25</v>
      </c>
      <c r="C966" s="7">
        <v>11370.4</v>
      </c>
      <c r="D966" s="7">
        <v>11257.35</v>
      </c>
      <c r="E966" s="7">
        <v>11314</v>
      </c>
      <c r="F966" s="7">
        <v>1017479514</v>
      </c>
      <c r="G966" s="42">
        <v>21658.38</v>
      </c>
    </row>
    <row r="967" spans="1:7" ht="14.25" customHeight="1">
      <c r="A967" s="41">
        <v>43742</v>
      </c>
      <c r="B967" s="7">
        <v>11388.45</v>
      </c>
      <c r="C967" s="7">
        <v>11400.3</v>
      </c>
      <c r="D967" s="7">
        <v>11158.35</v>
      </c>
      <c r="E967" s="7">
        <v>11174.75</v>
      </c>
      <c r="F967" s="7">
        <v>928524450</v>
      </c>
      <c r="G967" s="42">
        <v>22470.76</v>
      </c>
    </row>
    <row r="968" spans="1:7" ht="14.25" customHeight="1">
      <c r="A968" s="41">
        <v>43745</v>
      </c>
      <c r="B968" s="7">
        <v>11196.2</v>
      </c>
      <c r="C968" s="7">
        <v>11233.85</v>
      </c>
      <c r="D968" s="7">
        <v>11112.65</v>
      </c>
      <c r="E968" s="7">
        <v>11126.4</v>
      </c>
      <c r="F968" s="7">
        <v>733198763</v>
      </c>
      <c r="G968" s="42">
        <v>18641.37</v>
      </c>
    </row>
    <row r="969" spans="1:7" ht="14.25" customHeight="1">
      <c r="A969" s="41">
        <v>43747</v>
      </c>
      <c r="B969" s="7">
        <v>11152.95</v>
      </c>
      <c r="C969" s="7">
        <v>11321.6</v>
      </c>
      <c r="D969" s="7">
        <v>11090.15</v>
      </c>
      <c r="E969" s="7">
        <v>11313.3</v>
      </c>
      <c r="F969" s="7">
        <v>741148639</v>
      </c>
      <c r="G969" s="42">
        <v>20961.54</v>
      </c>
    </row>
    <row r="970" spans="1:7" ht="14.25" customHeight="1">
      <c r="A970" s="41">
        <v>43748</v>
      </c>
      <c r="B970" s="7">
        <v>11280.5</v>
      </c>
      <c r="C970" s="7">
        <v>11293.35</v>
      </c>
      <c r="D970" s="7">
        <v>11208.55</v>
      </c>
      <c r="E970" s="7">
        <v>11234.55</v>
      </c>
      <c r="F970" s="7">
        <v>562017945</v>
      </c>
      <c r="G970" s="42">
        <v>19234.310000000001</v>
      </c>
    </row>
    <row r="971" spans="1:7" ht="14.25" customHeight="1">
      <c r="A971" s="41">
        <v>43749</v>
      </c>
      <c r="B971" s="7">
        <v>11257.7</v>
      </c>
      <c r="C971" s="7">
        <v>11362.9</v>
      </c>
      <c r="D971" s="7">
        <v>11189.4</v>
      </c>
      <c r="E971" s="7">
        <v>11305.05</v>
      </c>
      <c r="F971" s="7">
        <v>737795150</v>
      </c>
      <c r="G971" s="42">
        <v>22511.39</v>
      </c>
    </row>
    <row r="972" spans="1:7" ht="14.25" customHeight="1">
      <c r="A972" s="41">
        <v>43752</v>
      </c>
      <c r="B972" s="7">
        <v>11335.9</v>
      </c>
      <c r="C972" s="7">
        <v>11420.45</v>
      </c>
      <c r="D972" s="7">
        <v>11290.05</v>
      </c>
      <c r="E972" s="7">
        <v>11341.15</v>
      </c>
      <c r="F972" s="7">
        <v>587579191</v>
      </c>
      <c r="G972" s="42">
        <v>17499.48</v>
      </c>
    </row>
    <row r="973" spans="1:7" ht="14.25" customHeight="1">
      <c r="A973" s="41">
        <v>43753</v>
      </c>
      <c r="B973" s="7">
        <v>11360.85</v>
      </c>
      <c r="C973" s="7">
        <v>11462.35</v>
      </c>
      <c r="D973" s="7">
        <v>11342.1</v>
      </c>
      <c r="E973" s="7">
        <v>11428.3</v>
      </c>
      <c r="F973" s="7">
        <v>527396180</v>
      </c>
      <c r="G973" s="42">
        <v>17041.55</v>
      </c>
    </row>
    <row r="974" spans="1:7" ht="14.25" customHeight="1">
      <c r="A974" s="41">
        <v>43754</v>
      </c>
      <c r="B974" s="7">
        <v>11464.95</v>
      </c>
      <c r="C974" s="7">
        <v>11481.05</v>
      </c>
      <c r="D974" s="7">
        <v>11411.1</v>
      </c>
      <c r="E974" s="7">
        <v>11464</v>
      </c>
      <c r="F974" s="7">
        <v>533468525</v>
      </c>
      <c r="G974" s="42">
        <v>18266.060000000001</v>
      </c>
    </row>
    <row r="975" spans="1:7" ht="14.25" customHeight="1">
      <c r="A975" s="41">
        <v>43755</v>
      </c>
      <c r="B975" s="7">
        <v>11466.3</v>
      </c>
      <c r="C975" s="7">
        <v>11599.1</v>
      </c>
      <c r="D975" s="7">
        <v>11439.65</v>
      </c>
      <c r="E975" s="7">
        <v>11586.35</v>
      </c>
      <c r="F975" s="7">
        <v>797572398</v>
      </c>
      <c r="G975" s="42">
        <v>20839.2</v>
      </c>
    </row>
    <row r="976" spans="1:7" ht="14.25" customHeight="1">
      <c r="A976" s="41">
        <v>43756</v>
      </c>
      <c r="B976" s="7">
        <v>11580.3</v>
      </c>
      <c r="C976" s="7">
        <v>11684.7</v>
      </c>
      <c r="D976" s="7">
        <v>11553.15</v>
      </c>
      <c r="E976" s="7">
        <v>11661.85</v>
      </c>
      <c r="F976" s="7">
        <v>853440208</v>
      </c>
      <c r="G976" s="42">
        <v>22315.99</v>
      </c>
    </row>
    <row r="977" spans="1:7" ht="14.25" customHeight="1">
      <c r="A977" s="41">
        <v>43760</v>
      </c>
      <c r="B977" s="7">
        <v>11657.15</v>
      </c>
      <c r="C977" s="7">
        <v>11714.35</v>
      </c>
      <c r="D977" s="7">
        <v>11573.65</v>
      </c>
      <c r="E977" s="7">
        <v>11588.35</v>
      </c>
      <c r="F977" s="7">
        <v>867601307</v>
      </c>
      <c r="G977" s="42">
        <v>29726.27</v>
      </c>
    </row>
    <row r="978" spans="1:7" ht="14.25" customHeight="1">
      <c r="A978" s="41">
        <v>43761</v>
      </c>
      <c r="B978" s="7">
        <v>11596.2</v>
      </c>
      <c r="C978" s="7">
        <v>11651.6</v>
      </c>
      <c r="D978" s="7">
        <v>11554.4</v>
      </c>
      <c r="E978" s="7">
        <v>11604.1</v>
      </c>
      <c r="F978" s="7">
        <v>664159887</v>
      </c>
      <c r="G978" s="42">
        <v>23397.69</v>
      </c>
    </row>
    <row r="979" spans="1:7" ht="14.25" customHeight="1">
      <c r="A979" s="41">
        <v>43762</v>
      </c>
      <c r="B979" s="7">
        <v>11661.65</v>
      </c>
      <c r="C979" s="7">
        <v>11679.6</v>
      </c>
      <c r="D979" s="7">
        <v>11534.65</v>
      </c>
      <c r="E979" s="7">
        <v>11582.6</v>
      </c>
      <c r="F979" s="7">
        <v>700481662</v>
      </c>
      <c r="G979" s="42">
        <v>25177.46</v>
      </c>
    </row>
    <row r="980" spans="1:7" ht="14.25" customHeight="1">
      <c r="A980" s="41">
        <v>43763</v>
      </c>
      <c r="B980" s="7">
        <v>11646.15</v>
      </c>
      <c r="C980" s="7">
        <v>11646.9</v>
      </c>
      <c r="D980" s="7">
        <v>11490.75</v>
      </c>
      <c r="E980" s="7">
        <v>11583.9</v>
      </c>
      <c r="F980" s="7">
        <v>812027840</v>
      </c>
      <c r="G980" s="42">
        <v>23611.51</v>
      </c>
    </row>
    <row r="981" spans="1:7" ht="14.25" customHeight="1">
      <c r="A981" s="41">
        <v>43765</v>
      </c>
      <c r="B981" s="7">
        <v>11662.25</v>
      </c>
      <c r="C981" s="7">
        <v>11672.4</v>
      </c>
      <c r="D981" s="7">
        <v>11604.6</v>
      </c>
      <c r="E981" s="7">
        <v>11627.15</v>
      </c>
      <c r="F981" s="7">
        <v>161779004</v>
      </c>
      <c r="G981" s="42">
        <v>3548.21</v>
      </c>
    </row>
    <row r="982" spans="1:7" ht="14.25" customHeight="1">
      <c r="A982" s="41">
        <v>43767</v>
      </c>
      <c r="B982" s="7">
        <v>11643.95</v>
      </c>
      <c r="C982" s="7">
        <v>11809.4</v>
      </c>
      <c r="D982" s="7">
        <v>11627.35</v>
      </c>
      <c r="E982" s="7">
        <v>11786.85</v>
      </c>
      <c r="F982" s="7">
        <v>951722529</v>
      </c>
      <c r="G982" s="42">
        <v>27054.87</v>
      </c>
    </row>
    <row r="983" spans="1:7" ht="14.25" customHeight="1">
      <c r="A983" s="41">
        <v>43768</v>
      </c>
      <c r="B983" s="7">
        <v>11883.9</v>
      </c>
      <c r="C983" s="7">
        <v>11883.95</v>
      </c>
      <c r="D983" s="7">
        <v>11784.45</v>
      </c>
      <c r="E983" s="7">
        <v>11844.1</v>
      </c>
      <c r="F983" s="7">
        <v>725219760</v>
      </c>
      <c r="G983" s="42">
        <v>22672.18</v>
      </c>
    </row>
    <row r="984" spans="1:7" ht="14.25" customHeight="1">
      <c r="A984" s="41">
        <v>43769</v>
      </c>
      <c r="B984" s="7">
        <v>11890.45</v>
      </c>
      <c r="C984" s="7">
        <v>11945</v>
      </c>
      <c r="D984" s="7">
        <v>11855.1</v>
      </c>
      <c r="E984" s="7">
        <v>11877.45</v>
      </c>
      <c r="F984" s="7">
        <v>1414837250</v>
      </c>
      <c r="G984" s="42">
        <v>31304.73</v>
      </c>
    </row>
    <row r="985" spans="1:7" ht="14.25" customHeight="1">
      <c r="A985" s="41">
        <v>43770</v>
      </c>
      <c r="B985" s="7">
        <v>11886.6</v>
      </c>
      <c r="C985" s="7">
        <v>11918.3</v>
      </c>
      <c r="D985" s="7">
        <v>11843.35</v>
      </c>
      <c r="E985" s="7">
        <v>11890.6</v>
      </c>
      <c r="F985" s="7">
        <v>855338495</v>
      </c>
      <c r="G985" s="42">
        <v>24933.55</v>
      </c>
    </row>
    <row r="986" spans="1:7" ht="14.25" customHeight="1">
      <c r="A986" s="41">
        <v>43773</v>
      </c>
      <c r="B986" s="7">
        <v>11928.9</v>
      </c>
      <c r="C986" s="7">
        <v>11989.15</v>
      </c>
      <c r="D986" s="7">
        <v>11905.35</v>
      </c>
      <c r="E986" s="7">
        <v>11941.3</v>
      </c>
      <c r="F986" s="7">
        <v>823050457</v>
      </c>
      <c r="G986" s="42">
        <v>23203.88</v>
      </c>
    </row>
    <row r="987" spans="1:7" ht="14.25" customHeight="1">
      <c r="A987" s="41">
        <v>43774</v>
      </c>
      <c r="B987" s="7">
        <v>11974.6</v>
      </c>
      <c r="C987" s="7">
        <v>11978.95</v>
      </c>
      <c r="D987" s="7">
        <v>11861.9</v>
      </c>
      <c r="E987" s="7">
        <v>11917.2</v>
      </c>
      <c r="F987" s="7">
        <v>631952071</v>
      </c>
      <c r="G987" s="42">
        <v>20995.88</v>
      </c>
    </row>
    <row r="988" spans="1:7" ht="14.25" customHeight="1">
      <c r="A988" s="41">
        <v>43775</v>
      </c>
      <c r="B988" s="7">
        <v>11911.5</v>
      </c>
      <c r="C988" s="7">
        <v>12002.9</v>
      </c>
      <c r="D988" s="7">
        <v>11850.25</v>
      </c>
      <c r="E988" s="7">
        <v>11966.05</v>
      </c>
      <c r="F988" s="7">
        <v>603351290</v>
      </c>
      <c r="G988" s="42">
        <v>23324.97</v>
      </c>
    </row>
    <row r="989" spans="1:7" ht="14.25" customHeight="1">
      <c r="A989" s="41">
        <v>43776</v>
      </c>
      <c r="B989" s="7">
        <v>12021.1</v>
      </c>
      <c r="C989" s="7">
        <v>12021.4</v>
      </c>
      <c r="D989" s="7">
        <v>11946.85</v>
      </c>
      <c r="E989" s="7">
        <v>12012.05</v>
      </c>
      <c r="F989" s="7">
        <v>562963817</v>
      </c>
      <c r="G989" s="42">
        <v>20898.240000000002</v>
      </c>
    </row>
    <row r="990" spans="1:7" ht="14.25" customHeight="1">
      <c r="A990" s="41">
        <v>43777</v>
      </c>
      <c r="B990" s="7">
        <v>11987.15</v>
      </c>
      <c r="C990" s="7">
        <v>12034.15</v>
      </c>
      <c r="D990" s="7">
        <v>11888.75</v>
      </c>
      <c r="E990" s="7">
        <v>11908.15</v>
      </c>
      <c r="F990" s="7">
        <v>789254360</v>
      </c>
      <c r="G990" s="42">
        <v>22931.52</v>
      </c>
    </row>
    <row r="991" spans="1:7" ht="14.25" customHeight="1">
      <c r="A991" s="41">
        <v>43780</v>
      </c>
      <c r="B991" s="7">
        <v>11879.2</v>
      </c>
      <c r="C991" s="7">
        <v>11932.65</v>
      </c>
      <c r="D991" s="7">
        <v>11853.95</v>
      </c>
      <c r="E991" s="7">
        <v>11913.45</v>
      </c>
      <c r="F991" s="7">
        <v>548979515</v>
      </c>
      <c r="G991" s="42">
        <v>16548.47</v>
      </c>
    </row>
    <row r="992" spans="1:7" ht="14.25" customHeight="1">
      <c r="A992" s="41">
        <v>43782</v>
      </c>
      <c r="B992" s="7">
        <v>11908.3</v>
      </c>
      <c r="C992" s="7">
        <v>11946.8</v>
      </c>
      <c r="D992" s="7">
        <v>11823.2</v>
      </c>
      <c r="E992" s="7">
        <v>11840.45</v>
      </c>
      <c r="F992" s="7">
        <v>659035969</v>
      </c>
      <c r="G992" s="42">
        <v>20401.5</v>
      </c>
    </row>
    <row r="993" spans="1:7" ht="14.25" customHeight="1">
      <c r="A993" s="41">
        <v>43783</v>
      </c>
      <c r="B993" s="7">
        <v>11858.75</v>
      </c>
      <c r="C993" s="7">
        <v>11895.65</v>
      </c>
      <c r="D993" s="7">
        <v>11802.65</v>
      </c>
      <c r="E993" s="7">
        <v>11872.1</v>
      </c>
      <c r="F993" s="7">
        <v>559494025</v>
      </c>
      <c r="G993" s="42">
        <v>19114.86</v>
      </c>
    </row>
    <row r="994" spans="1:7" ht="14.25" customHeight="1">
      <c r="A994" s="41">
        <v>43784</v>
      </c>
      <c r="B994" s="7">
        <v>11904.2</v>
      </c>
      <c r="C994" s="7">
        <v>11973.65</v>
      </c>
      <c r="D994" s="7">
        <v>11879.25</v>
      </c>
      <c r="E994" s="7">
        <v>11895.45</v>
      </c>
      <c r="F994" s="7">
        <v>580154179</v>
      </c>
      <c r="G994" s="42">
        <v>22350.63</v>
      </c>
    </row>
    <row r="995" spans="1:7" ht="14.25" customHeight="1">
      <c r="A995" s="41">
        <v>43787</v>
      </c>
      <c r="B995" s="7">
        <v>11915.15</v>
      </c>
      <c r="C995" s="7">
        <v>11946.2</v>
      </c>
      <c r="D995" s="7">
        <v>11867.6</v>
      </c>
      <c r="E995" s="7">
        <v>11884.5</v>
      </c>
      <c r="F995" s="7">
        <v>514352437</v>
      </c>
      <c r="G995" s="42">
        <v>17991.41</v>
      </c>
    </row>
    <row r="996" spans="1:7" ht="14.25" customHeight="1">
      <c r="A996" s="41">
        <v>43788</v>
      </c>
      <c r="B996" s="7">
        <v>11919.45</v>
      </c>
      <c r="C996" s="7">
        <v>11958.85</v>
      </c>
      <c r="D996" s="7">
        <v>11881.75</v>
      </c>
      <c r="E996" s="7">
        <v>11940.1</v>
      </c>
      <c r="F996" s="7">
        <v>613909679</v>
      </c>
      <c r="G996" s="42">
        <v>21574.84</v>
      </c>
    </row>
    <row r="997" spans="1:7" ht="14.25" customHeight="1">
      <c r="A997" s="41">
        <v>43789</v>
      </c>
      <c r="B997" s="7">
        <v>12004.75</v>
      </c>
      <c r="C997" s="7">
        <v>12038.6</v>
      </c>
      <c r="D997" s="7">
        <v>11966.05</v>
      </c>
      <c r="E997" s="7">
        <v>11999.1</v>
      </c>
      <c r="F997" s="7">
        <v>646661147</v>
      </c>
      <c r="G997" s="42">
        <v>24341.14</v>
      </c>
    </row>
    <row r="998" spans="1:7" ht="14.25" customHeight="1">
      <c r="A998" s="41">
        <v>43790</v>
      </c>
      <c r="B998" s="7">
        <v>12025.65</v>
      </c>
      <c r="C998" s="7">
        <v>12028.2</v>
      </c>
      <c r="D998" s="7">
        <v>11956.9</v>
      </c>
      <c r="E998" s="7">
        <v>11968.4</v>
      </c>
      <c r="F998" s="7">
        <v>557685781</v>
      </c>
      <c r="G998" s="42">
        <v>21609.99</v>
      </c>
    </row>
    <row r="999" spans="1:7" ht="14.25" customHeight="1">
      <c r="A999" s="41">
        <v>43791</v>
      </c>
      <c r="B999" s="7">
        <v>11967.3</v>
      </c>
      <c r="C999" s="7">
        <v>11968.1</v>
      </c>
      <c r="D999" s="7">
        <v>11883.5</v>
      </c>
      <c r="E999" s="7">
        <v>11914.4</v>
      </c>
      <c r="F999" s="7">
        <v>486815185</v>
      </c>
      <c r="G999" s="42">
        <v>19243.57</v>
      </c>
    </row>
    <row r="1000" spans="1:7" ht="14.25" customHeight="1">
      <c r="A1000" s="41">
        <v>43794</v>
      </c>
      <c r="B1000" s="7">
        <v>11922.45</v>
      </c>
      <c r="C1000" s="7">
        <v>12084.5</v>
      </c>
      <c r="D1000" s="7">
        <v>11919.75</v>
      </c>
      <c r="E1000" s="7">
        <v>12073.75</v>
      </c>
      <c r="F1000" s="7">
        <v>534289467</v>
      </c>
      <c r="G1000" s="42">
        <v>19990.439999999999</v>
      </c>
    </row>
    <row r="1001" spans="1:7" ht="14.25" customHeight="1">
      <c r="A1001" s="41">
        <v>43795</v>
      </c>
      <c r="B1001" s="7">
        <v>12110.2</v>
      </c>
      <c r="C1001" s="7">
        <v>12132.45</v>
      </c>
      <c r="D1001" s="7">
        <v>12006.35</v>
      </c>
      <c r="E1001" s="7">
        <v>12037.7</v>
      </c>
      <c r="F1001" s="7">
        <v>1201335831</v>
      </c>
      <c r="G1001" s="42">
        <v>46030.62</v>
      </c>
    </row>
    <row r="1002" spans="1:7" ht="14.25" customHeight="1">
      <c r="A1002" s="41">
        <v>43796</v>
      </c>
      <c r="B1002" s="7">
        <v>12068.5</v>
      </c>
      <c r="C1002" s="7">
        <v>12114.9</v>
      </c>
      <c r="D1002" s="7">
        <v>12055.15</v>
      </c>
      <c r="E1002" s="7">
        <v>12100.7</v>
      </c>
      <c r="F1002" s="7">
        <v>584226618</v>
      </c>
      <c r="G1002" s="42">
        <v>19937.400000000001</v>
      </c>
    </row>
    <row r="1003" spans="1:7" ht="14.25" customHeight="1">
      <c r="A1003" s="41">
        <v>43797</v>
      </c>
      <c r="B1003" s="7">
        <v>12132.1</v>
      </c>
      <c r="C1003" s="7">
        <v>12158.8</v>
      </c>
      <c r="D1003" s="7">
        <v>12099.95</v>
      </c>
      <c r="E1003" s="7">
        <v>12151.15</v>
      </c>
      <c r="F1003" s="7">
        <v>620479403</v>
      </c>
      <c r="G1003" s="42">
        <v>21229.58</v>
      </c>
    </row>
    <row r="1004" spans="1:7" ht="14.25" customHeight="1">
      <c r="A1004" s="41">
        <v>43798</v>
      </c>
      <c r="B1004" s="7">
        <v>12146.2</v>
      </c>
      <c r="C1004" s="7">
        <v>12147.4</v>
      </c>
      <c r="D1004" s="7">
        <v>12017.4</v>
      </c>
      <c r="E1004" s="7">
        <v>12056.05</v>
      </c>
      <c r="F1004" s="7">
        <v>804430391</v>
      </c>
      <c r="G1004" s="42">
        <v>21838.04</v>
      </c>
    </row>
    <row r="1005" spans="1:7" ht="14.25" customHeight="1">
      <c r="A1005" s="41">
        <v>43801</v>
      </c>
      <c r="B1005" s="7">
        <v>12137.05</v>
      </c>
      <c r="C1005" s="7">
        <v>12137.15</v>
      </c>
      <c r="D1005" s="7">
        <v>12023.7</v>
      </c>
      <c r="E1005" s="7">
        <v>12048.2</v>
      </c>
      <c r="F1005" s="7">
        <v>720945335</v>
      </c>
      <c r="G1005" s="42">
        <v>23113.18</v>
      </c>
    </row>
    <row r="1006" spans="1:7" ht="14.25" customHeight="1">
      <c r="A1006" s="41">
        <v>43802</v>
      </c>
      <c r="B1006" s="7">
        <v>12067.65</v>
      </c>
      <c r="C1006" s="7">
        <v>12068.6</v>
      </c>
      <c r="D1006" s="7">
        <v>11956.4</v>
      </c>
      <c r="E1006" s="7">
        <v>11994.2</v>
      </c>
      <c r="F1006" s="7">
        <v>605789334</v>
      </c>
      <c r="G1006" s="42">
        <v>18203.759999999998</v>
      </c>
    </row>
    <row r="1007" spans="1:7" ht="14.25" customHeight="1">
      <c r="A1007" s="41">
        <v>43803</v>
      </c>
      <c r="B1007" s="7">
        <v>11969.95</v>
      </c>
      <c r="C1007" s="7">
        <v>12054.7</v>
      </c>
      <c r="D1007" s="7">
        <v>11935.3</v>
      </c>
      <c r="E1007" s="7">
        <v>12043.2</v>
      </c>
      <c r="F1007" s="7">
        <v>747193818</v>
      </c>
      <c r="G1007" s="42">
        <v>22132.83</v>
      </c>
    </row>
    <row r="1008" spans="1:7" ht="14.25" customHeight="1">
      <c r="A1008" s="41">
        <v>43804</v>
      </c>
      <c r="B1008" s="7">
        <v>12071.25</v>
      </c>
      <c r="C1008" s="7">
        <v>12081.2</v>
      </c>
      <c r="D1008" s="7">
        <v>11998.75</v>
      </c>
      <c r="E1008" s="7">
        <v>12018.4</v>
      </c>
      <c r="F1008" s="7">
        <v>562228745</v>
      </c>
      <c r="G1008" s="42">
        <v>19589.810000000001</v>
      </c>
    </row>
    <row r="1009" spans="1:7" ht="14.25" customHeight="1">
      <c r="A1009" s="41">
        <v>43805</v>
      </c>
      <c r="B1009" s="7">
        <v>12047.35</v>
      </c>
      <c r="C1009" s="7">
        <v>12057.05</v>
      </c>
      <c r="D1009" s="7">
        <v>11888.85</v>
      </c>
      <c r="E1009" s="7">
        <v>11921.5</v>
      </c>
      <c r="F1009" s="7">
        <v>609221205</v>
      </c>
      <c r="G1009" s="42">
        <v>18245.490000000002</v>
      </c>
    </row>
    <row r="1010" spans="1:7" ht="14.25" customHeight="1">
      <c r="A1010" s="41">
        <v>43808</v>
      </c>
      <c r="B1010" s="7">
        <v>11939.1</v>
      </c>
      <c r="C1010" s="7">
        <v>11981.95</v>
      </c>
      <c r="D1010" s="7">
        <v>11888.05</v>
      </c>
      <c r="E1010" s="7">
        <v>11937.5</v>
      </c>
      <c r="F1010" s="7">
        <v>599115748</v>
      </c>
      <c r="G1010" s="42">
        <v>16672.87</v>
      </c>
    </row>
    <row r="1011" spans="1:7" ht="14.25" customHeight="1">
      <c r="A1011" s="41">
        <v>43809</v>
      </c>
      <c r="B1011" s="7">
        <v>11950.5</v>
      </c>
      <c r="C1011" s="7">
        <v>11953.2</v>
      </c>
      <c r="D1011" s="7">
        <v>11844.7</v>
      </c>
      <c r="E1011" s="7">
        <v>11856.8</v>
      </c>
      <c r="F1011" s="7">
        <v>650219487</v>
      </c>
      <c r="G1011" s="42">
        <v>16514.63</v>
      </c>
    </row>
    <row r="1012" spans="1:7" ht="14.25" customHeight="1">
      <c r="A1012" s="41">
        <v>43810</v>
      </c>
      <c r="B1012" s="7">
        <v>11867.35</v>
      </c>
      <c r="C1012" s="7">
        <v>11923.2</v>
      </c>
      <c r="D1012" s="7">
        <v>11832.3</v>
      </c>
      <c r="E1012" s="7">
        <v>11910.15</v>
      </c>
      <c r="F1012" s="7">
        <v>997655048</v>
      </c>
      <c r="G1012" s="42">
        <v>18760.57</v>
      </c>
    </row>
    <row r="1013" spans="1:7" ht="14.25" customHeight="1">
      <c r="A1013" s="41">
        <v>43811</v>
      </c>
      <c r="B1013" s="7">
        <v>11944.3</v>
      </c>
      <c r="C1013" s="7">
        <v>12005.5</v>
      </c>
      <c r="D1013" s="7">
        <v>11934</v>
      </c>
      <c r="E1013" s="7">
        <v>11971.8</v>
      </c>
      <c r="F1013" s="7">
        <v>752617138</v>
      </c>
      <c r="G1013" s="42">
        <v>18401.22</v>
      </c>
    </row>
    <row r="1014" spans="1:7" ht="14.25" customHeight="1">
      <c r="A1014" s="41">
        <v>43812</v>
      </c>
      <c r="B1014" s="7">
        <v>12026.4</v>
      </c>
      <c r="C1014" s="7">
        <v>12098.85</v>
      </c>
      <c r="D1014" s="7">
        <v>12023.6</v>
      </c>
      <c r="E1014" s="7">
        <v>12086.7</v>
      </c>
      <c r="F1014" s="7">
        <v>597712516</v>
      </c>
      <c r="G1014" s="42">
        <v>20626.8</v>
      </c>
    </row>
    <row r="1015" spans="1:7" ht="14.25" customHeight="1">
      <c r="A1015" s="41">
        <v>43815</v>
      </c>
      <c r="B1015" s="7">
        <v>12131.35</v>
      </c>
      <c r="C1015" s="7">
        <v>12134.65</v>
      </c>
      <c r="D1015" s="7">
        <v>12046.3</v>
      </c>
      <c r="E1015" s="7">
        <v>12053.95</v>
      </c>
      <c r="F1015" s="7">
        <v>437703921</v>
      </c>
      <c r="G1015" s="42">
        <v>16110.34</v>
      </c>
    </row>
    <row r="1016" spans="1:7" ht="14.25" customHeight="1">
      <c r="A1016" s="41">
        <v>43816</v>
      </c>
      <c r="B1016" s="7">
        <v>12082.45</v>
      </c>
      <c r="C1016" s="7">
        <v>12182.75</v>
      </c>
      <c r="D1016" s="7">
        <v>12070.35</v>
      </c>
      <c r="E1016" s="7">
        <v>12165</v>
      </c>
      <c r="F1016" s="7">
        <v>499585789</v>
      </c>
      <c r="G1016" s="42">
        <v>20968.79</v>
      </c>
    </row>
    <row r="1017" spans="1:7" ht="14.25" customHeight="1">
      <c r="A1017" s="41">
        <v>43817</v>
      </c>
      <c r="B1017" s="7">
        <v>12197</v>
      </c>
      <c r="C1017" s="7">
        <v>12237.7</v>
      </c>
      <c r="D1017" s="7">
        <v>12163.45</v>
      </c>
      <c r="E1017" s="7">
        <v>12221.65</v>
      </c>
      <c r="F1017" s="7">
        <v>518854651</v>
      </c>
      <c r="G1017" s="42">
        <v>22341.06</v>
      </c>
    </row>
    <row r="1018" spans="1:7" ht="14.25" customHeight="1">
      <c r="A1018" s="41">
        <v>43818</v>
      </c>
      <c r="B1018" s="7">
        <v>12223.4</v>
      </c>
      <c r="C1018" s="7">
        <v>12268.35</v>
      </c>
      <c r="D1018" s="7">
        <v>12191.15</v>
      </c>
      <c r="E1018" s="7">
        <v>12259.7</v>
      </c>
      <c r="F1018" s="7">
        <v>623049839</v>
      </c>
      <c r="G1018" s="42">
        <v>19761.900000000001</v>
      </c>
    </row>
    <row r="1019" spans="1:7" ht="14.25" customHeight="1">
      <c r="A1019" s="41">
        <v>43819</v>
      </c>
      <c r="B1019" s="7">
        <v>12266.45</v>
      </c>
      <c r="C1019" s="7">
        <v>12293.9</v>
      </c>
      <c r="D1019" s="7">
        <v>12252.75</v>
      </c>
      <c r="E1019" s="7">
        <v>12271.8</v>
      </c>
      <c r="F1019" s="7">
        <v>810676090</v>
      </c>
      <c r="G1019" s="42">
        <v>25750.240000000002</v>
      </c>
    </row>
    <row r="1020" spans="1:7" ht="14.25" customHeight="1">
      <c r="A1020" s="41">
        <v>43822</v>
      </c>
      <c r="B1020" s="7">
        <v>12235.45</v>
      </c>
      <c r="C1020" s="7">
        <v>12287.15</v>
      </c>
      <c r="D1020" s="7">
        <v>12213.25</v>
      </c>
      <c r="E1020" s="7">
        <v>12262.75</v>
      </c>
      <c r="F1020" s="7">
        <v>604782354</v>
      </c>
      <c r="G1020" s="42">
        <v>18078.23</v>
      </c>
    </row>
    <row r="1021" spans="1:7" ht="14.25" customHeight="1">
      <c r="A1021" s="41">
        <v>43823</v>
      </c>
      <c r="B1021" s="7">
        <v>12269.25</v>
      </c>
      <c r="C1021" s="7">
        <v>12283.7</v>
      </c>
      <c r="D1021" s="7">
        <v>12202.1</v>
      </c>
      <c r="E1021" s="7">
        <v>12214.55</v>
      </c>
      <c r="F1021" s="7">
        <v>470290298</v>
      </c>
      <c r="G1021" s="42">
        <v>13864.56</v>
      </c>
    </row>
    <row r="1022" spans="1:7" ht="14.25" customHeight="1">
      <c r="A1022" s="41">
        <v>43825</v>
      </c>
      <c r="B1022" s="7">
        <v>12211.85</v>
      </c>
      <c r="C1022" s="7">
        <v>12221.55</v>
      </c>
      <c r="D1022" s="7">
        <v>12118.85</v>
      </c>
      <c r="E1022" s="7">
        <v>12126.55</v>
      </c>
      <c r="F1022" s="7">
        <v>520326632</v>
      </c>
      <c r="G1022" s="42">
        <v>16362.31</v>
      </c>
    </row>
    <row r="1023" spans="1:7" ht="14.25" customHeight="1">
      <c r="A1023" s="41">
        <v>43826</v>
      </c>
      <c r="B1023" s="7">
        <v>12172.9</v>
      </c>
      <c r="C1023" s="7">
        <v>12258.45</v>
      </c>
      <c r="D1023" s="7">
        <v>12157.9</v>
      </c>
      <c r="E1023" s="7">
        <v>12245.8</v>
      </c>
      <c r="F1023" s="7">
        <v>383788556</v>
      </c>
      <c r="G1023" s="42">
        <v>13676.2</v>
      </c>
    </row>
    <row r="1024" spans="1:7" ht="14.25" customHeight="1">
      <c r="A1024" s="41">
        <v>43829</v>
      </c>
      <c r="B1024" s="7">
        <v>12274.9</v>
      </c>
      <c r="C1024" s="7">
        <v>12286.45</v>
      </c>
      <c r="D1024" s="7">
        <v>12213.8</v>
      </c>
      <c r="E1024" s="7">
        <v>12255.85</v>
      </c>
      <c r="F1024" s="7">
        <v>411084614</v>
      </c>
      <c r="G1024" s="42">
        <v>14556.73</v>
      </c>
    </row>
    <row r="1025" spans="1:7" ht="14.25" customHeight="1">
      <c r="A1025" s="41">
        <v>43830</v>
      </c>
      <c r="B1025" s="7">
        <v>12247.1</v>
      </c>
      <c r="C1025" s="7">
        <v>12247.1</v>
      </c>
      <c r="D1025" s="7">
        <v>12151.8</v>
      </c>
      <c r="E1025" s="7">
        <v>12168.45</v>
      </c>
      <c r="F1025" s="7">
        <v>426931711</v>
      </c>
      <c r="G1025" s="42">
        <v>14812.89</v>
      </c>
    </row>
    <row r="1026" spans="1:7" ht="14.25" customHeight="1">
      <c r="A1026" s="41">
        <v>43831</v>
      </c>
      <c r="B1026" s="7">
        <v>12202.15</v>
      </c>
      <c r="C1026" s="7">
        <v>12222.2</v>
      </c>
      <c r="D1026" s="7">
        <v>12165.3</v>
      </c>
      <c r="E1026" s="7">
        <v>12182.5</v>
      </c>
      <c r="F1026" s="7">
        <v>304078039</v>
      </c>
      <c r="G1026" s="42">
        <v>10445.68</v>
      </c>
    </row>
    <row r="1027" spans="1:7" ht="14.25" customHeight="1">
      <c r="A1027" s="41">
        <v>43832</v>
      </c>
      <c r="B1027" s="7">
        <v>12198.55</v>
      </c>
      <c r="C1027" s="7">
        <v>12289.9</v>
      </c>
      <c r="D1027" s="7">
        <v>12195.25</v>
      </c>
      <c r="E1027" s="7">
        <v>12282.2</v>
      </c>
      <c r="F1027" s="7">
        <v>407697594</v>
      </c>
      <c r="G1027" s="42">
        <v>15256.55</v>
      </c>
    </row>
    <row r="1028" spans="1:7" ht="14.25" customHeight="1">
      <c r="A1028" s="41">
        <v>43833</v>
      </c>
      <c r="B1028" s="7">
        <v>12261.1</v>
      </c>
      <c r="C1028" s="7">
        <v>12265.6</v>
      </c>
      <c r="D1028" s="7">
        <v>12191.35</v>
      </c>
      <c r="E1028" s="7">
        <v>12226.65</v>
      </c>
      <c r="F1028" s="7">
        <v>428770054</v>
      </c>
      <c r="G1028" s="42">
        <v>16827.27</v>
      </c>
    </row>
    <row r="1029" spans="1:7" ht="14.25" customHeight="1">
      <c r="A1029" s="41">
        <v>43836</v>
      </c>
      <c r="B1029" s="7">
        <v>12170.6</v>
      </c>
      <c r="C1029" s="7">
        <v>12179.1</v>
      </c>
      <c r="D1029" s="7">
        <v>11974.2</v>
      </c>
      <c r="E1029" s="7">
        <v>11993.05</v>
      </c>
      <c r="F1029" s="7">
        <v>396501419</v>
      </c>
      <c r="G1029" s="42">
        <v>16869.22</v>
      </c>
    </row>
    <row r="1030" spans="1:7" ht="14.25" customHeight="1">
      <c r="A1030" s="41">
        <v>43837</v>
      </c>
      <c r="B1030" s="7">
        <v>12079.1</v>
      </c>
      <c r="C1030" s="7">
        <v>12152.15</v>
      </c>
      <c r="D1030" s="7">
        <v>12005.35</v>
      </c>
      <c r="E1030" s="7">
        <v>12052.95</v>
      </c>
      <c r="F1030" s="7">
        <v>447818617</v>
      </c>
      <c r="G1030" s="42">
        <v>17797.68</v>
      </c>
    </row>
    <row r="1031" spans="1:7" ht="14.25" customHeight="1">
      <c r="A1031" s="41">
        <v>43838</v>
      </c>
      <c r="B1031" s="7">
        <v>11939.1</v>
      </c>
      <c r="C1031" s="7">
        <v>12044.95</v>
      </c>
      <c r="D1031" s="7">
        <v>11929.6</v>
      </c>
      <c r="E1031" s="7">
        <v>12025.35</v>
      </c>
      <c r="F1031" s="7">
        <v>445991640</v>
      </c>
      <c r="G1031" s="42">
        <v>18281.150000000001</v>
      </c>
    </row>
    <row r="1032" spans="1:7" ht="14.25" customHeight="1">
      <c r="A1032" s="41">
        <v>43839</v>
      </c>
      <c r="B1032" s="7">
        <v>12153.15</v>
      </c>
      <c r="C1032" s="7">
        <v>12224.05</v>
      </c>
      <c r="D1032" s="7">
        <v>12132.55</v>
      </c>
      <c r="E1032" s="7">
        <v>12215.9</v>
      </c>
      <c r="F1032" s="7">
        <v>477469878</v>
      </c>
      <c r="G1032" s="42">
        <v>18456.64</v>
      </c>
    </row>
    <row r="1033" spans="1:7" ht="14.25" customHeight="1">
      <c r="A1033" s="41">
        <v>43840</v>
      </c>
      <c r="B1033" s="7">
        <v>12271</v>
      </c>
      <c r="C1033" s="7">
        <v>12311.2</v>
      </c>
      <c r="D1033" s="7">
        <v>12213.2</v>
      </c>
      <c r="E1033" s="7">
        <v>12256.8</v>
      </c>
      <c r="F1033" s="7">
        <v>660627930</v>
      </c>
      <c r="G1033" s="42">
        <v>18818.62</v>
      </c>
    </row>
    <row r="1034" spans="1:7" ht="14.25" customHeight="1">
      <c r="A1034" s="41">
        <v>43843</v>
      </c>
      <c r="B1034" s="7">
        <v>12296.7</v>
      </c>
      <c r="C1034" s="7">
        <v>12337.75</v>
      </c>
      <c r="D1034" s="7">
        <v>12285.8</v>
      </c>
      <c r="E1034" s="7">
        <v>12329.55</v>
      </c>
      <c r="F1034" s="7">
        <v>500968242</v>
      </c>
      <c r="G1034" s="42">
        <v>17522.13</v>
      </c>
    </row>
    <row r="1035" spans="1:7" ht="14.25" customHeight="1">
      <c r="A1035" s="41">
        <v>43844</v>
      </c>
      <c r="B1035" s="7">
        <v>12333.1</v>
      </c>
      <c r="C1035" s="7">
        <v>12374.25</v>
      </c>
      <c r="D1035" s="7">
        <v>12308.7</v>
      </c>
      <c r="E1035" s="7">
        <v>12362.3</v>
      </c>
      <c r="F1035" s="7">
        <v>616260555</v>
      </c>
      <c r="G1035" s="42">
        <v>17948.919999999998</v>
      </c>
    </row>
    <row r="1036" spans="1:7" ht="14.25" customHeight="1">
      <c r="A1036" s="41">
        <v>43845</v>
      </c>
      <c r="B1036" s="7">
        <v>12349.4</v>
      </c>
      <c r="C1036" s="7">
        <v>12355.15</v>
      </c>
      <c r="D1036" s="7">
        <v>12278.75</v>
      </c>
      <c r="E1036" s="7">
        <v>12343.3</v>
      </c>
      <c r="F1036" s="7">
        <v>684352965</v>
      </c>
      <c r="G1036" s="42">
        <v>17882.509999999998</v>
      </c>
    </row>
    <row r="1037" spans="1:7" ht="14.25" customHeight="1">
      <c r="A1037" s="41">
        <v>43846</v>
      </c>
      <c r="B1037" s="7">
        <v>12347.1</v>
      </c>
      <c r="C1037" s="7">
        <v>12389.05</v>
      </c>
      <c r="D1037" s="7">
        <v>12315.8</v>
      </c>
      <c r="E1037" s="7">
        <v>12355.5</v>
      </c>
      <c r="F1037" s="7">
        <v>395670245</v>
      </c>
      <c r="G1037" s="42">
        <v>16004.06</v>
      </c>
    </row>
    <row r="1038" spans="1:7" ht="14.25" customHeight="1">
      <c r="A1038" s="41">
        <v>43847</v>
      </c>
      <c r="B1038" s="7">
        <v>12328.4</v>
      </c>
      <c r="C1038" s="7">
        <v>12385.45</v>
      </c>
      <c r="D1038" s="7">
        <v>12321.4</v>
      </c>
      <c r="E1038" s="7">
        <v>12352.35</v>
      </c>
      <c r="F1038" s="7">
        <v>502060615</v>
      </c>
      <c r="G1038" s="42">
        <v>21397.63</v>
      </c>
    </row>
    <row r="1039" spans="1:7" ht="14.25" customHeight="1">
      <c r="A1039" s="41">
        <v>43850</v>
      </c>
      <c r="B1039" s="7">
        <v>12430.5</v>
      </c>
      <c r="C1039" s="7">
        <v>12430.5</v>
      </c>
      <c r="D1039" s="7">
        <v>12216.9</v>
      </c>
      <c r="E1039" s="7">
        <v>12224.55</v>
      </c>
      <c r="F1039" s="7">
        <v>491609317</v>
      </c>
      <c r="G1039" s="42">
        <v>21415.43</v>
      </c>
    </row>
    <row r="1040" spans="1:7" ht="14.25" customHeight="1">
      <c r="A1040" s="41">
        <v>43851</v>
      </c>
      <c r="B1040" s="7">
        <v>12195.3</v>
      </c>
      <c r="C1040" s="7">
        <v>12230.05</v>
      </c>
      <c r="D1040" s="7">
        <v>12162.3</v>
      </c>
      <c r="E1040" s="7">
        <v>12169.85</v>
      </c>
      <c r="F1040" s="7">
        <v>443976442</v>
      </c>
      <c r="G1040" s="42">
        <v>18682.650000000001</v>
      </c>
    </row>
    <row r="1041" spans="1:7" ht="14.25" customHeight="1">
      <c r="A1041" s="41">
        <v>43852</v>
      </c>
      <c r="B1041" s="7">
        <v>12218.35</v>
      </c>
      <c r="C1041" s="7">
        <v>12225.05</v>
      </c>
      <c r="D1041" s="7">
        <v>12087.9</v>
      </c>
      <c r="E1041" s="7">
        <v>12106.9</v>
      </c>
      <c r="F1041" s="7">
        <v>526294513</v>
      </c>
      <c r="G1041" s="42">
        <v>19758.68</v>
      </c>
    </row>
    <row r="1042" spans="1:7" ht="14.25" customHeight="1">
      <c r="A1042" s="41">
        <v>43853</v>
      </c>
      <c r="B1042" s="7">
        <v>12123.75</v>
      </c>
      <c r="C1042" s="7">
        <v>12189</v>
      </c>
      <c r="D1042" s="7">
        <v>12094.1</v>
      </c>
      <c r="E1042" s="7">
        <v>12180.35</v>
      </c>
      <c r="F1042" s="7">
        <v>867653663</v>
      </c>
      <c r="G1042" s="42">
        <v>23829.39</v>
      </c>
    </row>
    <row r="1043" spans="1:7" ht="14.25" customHeight="1">
      <c r="A1043" s="41">
        <v>43854</v>
      </c>
      <c r="B1043" s="7">
        <v>12174.55</v>
      </c>
      <c r="C1043" s="7">
        <v>12272.15</v>
      </c>
      <c r="D1043" s="7">
        <v>12149.65</v>
      </c>
      <c r="E1043" s="7">
        <v>12248.25</v>
      </c>
      <c r="F1043" s="7">
        <v>593237908</v>
      </c>
      <c r="G1043" s="42">
        <v>18032.27</v>
      </c>
    </row>
    <row r="1044" spans="1:7" ht="14.25" customHeight="1">
      <c r="A1044" s="41">
        <v>43857</v>
      </c>
      <c r="B1044" s="7">
        <v>12197.1</v>
      </c>
      <c r="C1044" s="7">
        <v>12216.6</v>
      </c>
      <c r="D1044" s="7">
        <v>12107</v>
      </c>
      <c r="E1044" s="7">
        <v>12119</v>
      </c>
      <c r="F1044" s="7">
        <v>441158138</v>
      </c>
      <c r="G1044" s="42">
        <v>17988.61</v>
      </c>
    </row>
    <row r="1045" spans="1:7" ht="14.25" customHeight="1">
      <c r="A1045" s="41">
        <v>43858</v>
      </c>
      <c r="B1045" s="7">
        <v>12148.1</v>
      </c>
      <c r="C1045" s="7">
        <v>12163.55</v>
      </c>
      <c r="D1045" s="7">
        <v>12024.5</v>
      </c>
      <c r="E1045" s="7">
        <v>12055.8</v>
      </c>
      <c r="F1045" s="7">
        <v>478484057</v>
      </c>
      <c r="G1045" s="42">
        <v>20917.62</v>
      </c>
    </row>
    <row r="1046" spans="1:7" ht="14.25" customHeight="1">
      <c r="A1046" s="41">
        <v>43859</v>
      </c>
      <c r="B1046" s="7">
        <v>12114.9</v>
      </c>
      <c r="C1046" s="7">
        <v>12169.6</v>
      </c>
      <c r="D1046" s="7">
        <v>12103.8</v>
      </c>
      <c r="E1046" s="7">
        <v>12129.5</v>
      </c>
      <c r="F1046" s="7">
        <v>514362340</v>
      </c>
      <c r="G1046" s="42">
        <v>20646.18</v>
      </c>
    </row>
    <row r="1047" spans="1:7" ht="14.25" customHeight="1">
      <c r="A1047" s="41">
        <v>43860</v>
      </c>
      <c r="B1047" s="7">
        <v>12147.75</v>
      </c>
      <c r="C1047" s="7">
        <v>12150.3</v>
      </c>
      <c r="D1047" s="7">
        <v>12010.6</v>
      </c>
      <c r="E1047" s="7">
        <v>12035.8</v>
      </c>
      <c r="F1047" s="7">
        <v>538138743</v>
      </c>
      <c r="G1047" s="42">
        <v>19372.669999999998</v>
      </c>
    </row>
    <row r="1048" spans="1:7" ht="14.25" customHeight="1">
      <c r="A1048" s="41">
        <v>43861</v>
      </c>
      <c r="B1048" s="7">
        <v>12100.4</v>
      </c>
      <c r="C1048" s="7">
        <v>12103.55</v>
      </c>
      <c r="D1048" s="7">
        <v>11945.85</v>
      </c>
      <c r="E1048" s="7">
        <v>11962.1</v>
      </c>
      <c r="F1048" s="7">
        <v>771278258</v>
      </c>
      <c r="G1048" s="42">
        <v>26044.91</v>
      </c>
    </row>
    <row r="1049" spans="1:7" ht="14.25" customHeight="1">
      <c r="A1049" s="41">
        <v>43862</v>
      </c>
      <c r="B1049" s="7">
        <v>11939</v>
      </c>
      <c r="C1049" s="7">
        <v>12017.35</v>
      </c>
      <c r="D1049" s="7">
        <v>11633.3</v>
      </c>
      <c r="E1049" s="7">
        <v>11661.85</v>
      </c>
      <c r="F1049" s="7">
        <v>537634767</v>
      </c>
      <c r="G1049" s="42">
        <v>20598.12</v>
      </c>
    </row>
    <row r="1050" spans="1:7" ht="14.25" customHeight="1">
      <c r="A1050" s="41">
        <v>43864</v>
      </c>
      <c r="B1050" s="7">
        <v>11627.45</v>
      </c>
      <c r="C1050" s="7">
        <v>11749.85</v>
      </c>
      <c r="D1050" s="7">
        <v>11614.5</v>
      </c>
      <c r="E1050" s="7">
        <v>11707.9</v>
      </c>
      <c r="F1050" s="7">
        <v>669815788</v>
      </c>
      <c r="G1050" s="42">
        <v>25415.26</v>
      </c>
    </row>
    <row r="1051" spans="1:7" ht="14.25" customHeight="1">
      <c r="A1051" s="41">
        <v>43865</v>
      </c>
      <c r="B1051" s="7">
        <v>11786.25</v>
      </c>
      <c r="C1051" s="7">
        <v>11986.15</v>
      </c>
      <c r="D1051" s="7">
        <v>11783.4</v>
      </c>
      <c r="E1051" s="7">
        <v>11979.65</v>
      </c>
      <c r="F1051" s="7">
        <v>560430291</v>
      </c>
      <c r="G1051" s="42">
        <v>22338.5</v>
      </c>
    </row>
    <row r="1052" spans="1:7" ht="14.25" customHeight="1">
      <c r="A1052" s="41">
        <v>43866</v>
      </c>
      <c r="B1052" s="7">
        <v>12005.85</v>
      </c>
      <c r="C1052" s="7">
        <v>12098.15</v>
      </c>
      <c r="D1052" s="7">
        <v>11953.35</v>
      </c>
      <c r="E1052" s="7">
        <v>12089.15</v>
      </c>
      <c r="F1052" s="7">
        <v>758032580</v>
      </c>
      <c r="G1052" s="42">
        <v>22998.05</v>
      </c>
    </row>
    <row r="1053" spans="1:7" ht="14.25" customHeight="1">
      <c r="A1053" s="41">
        <v>43867</v>
      </c>
      <c r="B1053" s="7">
        <v>12120</v>
      </c>
      <c r="C1053" s="7">
        <v>12160.6</v>
      </c>
      <c r="D1053" s="7">
        <v>12084.65</v>
      </c>
      <c r="E1053" s="7">
        <v>12137.95</v>
      </c>
      <c r="F1053" s="7">
        <v>565116236</v>
      </c>
      <c r="G1053" s="42">
        <v>21735.919999999998</v>
      </c>
    </row>
    <row r="1054" spans="1:7" ht="14.25" customHeight="1">
      <c r="A1054" s="41">
        <v>43868</v>
      </c>
      <c r="B1054" s="7">
        <v>12151.15</v>
      </c>
      <c r="C1054" s="7">
        <v>12154.7</v>
      </c>
      <c r="D1054" s="7">
        <v>12073.95</v>
      </c>
      <c r="E1054" s="7">
        <v>12098.35</v>
      </c>
      <c r="F1054" s="7">
        <v>473475144</v>
      </c>
      <c r="G1054" s="42">
        <v>16339.61</v>
      </c>
    </row>
    <row r="1055" spans="1:7" ht="14.25" customHeight="1">
      <c r="A1055" s="41">
        <v>43871</v>
      </c>
      <c r="B1055" s="7">
        <v>12102.35</v>
      </c>
      <c r="C1055" s="7">
        <v>12103.55</v>
      </c>
      <c r="D1055" s="7">
        <v>11990.75</v>
      </c>
      <c r="E1055" s="7">
        <v>12031.5</v>
      </c>
      <c r="F1055" s="7">
        <v>525674715</v>
      </c>
      <c r="G1055" s="42">
        <v>17185.14</v>
      </c>
    </row>
    <row r="1056" spans="1:7" ht="14.25" customHeight="1">
      <c r="A1056" s="41">
        <v>43872</v>
      </c>
      <c r="B1056" s="7">
        <v>12108.4</v>
      </c>
      <c r="C1056" s="7">
        <v>12172.3</v>
      </c>
      <c r="D1056" s="7">
        <v>12099</v>
      </c>
      <c r="E1056" s="7">
        <v>12107.9</v>
      </c>
      <c r="F1056" s="7">
        <v>480491557</v>
      </c>
      <c r="G1056" s="42">
        <v>16209.52</v>
      </c>
    </row>
    <row r="1057" spans="1:7" ht="14.25" customHeight="1">
      <c r="A1057" s="41">
        <v>43873</v>
      </c>
      <c r="B1057" s="7">
        <v>12151</v>
      </c>
      <c r="C1057" s="7">
        <v>12231.75</v>
      </c>
      <c r="D1057" s="7">
        <v>12144.3</v>
      </c>
      <c r="E1057" s="7">
        <v>12201.2</v>
      </c>
      <c r="F1057" s="7">
        <v>412399174</v>
      </c>
      <c r="G1057" s="42">
        <v>16598.330000000002</v>
      </c>
    </row>
    <row r="1058" spans="1:7" ht="14.25" customHeight="1">
      <c r="A1058" s="41">
        <v>43874</v>
      </c>
      <c r="B1058" s="7">
        <v>12219.55</v>
      </c>
      <c r="C1058" s="7">
        <v>12225.65</v>
      </c>
      <c r="D1058" s="7">
        <v>12139.8</v>
      </c>
      <c r="E1058" s="7">
        <v>12174.65</v>
      </c>
      <c r="F1058" s="7">
        <v>501510138</v>
      </c>
      <c r="G1058" s="42">
        <v>16315.27</v>
      </c>
    </row>
    <row r="1059" spans="1:7" ht="14.25" customHeight="1">
      <c r="A1059" s="41">
        <v>43875</v>
      </c>
      <c r="B1059" s="7">
        <v>12190.15</v>
      </c>
      <c r="C1059" s="7">
        <v>12246.7</v>
      </c>
      <c r="D1059" s="7">
        <v>12091.2</v>
      </c>
      <c r="E1059" s="7">
        <v>12113.45</v>
      </c>
      <c r="F1059" s="7">
        <v>623053270</v>
      </c>
      <c r="G1059" s="42">
        <v>20759.509999999998</v>
      </c>
    </row>
    <row r="1060" spans="1:7" ht="14.25" customHeight="1">
      <c r="A1060" s="41">
        <v>43878</v>
      </c>
      <c r="B1060" s="7">
        <v>12131.8</v>
      </c>
      <c r="C1060" s="7">
        <v>12159.6</v>
      </c>
      <c r="D1060" s="7">
        <v>12037</v>
      </c>
      <c r="E1060" s="7">
        <v>12045.8</v>
      </c>
      <c r="F1060" s="7">
        <v>455412408</v>
      </c>
      <c r="G1060" s="42">
        <v>15439.55</v>
      </c>
    </row>
    <row r="1061" spans="1:7" ht="14.25" customHeight="1">
      <c r="A1061" s="41">
        <v>43879</v>
      </c>
      <c r="B1061" s="7">
        <v>12028.25</v>
      </c>
      <c r="C1061" s="7">
        <v>12030.75</v>
      </c>
      <c r="D1061" s="7">
        <v>11908.05</v>
      </c>
      <c r="E1061" s="7">
        <v>11992.5</v>
      </c>
      <c r="F1061" s="7">
        <v>677307424</v>
      </c>
      <c r="G1061" s="42">
        <v>18853</v>
      </c>
    </row>
    <row r="1062" spans="1:7" ht="14.25" customHeight="1">
      <c r="A1062" s="41">
        <v>43880</v>
      </c>
      <c r="B1062" s="7">
        <v>12090.6</v>
      </c>
      <c r="C1062" s="7">
        <v>12134.7</v>
      </c>
      <c r="D1062" s="7">
        <v>12042.1</v>
      </c>
      <c r="E1062" s="7">
        <v>12125.9</v>
      </c>
      <c r="F1062" s="7">
        <v>514030605</v>
      </c>
      <c r="G1062" s="42">
        <v>17610.89</v>
      </c>
    </row>
    <row r="1063" spans="1:7" ht="14.25" customHeight="1">
      <c r="A1063" s="41">
        <v>43881</v>
      </c>
      <c r="B1063" s="7">
        <v>12119</v>
      </c>
      <c r="C1063" s="7">
        <v>12152</v>
      </c>
      <c r="D1063" s="7">
        <v>12071.45</v>
      </c>
      <c r="E1063" s="7">
        <v>12080.85</v>
      </c>
      <c r="F1063" s="7">
        <v>502875583</v>
      </c>
      <c r="G1063" s="42">
        <v>18831.509999999998</v>
      </c>
    </row>
    <row r="1064" spans="1:7" ht="14.25" customHeight="1">
      <c r="A1064" s="41">
        <v>43885</v>
      </c>
      <c r="B1064" s="7">
        <v>12012.55</v>
      </c>
      <c r="C1064" s="7">
        <v>12012.55</v>
      </c>
      <c r="D1064" s="7">
        <v>11813.4</v>
      </c>
      <c r="E1064" s="7">
        <v>11829.4</v>
      </c>
      <c r="F1064" s="7">
        <v>491224913</v>
      </c>
      <c r="G1064" s="42">
        <v>19421.04</v>
      </c>
    </row>
    <row r="1065" spans="1:7" ht="14.25" customHeight="1">
      <c r="A1065" s="41">
        <v>43886</v>
      </c>
      <c r="B1065" s="7">
        <v>11877.5</v>
      </c>
      <c r="C1065" s="7">
        <v>11883.05</v>
      </c>
      <c r="D1065" s="7">
        <v>11779.9</v>
      </c>
      <c r="E1065" s="7">
        <v>11797.9</v>
      </c>
      <c r="F1065" s="7">
        <v>461349973</v>
      </c>
      <c r="G1065" s="42">
        <v>18510.82</v>
      </c>
    </row>
    <row r="1066" spans="1:7" ht="14.25" customHeight="1">
      <c r="A1066" s="41">
        <v>43887</v>
      </c>
      <c r="B1066" s="7">
        <v>11738.55</v>
      </c>
      <c r="C1066" s="7">
        <v>11783.25</v>
      </c>
      <c r="D1066" s="7">
        <v>11639.6</v>
      </c>
      <c r="E1066" s="7">
        <v>11678.5</v>
      </c>
      <c r="F1066" s="7">
        <v>567990976</v>
      </c>
      <c r="G1066" s="42">
        <v>21887.07</v>
      </c>
    </row>
    <row r="1067" spans="1:7" ht="14.25" customHeight="1">
      <c r="A1067" s="41">
        <v>43888</v>
      </c>
      <c r="B1067" s="7">
        <v>11661.25</v>
      </c>
      <c r="C1067" s="7">
        <v>11663.85</v>
      </c>
      <c r="D1067" s="7">
        <v>11536.7</v>
      </c>
      <c r="E1067" s="7">
        <v>11633.3</v>
      </c>
      <c r="F1067" s="7">
        <v>609266324</v>
      </c>
      <c r="G1067" s="42">
        <v>21623.47</v>
      </c>
    </row>
    <row r="1068" spans="1:7" ht="14.25" customHeight="1">
      <c r="A1068" s="41">
        <v>43889</v>
      </c>
      <c r="B1068" s="7">
        <v>11382</v>
      </c>
      <c r="C1068" s="7">
        <v>11384.8</v>
      </c>
      <c r="D1068" s="7">
        <v>11175.05</v>
      </c>
      <c r="E1068" s="7">
        <v>11201.75</v>
      </c>
      <c r="F1068" s="7">
        <v>810523106</v>
      </c>
      <c r="G1068" s="42">
        <v>32297.15</v>
      </c>
    </row>
    <row r="1069" spans="1:7" ht="14.25" customHeight="1">
      <c r="A1069" s="41">
        <v>43892</v>
      </c>
      <c r="B1069" s="7">
        <v>11387.35</v>
      </c>
      <c r="C1069" s="7">
        <v>11433</v>
      </c>
      <c r="D1069" s="7">
        <v>11036.25</v>
      </c>
      <c r="E1069" s="7">
        <v>11132.75</v>
      </c>
      <c r="F1069" s="7">
        <v>681148567</v>
      </c>
      <c r="G1069" s="42">
        <v>24204.55</v>
      </c>
    </row>
    <row r="1070" spans="1:7" ht="14.25" customHeight="1">
      <c r="A1070" s="41">
        <v>43893</v>
      </c>
      <c r="B1070" s="7">
        <v>11217.55</v>
      </c>
      <c r="C1070" s="7">
        <v>11342.25</v>
      </c>
      <c r="D1070" s="7">
        <v>11152.55</v>
      </c>
      <c r="E1070" s="7">
        <v>11303.3</v>
      </c>
      <c r="F1070" s="7">
        <v>696919348</v>
      </c>
      <c r="G1070" s="42">
        <v>23281.200000000001</v>
      </c>
    </row>
    <row r="1071" spans="1:7" ht="14.25" customHeight="1">
      <c r="A1071" s="41">
        <v>43894</v>
      </c>
      <c r="B1071" s="7">
        <v>11351.35</v>
      </c>
      <c r="C1071" s="7">
        <v>11356.6</v>
      </c>
      <c r="D1071" s="7">
        <v>11082.15</v>
      </c>
      <c r="E1071" s="7">
        <v>11251</v>
      </c>
      <c r="F1071" s="7">
        <v>798021596</v>
      </c>
      <c r="G1071" s="42">
        <v>26928.46</v>
      </c>
    </row>
    <row r="1072" spans="1:7" ht="14.25" customHeight="1">
      <c r="A1072" s="41">
        <v>43895</v>
      </c>
      <c r="B1072" s="7">
        <v>11306.05</v>
      </c>
      <c r="C1072" s="7">
        <v>11389.5</v>
      </c>
      <c r="D1072" s="7">
        <v>11244.6</v>
      </c>
      <c r="E1072" s="7">
        <v>11269</v>
      </c>
      <c r="F1072" s="7">
        <v>1353209029</v>
      </c>
      <c r="G1072" s="42">
        <v>26980.65</v>
      </c>
    </row>
    <row r="1073" spans="1:7" ht="14.25" customHeight="1">
      <c r="A1073" s="41">
        <v>43896</v>
      </c>
      <c r="B1073" s="7">
        <v>10942.65</v>
      </c>
      <c r="C1073" s="7">
        <v>11035.1</v>
      </c>
      <c r="D1073" s="7">
        <v>10827.4</v>
      </c>
      <c r="E1073" s="7">
        <v>10989.45</v>
      </c>
      <c r="F1073" s="7">
        <v>1811564187</v>
      </c>
      <c r="G1073" s="42">
        <v>26455.29</v>
      </c>
    </row>
    <row r="1074" spans="1:7" ht="14.25" customHeight="1">
      <c r="A1074" s="41">
        <v>43899</v>
      </c>
      <c r="B1074" s="7">
        <v>10742.05</v>
      </c>
      <c r="C1074" s="7">
        <v>10751.55</v>
      </c>
      <c r="D1074" s="7">
        <v>10294.450000000001</v>
      </c>
      <c r="E1074" s="7">
        <v>10451.450000000001</v>
      </c>
      <c r="F1074" s="7">
        <v>1566119057</v>
      </c>
      <c r="G1074" s="42">
        <v>35151.79</v>
      </c>
    </row>
    <row r="1075" spans="1:7" ht="14.25" customHeight="1">
      <c r="A1075" s="41">
        <v>43901</v>
      </c>
      <c r="B1075" s="7">
        <v>10334.299999999999</v>
      </c>
      <c r="C1075" s="7">
        <v>10545.1</v>
      </c>
      <c r="D1075" s="7">
        <v>10334</v>
      </c>
      <c r="E1075" s="7">
        <v>10458.4</v>
      </c>
      <c r="F1075" s="7">
        <v>1219079693</v>
      </c>
      <c r="G1075" s="42">
        <v>32548.47</v>
      </c>
    </row>
    <row r="1076" spans="1:7" ht="14.25" customHeight="1">
      <c r="A1076" s="41">
        <v>43902</v>
      </c>
      <c r="B1076" s="7">
        <v>10039.950000000001</v>
      </c>
      <c r="C1076" s="7">
        <v>10040.75</v>
      </c>
      <c r="D1076" s="7">
        <v>9508</v>
      </c>
      <c r="E1076" s="7">
        <v>9590.15</v>
      </c>
      <c r="F1076" s="7">
        <v>1344263317</v>
      </c>
      <c r="G1076" s="42">
        <v>39283.97</v>
      </c>
    </row>
    <row r="1077" spans="1:7" ht="14.25" customHeight="1">
      <c r="A1077" s="41">
        <v>43903</v>
      </c>
      <c r="B1077" s="7">
        <v>9107.6</v>
      </c>
      <c r="C1077" s="7">
        <v>10159.4</v>
      </c>
      <c r="D1077" s="7">
        <v>8555.15</v>
      </c>
      <c r="E1077" s="7">
        <v>9955.2000000000007</v>
      </c>
      <c r="F1077" s="7">
        <v>1389061775</v>
      </c>
      <c r="G1077" s="42">
        <v>44167.89</v>
      </c>
    </row>
    <row r="1078" spans="1:7" ht="14.25" customHeight="1">
      <c r="A1078" s="41">
        <v>43906</v>
      </c>
      <c r="B1078" s="7">
        <v>9587.7999999999993</v>
      </c>
      <c r="C1078" s="7">
        <v>9602.2000000000007</v>
      </c>
      <c r="D1078" s="7">
        <v>9165.1</v>
      </c>
      <c r="E1078" s="7">
        <v>9197.4</v>
      </c>
      <c r="F1078" s="7">
        <v>898523271</v>
      </c>
      <c r="G1078" s="42">
        <v>29181.8</v>
      </c>
    </row>
    <row r="1079" spans="1:7" ht="14.25" customHeight="1">
      <c r="A1079" s="41">
        <v>43907</v>
      </c>
      <c r="B1079" s="7">
        <v>9285.4</v>
      </c>
      <c r="C1079" s="7">
        <v>9403.7999999999993</v>
      </c>
      <c r="D1079" s="7">
        <v>8915.6</v>
      </c>
      <c r="E1079" s="7">
        <v>8967.0499999999993</v>
      </c>
      <c r="F1079" s="7">
        <v>936185892</v>
      </c>
      <c r="G1079" s="42">
        <v>28004.16</v>
      </c>
    </row>
    <row r="1080" spans="1:7" ht="14.25" customHeight="1">
      <c r="A1080" s="41">
        <v>43908</v>
      </c>
      <c r="B1080" s="7">
        <v>9088.4500000000007</v>
      </c>
      <c r="C1080" s="7">
        <v>9127.5499999999993</v>
      </c>
      <c r="D1080" s="7">
        <v>8407.0499999999993</v>
      </c>
      <c r="E1080" s="7">
        <v>8468.7999999999993</v>
      </c>
      <c r="F1080" s="7">
        <v>1517275761</v>
      </c>
      <c r="G1080" s="42">
        <v>39256.71</v>
      </c>
    </row>
    <row r="1081" spans="1:7" ht="14.25" customHeight="1">
      <c r="A1081" s="41">
        <v>43909</v>
      </c>
      <c r="B1081" s="7">
        <v>8063.3</v>
      </c>
      <c r="C1081" s="7">
        <v>8575.4500000000007</v>
      </c>
      <c r="D1081" s="7">
        <v>7832.55</v>
      </c>
      <c r="E1081" s="7">
        <v>8263.4500000000007</v>
      </c>
      <c r="F1081" s="7">
        <v>926508824</v>
      </c>
      <c r="G1081" s="42">
        <v>34274.230000000003</v>
      </c>
    </row>
    <row r="1082" spans="1:7" ht="14.25" customHeight="1">
      <c r="A1082" s="41">
        <v>43910</v>
      </c>
      <c r="B1082" s="7">
        <v>8284.4500000000007</v>
      </c>
      <c r="C1082" s="7">
        <v>8883</v>
      </c>
      <c r="D1082" s="7">
        <v>8178.2</v>
      </c>
      <c r="E1082" s="7">
        <v>8745.4500000000007</v>
      </c>
      <c r="F1082" s="7">
        <v>1072263600</v>
      </c>
      <c r="G1082" s="42">
        <v>37321.25</v>
      </c>
    </row>
    <row r="1083" spans="1:7" ht="14.25" customHeight="1">
      <c r="A1083" s="41">
        <v>43913</v>
      </c>
      <c r="B1083" s="7">
        <v>7945.7</v>
      </c>
      <c r="C1083" s="7">
        <v>8159.25</v>
      </c>
      <c r="D1083" s="7">
        <v>7583.6</v>
      </c>
      <c r="E1083" s="7">
        <v>7610.25</v>
      </c>
      <c r="F1083" s="7">
        <v>654151814</v>
      </c>
      <c r="G1083" s="42">
        <v>23891.9</v>
      </c>
    </row>
    <row r="1084" spans="1:7" ht="14.25" customHeight="1">
      <c r="A1084" s="41">
        <v>43914</v>
      </c>
      <c r="B1084" s="7">
        <v>7848.3</v>
      </c>
      <c r="C1084" s="7">
        <v>8036.95</v>
      </c>
      <c r="D1084" s="7">
        <v>7511.1</v>
      </c>
      <c r="E1084" s="7">
        <v>7801.05</v>
      </c>
      <c r="F1084" s="7">
        <v>739354439</v>
      </c>
      <c r="G1084" s="42">
        <v>28282.09</v>
      </c>
    </row>
    <row r="1085" spans="1:7" ht="14.25" customHeight="1">
      <c r="A1085" s="41">
        <v>43915</v>
      </c>
      <c r="B1085" s="7">
        <v>7735.15</v>
      </c>
      <c r="C1085" s="7">
        <v>8376.75</v>
      </c>
      <c r="D1085" s="7">
        <v>7714.75</v>
      </c>
      <c r="E1085" s="7">
        <v>8317.85</v>
      </c>
      <c r="F1085" s="7">
        <v>738114713</v>
      </c>
      <c r="G1085" s="42">
        <v>28482.01</v>
      </c>
    </row>
    <row r="1086" spans="1:7" ht="14.25" customHeight="1">
      <c r="A1086" s="41">
        <v>43916</v>
      </c>
      <c r="B1086" s="7">
        <v>8451</v>
      </c>
      <c r="C1086" s="7">
        <v>8749.0499999999993</v>
      </c>
      <c r="D1086" s="7">
        <v>8304.9</v>
      </c>
      <c r="E1086" s="7">
        <v>8641.4500000000007</v>
      </c>
      <c r="F1086" s="7">
        <v>866534643</v>
      </c>
      <c r="G1086" s="42">
        <v>32228.31</v>
      </c>
    </row>
    <row r="1087" spans="1:7" ht="14.25" customHeight="1">
      <c r="A1087" s="41">
        <v>43917</v>
      </c>
      <c r="B1087" s="7">
        <v>8949.1</v>
      </c>
      <c r="C1087" s="7">
        <v>9038.9</v>
      </c>
      <c r="D1087" s="7">
        <v>8522.9</v>
      </c>
      <c r="E1087" s="7">
        <v>8660.25</v>
      </c>
      <c r="F1087" s="7">
        <v>801923401</v>
      </c>
      <c r="G1087" s="42">
        <v>31336.86</v>
      </c>
    </row>
    <row r="1088" spans="1:7" ht="14.25" customHeight="1">
      <c r="A1088" s="41">
        <v>43920</v>
      </c>
      <c r="B1088" s="7">
        <v>8385.9500000000007</v>
      </c>
      <c r="C1088" s="7">
        <v>8576</v>
      </c>
      <c r="D1088" s="7">
        <v>8244</v>
      </c>
      <c r="E1088" s="7">
        <v>8281.1</v>
      </c>
      <c r="F1088" s="7">
        <v>593953051</v>
      </c>
      <c r="G1088" s="42">
        <v>24724.44</v>
      </c>
    </row>
    <row r="1089" spans="1:7" ht="14.25" customHeight="1">
      <c r="A1089" s="41">
        <v>43921</v>
      </c>
      <c r="B1089" s="7">
        <v>8529.35</v>
      </c>
      <c r="C1089" s="7">
        <v>8678.2999999999993</v>
      </c>
      <c r="D1089" s="7">
        <v>8358</v>
      </c>
      <c r="E1089" s="7">
        <v>8597.75</v>
      </c>
      <c r="F1089" s="7">
        <v>713390935</v>
      </c>
      <c r="G1089" s="42">
        <v>27401.3</v>
      </c>
    </row>
    <row r="1090" spans="1:7" ht="14.25" customHeight="1">
      <c r="A1090" s="41">
        <v>43922</v>
      </c>
      <c r="B1090" s="7">
        <v>8584.1</v>
      </c>
      <c r="C1090" s="7">
        <v>8588.1</v>
      </c>
      <c r="D1090" s="7">
        <v>8198.35</v>
      </c>
      <c r="E1090" s="7">
        <v>8253.7999999999993</v>
      </c>
      <c r="F1090" s="7">
        <v>507509685</v>
      </c>
      <c r="G1090" s="42">
        <v>21307.3</v>
      </c>
    </row>
    <row r="1091" spans="1:7" ht="14.25" customHeight="1">
      <c r="A1091" s="41">
        <v>43924</v>
      </c>
      <c r="B1091" s="7">
        <v>8356.5499999999993</v>
      </c>
      <c r="C1091" s="7">
        <v>8356.5499999999993</v>
      </c>
      <c r="D1091" s="7">
        <v>8055.8</v>
      </c>
      <c r="E1091" s="7">
        <v>8083.8</v>
      </c>
      <c r="F1091" s="7">
        <v>697752438</v>
      </c>
      <c r="G1091" s="42">
        <v>26561.18</v>
      </c>
    </row>
    <row r="1092" spans="1:7" ht="14.25" customHeight="1">
      <c r="A1092" s="41">
        <v>43928</v>
      </c>
      <c r="B1092" s="7">
        <v>8446.2999999999993</v>
      </c>
      <c r="C1092" s="7">
        <v>8819.4</v>
      </c>
      <c r="D1092" s="7">
        <v>8360.9500000000007</v>
      </c>
      <c r="E1092" s="7">
        <v>8792.2000000000007</v>
      </c>
      <c r="F1092" s="7">
        <v>815245226</v>
      </c>
      <c r="G1092" s="42">
        <v>35206.69</v>
      </c>
    </row>
    <row r="1093" spans="1:7" ht="14.25" customHeight="1">
      <c r="A1093" s="41">
        <v>43929</v>
      </c>
      <c r="B1093" s="7">
        <v>8688.9</v>
      </c>
      <c r="C1093" s="7">
        <v>9131.7000000000007</v>
      </c>
      <c r="D1093" s="7">
        <v>8653.9</v>
      </c>
      <c r="E1093" s="7">
        <v>8748.75</v>
      </c>
      <c r="F1093" s="7">
        <v>897562690</v>
      </c>
      <c r="G1093" s="42">
        <v>37641.68</v>
      </c>
    </row>
    <row r="1094" spans="1:7" ht="14.25" customHeight="1">
      <c r="A1094" s="41">
        <v>43930</v>
      </c>
      <c r="B1094" s="7">
        <v>8973.0499999999993</v>
      </c>
      <c r="C1094" s="7">
        <v>9128.35</v>
      </c>
      <c r="D1094" s="7">
        <v>8904.5499999999993</v>
      </c>
      <c r="E1094" s="7">
        <v>9111.9</v>
      </c>
      <c r="F1094" s="7">
        <v>743036134</v>
      </c>
      <c r="G1094" s="42">
        <v>32907.82</v>
      </c>
    </row>
    <row r="1095" spans="1:7" ht="14.25" customHeight="1">
      <c r="A1095" s="41">
        <v>43934</v>
      </c>
      <c r="B1095" s="7">
        <v>9103.9500000000007</v>
      </c>
      <c r="C1095" s="7">
        <v>9112.0499999999993</v>
      </c>
      <c r="D1095" s="7">
        <v>8912.4</v>
      </c>
      <c r="E1095" s="7">
        <v>8993.85</v>
      </c>
      <c r="F1095" s="7">
        <v>644468815</v>
      </c>
      <c r="G1095" s="42">
        <v>26749.06</v>
      </c>
    </row>
    <row r="1096" spans="1:7" ht="14.25" customHeight="1">
      <c r="A1096" s="41">
        <v>43936</v>
      </c>
      <c r="B1096" s="7">
        <v>9196.4</v>
      </c>
      <c r="C1096" s="7">
        <v>9261.2000000000007</v>
      </c>
      <c r="D1096" s="7">
        <v>8874.1</v>
      </c>
      <c r="E1096" s="7">
        <v>8925.2999999999993</v>
      </c>
      <c r="F1096" s="7">
        <v>880159358</v>
      </c>
      <c r="G1096" s="42">
        <v>41878.639999999999</v>
      </c>
    </row>
    <row r="1097" spans="1:7" ht="14.25" customHeight="1">
      <c r="A1097" s="41">
        <v>43937</v>
      </c>
      <c r="B1097" s="7">
        <v>8851.25</v>
      </c>
      <c r="C1097" s="7">
        <v>9053.75</v>
      </c>
      <c r="D1097" s="7">
        <v>8821.9</v>
      </c>
      <c r="E1097" s="7">
        <v>8992.7999999999993</v>
      </c>
      <c r="F1097" s="7">
        <v>720116479</v>
      </c>
      <c r="G1097" s="42">
        <v>31318.29</v>
      </c>
    </row>
    <row r="1098" spans="1:7" ht="14.25" customHeight="1">
      <c r="A1098" s="41">
        <v>43938</v>
      </c>
      <c r="B1098" s="7">
        <v>9323.4500000000007</v>
      </c>
      <c r="C1098" s="7">
        <v>9324</v>
      </c>
      <c r="D1098" s="7">
        <v>9091.35</v>
      </c>
      <c r="E1098" s="7">
        <v>9266.75</v>
      </c>
      <c r="F1098" s="7">
        <v>684910520</v>
      </c>
      <c r="G1098" s="42">
        <v>33334.730000000003</v>
      </c>
    </row>
    <row r="1099" spans="1:7" ht="14.25" customHeight="1">
      <c r="A1099" s="41">
        <v>43941</v>
      </c>
      <c r="B1099" s="7">
        <v>9390.2000000000007</v>
      </c>
      <c r="C1099" s="7">
        <v>9390.85</v>
      </c>
      <c r="D1099" s="7">
        <v>9230.7999999999993</v>
      </c>
      <c r="E1099" s="7">
        <v>9261.85</v>
      </c>
      <c r="F1099" s="7">
        <v>726364699</v>
      </c>
      <c r="G1099" s="42">
        <v>28620.91</v>
      </c>
    </row>
    <row r="1100" spans="1:7" ht="14.25" customHeight="1">
      <c r="A1100" s="41">
        <v>43942</v>
      </c>
      <c r="B1100" s="7">
        <v>9016.9500000000007</v>
      </c>
      <c r="C1100" s="7">
        <v>9044.4</v>
      </c>
      <c r="D1100" s="7">
        <v>8909.4</v>
      </c>
      <c r="E1100" s="7">
        <v>8981.4500000000007</v>
      </c>
      <c r="F1100" s="7">
        <v>655122903</v>
      </c>
      <c r="G1100" s="42">
        <v>28273.89</v>
      </c>
    </row>
    <row r="1101" spans="1:7" ht="14.25" customHeight="1">
      <c r="A1101" s="41">
        <v>43943</v>
      </c>
      <c r="B1101" s="7">
        <v>9026.75</v>
      </c>
      <c r="C1101" s="7">
        <v>9209.75</v>
      </c>
      <c r="D1101" s="7">
        <v>8946.25</v>
      </c>
      <c r="E1101" s="7">
        <v>9187.2999999999993</v>
      </c>
      <c r="F1101" s="7">
        <v>734383388</v>
      </c>
      <c r="G1101" s="42">
        <v>33981.82</v>
      </c>
    </row>
    <row r="1102" spans="1:7" ht="14.25" customHeight="1">
      <c r="A1102" s="41">
        <v>43944</v>
      </c>
      <c r="B1102" s="7">
        <v>9232.35</v>
      </c>
      <c r="C1102" s="7">
        <v>9343.6</v>
      </c>
      <c r="D1102" s="7">
        <v>9170.15</v>
      </c>
      <c r="E1102" s="7">
        <v>9313.9</v>
      </c>
      <c r="F1102" s="7">
        <v>666650462</v>
      </c>
      <c r="G1102" s="42">
        <v>30270.55</v>
      </c>
    </row>
    <row r="1103" spans="1:7" ht="14.25" customHeight="1">
      <c r="A1103" s="41">
        <v>43945</v>
      </c>
      <c r="B1103" s="7">
        <v>9163.9</v>
      </c>
      <c r="C1103" s="7">
        <v>9296.9</v>
      </c>
      <c r="D1103" s="7">
        <v>9141.2999999999993</v>
      </c>
      <c r="E1103" s="7">
        <v>9154.4</v>
      </c>
      <c r="F1103" s="7">
        <v>659439249</v>
      </c>
      <c r="G1103" s="42">
        <v>32859.050000000003</v>
      </c>
    </row>
    <row r="1104" spans="1:7" ht="14.25" customHeight="1">
      <c r="A1104" s="41">
        <v>43948</v>
      </c>
      <c r="B1104" s="7">
        <v>9259.7000000000007</v>
      </c>
      <c r="C1104" s="7">
        <v>9377.1</v>
      </c>
      <c r="D1104" s="7">
        <v>9250.35</v>
      </c>
      <c r="E1104" s="7">
        <v>9282.2999999999993</v>
      </c>
      <c r="F1104" s="7">
        <v>512793298</v>
      </c>
      <c r="G1104" s="42">
        <v>26696.54</v>
      </c>
    </row>
    <row r="1105" spans="1:7" ht="14.25" customHeight="1">
      <c r="A1105" s="41">
        <v>43949</v>
      </c>
      <c r="B1105" s="7">
        <v>9389.7999999999993</v>
      </c>
      <c r="C1105" s="7">
        <v>9404.4</v>
      </c>
      <c r="D1105" s="7">
        <v>9260</v>
      </c>
      <c r="E1105" s="7">
        <v>9380.9</v>
      </c>
      <c r="F1105" s="7">
        <v>614548983</v>
      </c>
      <c r="G1105" s="42">
        <v>30091.41</v>
      </c>
    </row>
    <row r="1106" spans="1:7" ht="14.25" customHeight="1">
      <c r="A1106" s="41">
        <v>43950</v>
      </c>
      <c r="B1106" s="7">
        <v>9408.6</v>
      </c>
      <c r="C1106" s="7">
        <v>9599.85</v>
      </c>
      <c r="D1106" s="7">
        <v>9392.35</v>
      </c>
      <c r="E1106" s="7">
        <v>9553.35</v>
      </c>
      <c r="F1106" s="7">
        <v>653026950</v>
      </c>
      <c r="G1106" s="42">
        <v>31673.23</v>
      </c>
    </row>
    <row r="1107" spans="1:7" ht="14.25" customHeight="1">
      <c r="A1107" s="41">
        <v>43951</v>
      </c>
      <c r="B1107" s="7">
        <v>9753.5</v>
      </c>
      <c r="C1107" s="7">
        <v>9889.0499999999993</v>
      </c>
      <c r="D1107" s="7">
        <v>9731.5</v>
      </c>
      <c r="E1107" s="7">
        <v>9859.9</v>
      </c>
      <c r="F1107" s="7">
        <v>931173802</v>
      </c>
      <c r="G1107" s="42">
        <v>39332.46</v>
      </c>
    </row>
    <row r="1108" spans="1:7" ht="14.25" customHeight="1">
      <c r="A1108" s="41">
        <v>43955</v>
      </c>
      <c r="B1108" s="7">
        <v>9533.5</v>
      </c>
      <c r="C1108" s="7">
        <v>9533.5</v>
      </c>
      <c r="D1108" s="7">
        <v>9266.9500000000007</v>
      </c>
      <c r="E1108" s="7">
        <v>9293.5</v>
      </c>
      <c r="F1108" s="7">
        <v>687487134</v>
      </c>
      <c r="G1108" s="42">
        <v>29785.95</v>
      </c>
    </row>
    <row r="1109" spans="1:7" ht="14.25" customHeight="1">
      <c r="A1109" s="41">
        <v>43956</v>
      </c>
      <c r="B1109" s="7">
        <v>9429.4</v>
      </c>
      <c r="C1109" s="7">
        <v>9450.9</v>
      </c>
      <c r="D1109" s="7">
        <v>9190.75</v>
      </c>
      <c r="E1109" s="7">
        <v>9205.6</v>
      </c>
      <c r="F1109" s="7">
        <v>725196178</v>
      </c>
      <c r="G1109" s="42">
        <v>29700.2</v>
      </c>
    </row>
    <row r="1110" spans="1:7" ht="14.25" customHeight="1">
      <c r="A1110" s="41">
        <v>43957</v>
      </c>
      <c r="B1110" s="7">
        <v>9226.7999999999993</v>
      </c>
      <c r="C1110" s="7">
        <v>9346.9</v>
      </c>
      <c r="D1110" s="7">
        <v>9116.5</v>
      </c>
      <c r="E1110" s="7">
        <v>9270.9</v>
      </c>
      <c r="F1110" s="7">
        <v>722185448</v>
      </c>
      <c r="G1110" s="42">
        <v>30798.1</v>
      </c>
    </row>
    <row r="1111" spans="1:7" ht="14.25" customHeight="1">
      <c r="A1111" s="41">
        <v>43958</v>
      </c>
      <c r="B1111" s="7">
        <v>9234.0499999999993</v>
      </c>
      <c r="C1111" s="7">
        <v>9277.85</v>
      </c>
      <c r="D1111" s="7">
        <v>9175.9</v>
      </c>
      <c r="E1111" s="7">
        <v>9199.0499999999993</v>
      </c>
      <c r="F1111" s="7">
        <v>708740416</v>
      </c>
      <c r="G1111" s="42">
        <v>59705.53</v>
      </c>
    </row>
    <row r="1112" spans="1:7" ht="14.25" customHeight="1">
      <c r="A1112" s="41">
        <v>43959</v>
      </c>
      <c r="B1112" s="7">
        <v>9376.9500000000007</v>
      </c>
      <c r="C1112" s="7">
        <v>9382.65</v>
      </c>
      <c r="D1112" s="7">
        <v>9238.2000000000007</v>
      </c>
      <c r="E1112" s="7">
        <v>9251.5</v>
      </c>
      <c r="F1112" s="7">
        <v>609053504</v>
      </c>
      <c r="G1112" s="42">
        <v>30743.45</v>
      </c>
    </row>
    <row r="1113" spans="1:7" ht="14.25" customHeight="1">
      <c r="A1113" s="41">
        <v>43962</v>
      </c>
      <c r="B1113" s="7">
        <v>9348.15</v>
      </c>
      <c r="C1113" s="7">
        <v>9439.9</v>
      </c>
      <c r="D1113" s="7">
        <v>9219.9500000000007</v>
      </c>
      <c r="E1113" s="7">
        <v>9239.2000000000007</v>
      </c>
      <c r="F1113" s="7">
        <v>704647074</v>
      </c>
      <c r="G1113" s="42">
        <v>31048.47</v>
      </c>
    </row>
    <row r="1114" spans="1:7" ht="14.25" customHeight="1">
      <c r="A1114" s="41">
        <v>43963</v>
      </c>
      <c r="B1114" s="7">
        <v>9168.85</v>
      </c>
      <c r="C1114" s="7">
        <v>9240.85</v>
      </c>
      <c r="D1114" s="7">
        <v>9043.9500000000007</v>
      </c>
      <c r="E1114" s="7">
        <v>9196.5499999999993</v>
      </c>
      <c r="F1114" s="7">
        <v>805458787</v>
      </c>
      <c r="G1114" s="42">
        <v>37706.269999999997</v>
      </c>
    </row>
    <row r="1115" spans="1:7" ht="14.25" customHeight="1">
      <c r="A1115" s="41">
        <v>43964</v>
      </c>
      <c r="B1115" s="7">
        <v>9584.2000000000007</v>
      </c>
      <c r="C1115" s="7">
        <v>9584.5</v>
      </c>
      <c r="D1115" s="7">
        <v>9351.1</v>
      </c>
      <c r="E1115" s="7">
        <v>9383.5499999999993</v>
      </c>
      <c r="F1115" s="7">
        <v>846395245</v>
      </c>
      <c r="G1115" s="42">
        <v>36488.9</v>
      </c>
    </row>
    <row r="1116" spans="1:7" ht="14.25" customHeight="1">
      <c r="A1116" s="41">
        <v>43965</v>
      </c>
      <c r="B1116" s="7">
        <v>9213.9500000000007</v>
      </c>
      <c r="C1116" s="7">
        <v>9281.1</v>
      </c>
      <c r="D1116" s="7">
        <v>9119.75</v>
      </c>
      <c r="E1116" s="7">
        <v>9142.75</v>
      </c>
      <c r="F1116" s="7">
        <v>602555564</v>
      </c>
      <c r="G1116" s="42">
        <v>29541.59</v>
      </c>
    </row>
    <row r="1117" spans="1:7" ht="14.25" customHeight="1">
      <c r="A1117" s="41">
        <v>43966</v>
      </c>
      <c r="B1117" s="7">
        <v>9182.4</v>
      </c>
      <c r="C1117" s="7">
        <v>9182.4</v>
      </c>
      <c r="D1117" s="7">
        <v>9050</v>
      </c>
      <c r="E1117" s="7">
        <v>9136.85</v>
      </c>
      <c r="F1117" s="7">
        <v>575857112</v>
      </c>
      <c r="G1117" s="42">
        <v>25847.33</v>
      </c>
    </row>
    <row r="1118" spans="1:7" ht="14.25" customHeight="1">
      <c r="A1118" s="41">
        <v>43969</v>
      </c>
      <c r="B1118" s="7">
        <v>9158.2999999999993</v>
      </c>
      <c r="C1118" s="7">
        <v>9158.2999999999993</v>
      </c>
      <c r="D1118" s="7">
        <v>8806.75</v>
      </c>
      <c r="E1118" s="7">
        <v>8823.25</v>
      </c>
      <c r="F1118" s="7">
        <v>772983297</v>
      </c>
      <c r="G1118" s="42">
        <v>33347.46</v>
      </c>
    </row>
    <row r="1119" spans="1:7" ht="14.25" customHeight="1">
      <c r="A1119" s="41">
        <v>43970</v>
      </c>
      <c r="B1119" s="7">
        <v>8961.7000000000007</v>
      </c>
      <c r="C1119" s="7">
        <v>9030.35</v>
      </c>
      <c r="D1119" s="7">
        <v>8855.2999999999993</v>
      </c>
      <c r="E1119" s="7">
        <v>8879.1</v>
      </c>
      <c r="F1119" s="7">
        <v>762152894</v>
      </c>
      <c r="G1119" s="42">
        <v>32026.94</v>
      </c>
    </row>
    <row r="1120" spans="1:7" ht="14.25" customHeight="1">
      <c r="A1120" s="41">
        <v>43971</v>
      </c>
      <c r="B1120" s="7">
        <v>8889.15</v>
      </c>
      <c r="C1120" s="7">
        <v>9093.7999999999993</v>
      </c>
      <c r="D1120" s="7">
        <v>8875.35</v>
      </c>
      <c r="E1120" s="7">
        <v>9066.5499999999993</v>
      </c>
      <c r="F1120" s="7">
        <v>622308140</v>
      </c>
      <c r="G1120" s="42">
        <v>30721.99</v>
      </c>
    </row>
    <row r="1121" spans="1:7" ht="14.25" customHeight="1">
      <c r="A1121" s="41">
        <v>43972</v>
      </c>
      <c r="B1121" s="7">
        <v>9079.4500000000007</v>
      </c>
      <c r="C1121" s="7">
        <v>9178.5499999999993</v>
      </c>
      <c r="D1121" s="7">
        <v>9056.1</v>
      </c>
      <c r="E1121" s="7">
        <v>9106.25</v>
      </c>
      <c r="F1121" s="7">
        <v>631542699</v>
      </c>
      <c r="G1121" s="42">
        <v>28303.51</v>
      </c>
    </row>
    <row r="1122" spans="1:7" ht="14.25" customHeight="1">
      <c r="A1122" s="41">
        <v>43973</v>
      </c>
      <c r="B1122" s="7">
        <v>9067.9</v>
      </c>
      <c r="C1122" s="7">
        <v>9149.6</v>
      </c>
      <c r="D1122" s="7">
        <v>8968.5499999999993</v>
      </c>
      <c r="E1122" s="7">
        <v>9039.25</v>
      </c>
      <c r="F1122" s="7">
        <v>675759336</v>
      </c>
      <c r="G1122" s="42">
        <v>31625.47</v>
      </c>
    </row>
    <row r="1123" spans="1:7" ht="14.25" customHeight="1">
      <c r="A1123" s="41">
        <v>43977</v>
      </c>
      <c r="B1123" s="7">
        <v>9099.75</v>
      </c>
      <c r="C1123" s="7">
        <v>9161.65</v>
      </c>
      <c r="D1123" s="7">
        <v>8996.65</v>
      </c>
      <c r="E1123" s="7">
        <v>9029.0499999999993</v>
      </c>
      <c r="F1123" s="7">
        <v>654959960</v>
      </c>
      <c r="G1123" s="42">
        <v>30871.59</v>
      </c>
    </row>
    <row r="1124" spans="1:7" ht="14.25" customHeight="1">
      <c r="A1124" s="41">
        <v>43978</v>
      </c>
      <c r="B1124" s="7">
        <v>9082.2000000000007</v>
      </c>
      <c r="C1124" s="7">
        <v>9334</v>
      </c>
      <c r="D1124" s="7">
        <v>9004.25</v>
      </c>
      <c r="E1124" s="7">
        <v>9314.9500000000007</v>
      </c>
      <c r="F1124" s="7">
        <v>763492487</v>
      </c>
      <c r="G1124" s="42">
        <v>34603.879999999997</v>
      </c>
    </row>
    <row r="1125" spans="1:7" ht="14.25" customHeight="1">
      <c r="A1125" s="41">
        <v>43979</v>
      </c>
      <c r="B1125" s="7">
        <v>9364.9500000000007</v>
      </c>
      <c r="C1125" s="7">
        <v>9511.25</v>
      </c>
      <c r="D1125" s="7">
        <v>9336.5</v>
      </c>
      <c r="E1125" s="7">
        <v>9490.1</v>
      </c>
      <c r="F1125" s="7">
        <v>837911425</v>
      </c>
      <c r="G1125" s="42">
        <v>37761.910000000003</v>
      </c>
    </row>
    <row r="1126" spans="1:7" ht="14.25" customHeight="1">
      <c r="A1126" s="41">
        <v>43980</v>
      </c>
      <c r="B1126" s="7">
        <v>9422.2000000000007</v>
      </c>
      <c r="C1126" s="7">
        <v>9598.85</v>
      </c>
      <c r="D1126" s="7">
        <v>9376.9</v>
      </c>
      <c r="E1126" s="7">
        <v>9580.2999999999993</v>
      </c>
      <c r="F1126" s="7">
        <v>967005438</v>
      </c>
      <c r="G1126" s="42">
        <v>45006.25</v>
      </c>
    </row>
    <row r="1127" spans="1:7" ht="14.25" customHeight="1">
      <c r="A1127" s="41">
        <v>43983</v>
      </c>
      <c r="B1127" s="7">
        <v>9726.85</v>
      </c>
      <c r="C1127" s="7">
        <v>9931.6</v>
      </c>
      <c r="D1127" s="7">
        <v>9706.9500000000007</v>
      </c>
      <c r="E1127" s="7">
        <v>9826.15</v>
      </c>
      <c r="F1127" s="7">
        <v>794183122</v>
      </c>
      <c r="G1127" s="42">
        <v>38096.92</v>
      </c>
    </row>
    <row r="1128" spans="1:7" ht="14.25" customHeight="1">
      <c r="A1128" s="41">
        <v>43984</v>
      </c>
      <c r="B1128" s="7">
        <v>9880.85</v>
      </c>
      <c r="C1128" s="7">
        <v>9995.6</v>
      </c>
      <c r="D1128" s="7">
        <v>9824.0499999999993</v>
      </c>
      <c r="E1128" s="7">
        <v>9979.1</v>
      </c>
      <c r="F1128" s="7">
        <v>770192848</v>
      </c>
      <c r="G1128" s="42">
        <v>36723.11</v>
      </c>
    </row>
    <row r="1129" spans="1:7" ht="14.25" customHeight="1">
      <c r="A1129" s="41">
        <v>43985</v>
      </c>
      <c r="B1129" s="7">
        <v>10108.299999999999</v>
      </c>
      <c r="C1129" s="7">
        <v>10176.200000000001</v>
      </c>
      <c r="D1129" s="7">
        <v>10035.549999999999</v>
      </c>
      <c r="E1129" s="7">
        <v>10061.549999999999</v>
      </c>
      <c r="F1129" s="7">
        <v>794664422</v>
      </c>
      <c r="G1129" s="42">
        <v>38343.61</v>
      </c>
    </row>
    <row r="1130" spans="1:7" ht="14.25" customHeight="1">
      <c r="A1130" s="41">
        <v>43986</v>
      </c>
      <c r="B1130" s="7">
        <v>10054.25</v>
      </c>
      <c r="C1130" s="7">
        <v>10123.85</v>
      </c>
      <c r="D1130" s="7">
        <v>9944.25</v>
      </c>
      <c r="E1130" s="7">
        <v>10029.1</v>
      </c>
      <c r="F1130" s="7">
        <v>775106567</v>
      </c>
      <c r="G1130" s="42">
        <v>36399.040000000001</v>
      </c>
    </row>
    <row r="1131" spans="1:7" ht="14.25" customHeight="1">
      <c r="A1131" s="41">
        <v>43987</v>
      </c>
      <c r="B1131" s="7">
        <v>10093.799999999999</v>
      </c>
      <c r="C1131" s="7">
        <v>10177.799999999999</v>
      </c>
      <c r="D1131" s="7">
        <v>10040.75</v>
      </c>
      <c r="E1131" s="7">
        <v>10142.15</v>
      </c>
      <c r="F1131" s="7">
        <v>987122302</v>
      </c>
      <c r="G1131" s="42">
        <v>37824.629999999997</v>
      </c>
    </row>
    <row r="1132" spans="1:7" ht="14.25" customHeight="1">
      <c r="A1132" s="41">
        <v>43990</v>
      </c>
      <c r="B1132" s="7">
        <v>10326.75</v>
      </c>
      <c r="C1132" s="7">
        <v>10328.5</v>
      </c>
      <c r="D1132" s="7">
        <v>10120.25</v>
      </c>
      <c r="E1132" s="7">
        <v>10167.450000000001</v>
      </c>
      <c r="F1132" s="7">
        <v>936485541</v>
      </c>
      <c r="G1132" s="42">
        <v>37819.06</v>
      </c>
    </row>
    <row r="1133" spans="1:7" ht="14.25" customHeight="1">
      <c r="A1133" s="41">
        <v>43991</v>
      </c>
      <c r="B1133" s="7">
        <v>10181.15</v>
      </c>
      <c r="C1133" s="7">
        <v>10291.15</v>
      </c>
      <c r="D1133" s="7">
        <v>10021.450000000001</v>
      </c>
      <c r="E1133" s="7">
        <v>10046.65</v>
      </c>
      <c r="F1133" s="7">
        <v>754217460</v>
      </c>
      <c r="G1133" s="42">
        <v>36201.050000000003</v>
      </c>
    </row>
    <row r="1134" spans="1:7" ht="14.25" customHeight="1">
      <c r="A1134" s="41">
        <v>43992</v>
      </c>
      <c r="B1134" s="7">
        <v>10072.6</v>
      </c>
      <c r="C1134" s="7">
        <v>10148.75</v>
      </c>
      <c r="D1134" s="7">
        <v>10036.85</v>
      </c>
      <c r="E1134" s="7">
        <v>10116.15</v>
      </c>
      <c r="F1134" s="7">
        <v>632383068</v>
      </c>
      <c r="G1134" s="42">
        <v>28485.47</v>
      </c>
    </row>
    <row r="1135" spans="1:7" ht="14.25" customHeight="1">
      <c r="A1135" s="41">
        <v>43993</v>
      </c>
      <c r="B1135" s="7">
        <v>10094.1</v>
      </c>
      <c r="C1135" s="7">
        <v>10112.049999999999</v>
      </c>
      <c r="D1135" s="7">
        <v>9885.0499999999993</v>
      </c>
      <c r="E1135" s="7">
        <v>9902</v>
      </c>
      <c r="F1135" s="7">
        <v>715453486</v>
      </c>
      <c r="G1135" s="42">
        <v>30813.85</v>
      </c>
    </row>
    <row r="1136" spans="1:7" ht="14.25" customHeight="1">
      <c r="A1136" s="41">
        <v>43994</v>
      </c>
      <c r="B1136" s="7">
        <v>9544.9500000000007</v>
      </c>
      <c r="C1136" s="7">
        <v>9996.0499999999993</v>
      </c>
      <c r="D1136" s="7">
        <v>9544.35</v>
      </c>
      <c r="E1136" s="7">
        <v>9972.9</v>
      </c>
      <c r="F1136" s="7">
        <v>796306399</v>
      </c>
      <c r="G1136" s="42">
        <v>36505.769999999997</v>
      </c>
    </row>
    <row r="1137" spans="1:7" ht="14.25" customHeight="1">
      <c r="A1137" s="41">
        <v>43997</v>
      </c>
      <c r="B1137" s="7">
        <v>9919.35</v>
      </c>
      <c r="C1137" s="7">
        <v>9943.35</v>
      </c>
      <c r="D1137" s="7">
        <v>9726.35</v>
      </c>
      <c r="E1137" s="7">
        <v>9813.7000000000007</v>
      </c>
      <c r="F1137" s="7">
        <v>716053036</v>
      </c>
      <c r="G1137" s="42">
        <v>31926.65</v>
      </c>
    </row>
    <row r="1138" spans="1:7" ht="14.25" customHeight="1">
      <c r="A1138" s="41">
        <v>43998</v>
      </c>
      <c r="B1138" s="7">
        <v>10014.799999999999</v>
      </c>
      <c r="C1138" s="7">
        <v>10046.15</v>
      </c>
      <c r="D1138" s="7">
        <v>9728.5</v>
      </c>
      <c r="E1138" s="7">
        <v>9914</v>
      </c>
      <c r="F1138" s="7">
        <v>899895044</v>
      </c>
      <c r="G1138" s="42">
        <v>36257.89</v>
      </c>
    </row>
    <row r="1139" spans="1:7" ht="14.25" customHeight="1">
      <c r="A1139" s="41">
        <v>43999</v>
      </c>
      <c r="B1139" s="7">
        <v>9876.7000000000007</v>
      </c>
      <c r="C1139" s="7">
        <v>10003.6</v>
      </c>
      <c r="D1139" s="7">
        <v>9833.7999999999993</v>
      </c>
      <c r="E1139" s="7">
        <v>9881.15</v>
      </c>
      <c r="F1139" s="7">
        <v>685418390</v>
      </c>
      <c r="G1139" s="42">
        <v>30700.69</v>
      </c>
    </row>
    <row r="1140" spans="1:7" ht="14.25" customHeight="1">
      <c r="A1140" s="41">
        <v>44000</v>
      </c>
      <c r="B1140" s="7">
        <v>9863.25</v>
      </c>
      <c r="C1140" s="7">
        <v>10111.200000000001</v>
      </c>
      <c r="D1140" s="7">
        <v>9845.0499999999993</v>
      </c>
      <c r="E1140" s="7">
        <v>10091.65</v>
      </c>
      <c r="F1140" s="7">
        <v>622895963</v>
      </c>
      <c r="G1140" s="42">
        <v>28594.32</v>
      </c>
    </row>
    <row r="1141" spans="1:7" ht="14.25" customHeight="1">
      <c r="A1141" s="41">
        <v>44001</v>
      </c>
      <c r="B1141" s="7">
        <v>10119</v>
      </c>
      <c r="C1141" s="7">
        <v>10272.4</v>
      </c>
      <c r="D1141" s="7">
        <v>10072.65</v>
      </c>
      <c r="E1141" s="7">
        <v>10244.4</v>
      </c>
      <c r="F1141" s="7">
        <v>892096343</v>
      </c>
      <c r="G1141" s="42">
        <v>48103.56</v>
      </c>
    </row>
    <row r="1142" spans="1:7" ht="14.25" customHeight="1">
      <c r="A1142" s="41">
        <v>44004</v>
      </c>
      <c r="B1142" s="7">
        <v>10318.75</v>
      </c>
      <c r="C1142" s="7">
        <v>10393.65</v>
      </c>
      <c r="D1142" s="7">
        <v>10277.6</v>
      </c>
      <c r="E1142" s="7">
        <v>10311.200000000001</v>
      </c>
      <c r="F1142" s="7">
        <v>685385093</v>
      </c>
      <c r="G1142" s="42">
        <v>35529.800000000003</v>
      </c>
    </row>
    <row r="1143" spans="1:7" ht="14.25" customHeight="1">
      <c r="A1143" s="41">
        <v>44005</v>
      </c>
      <c r="B1143" s="7">
        <v>10347.950000000001</v>
      </c>
      <c r="C1143" s="7">
        <v>10484.700000000001</v>
      </c>
      <c r="D1143" s="7">
        <v>10301.75</v>
      </c>
      <c r="E1143" s="7">
        <v>10471</v>
      </c>
      <c r="F1143" s="7">
        <v>669195109</v>
      </c>
      <c r="G1143" s="42">
        <v>34148.129999999997</v>
      </c>
    </row>
    <row r="1144" spans="1:7" ht="14.25" customHeight="1">
      <c r="A1144" s="41">
        <v>44006</v>
      </c>
      <c r="B1144" s="7">
        <v>10529.25</v>
      </c>
      <c r="C1144" s="7">
        <v>10553.15</v>
      </c>
      <c r="D1144" s="7">
        <v>10281.950000000001</v>
      </c>
      <c r="E1144" s="7">
        <v>10305.299999999999</v>
      </c>
      <c r="F1144" s="7">
        <v>854799801</v>
      </c>
      <c r="G1144" s="42">
        <v>41394.449999999997</v>
      </c>
    </row>
    <row r="1145" spans="1:7" ht="14.25" customHeight="1">
      <c r="A1145" s="41">
        <v>44007</v>
      </c>
      <c r="B1145" s="7">
        <v>10235.549999999999</v>
      </c>
      <c r="C1145" s="7">
        <v>10361.799999999999</v>
      </c>
      <c r="D1145" s="7">
        <v>10194.5</v>
      </c>
      <c r="E1145" s="7">
        <v>10288.9</v>
      </c>
      <c r="F1145" s="7">
        <v>994190886</v>
      </c>
      <c r="G1145" s="42">
        <v>41726.07</v>
      </c>
    </row>
    <row r="1146" spans="1:7" ht="14.25" customHeight="1">
      <c r="A1146" s="41">
        <v>44008</v>
      </c>
      <c r="B1146" s="7">
        <v>10378.9</v>
      </c>
      <c r="C1146" s="7">
        <v>10409.85</v>
      </c>
      <c r="D1146" s="7">
        <v>10311.25</v>
      </c>
      <c r="E1146" s="7">
        <v>10383</v>
      </c>
      <c r="F1146" s="7">
        <v>671910159</v>
      </c>
      <c r="G1146" s="42">
        <v>31841.68</v>
      </c>
    </row>
    <row r="1147" spans="1:7" ht="14.25" customHeight="1">
      <c r="A1147" s="41">
        <v>44011</v>
      </c>
      <c r="B1147" s="7">
        <v>10311.950000000001</v>
      </c>
      <c r="C1147" s="7">
        <v>10337.950000000001</v>
      </c>
      <c r="D1147" s="7">
        <v>10223.6</v>
      </c>
      <c r="E1147" s="7">
        <v>10312.4</v>
      </c>
      <c r="F1147" s="7">
        <v>574544482</v>
      </c>
      <c r="G1147" s="42">
        <v>27019.46</v>
      </c>
    </row>
    <row r="1148" spans="1:7" ht="14.25" customHeight="1">
      <c r="A1148" s="41">
        <v>44012</v>
      </c>
      <c r="B1148" s="7">
        <v>10382.6</v>
      </c>
      <c r="C1148" s="7">
        <v>10401.049999999999</v>
      </c>
      <c r="D1148" s="7">
        <v>10267.35</v>
      </c>
      <c r="E1148" s="7">
        <v>10302.1</v>
      </c>
      <c r="F1148" s="7">
        <v>556238560</v>
      </c>
      <c r="G1148" s="42">
        <v>27342.55</v>
      </c>
    </row>
    <row r="1149" spans="1:7" ht="14.25" customHeight="1">
      <c r="A1149" s="41">
        <v>44013</v>
      </c>
      <c r="B1149" s="7">
        <v>10323.799999999999</v>
      </c>
      <c r="C1149" s="7">
        <v>10447.049999999999</v>
      </c>
      <c r="D1149" s="7">
        <v>10299.6</v>
      </c>
      <c r="E1149" s="7">
        <v>10430.049999999999</v>
      </c>
      <c r="F1149" s="7">
        <v>573550127</v>
      </c>
      <c r="G1149" s="42">
        <v>28736.28</v>
      </c>
    </row>
    <row r="1150" spans="1:7" ht="14.25" customHeight="1">
      <c r="A1150" s="41">
        <v>44014</v>
      </c>
      <c r="B1150" s="7">
        <v>10493.05</v>
      </c>
      <c r="C1150" s="7">
        <v>10598.2</v>
      </c>
      <c r="D1150" s="7">
        <v>10485.549999999999</v>
      </c>
      <c r="E1150" s="7">
        <v>10551.7</v>
      </c>
      <c r="F1150" s="7">
        <v>597423931</v>
      </c>
      <c r="G1150" s="42">
        <v>31235.17</v>
      </c>
    </row>
    <row r="1151" spans="1:7" ht="14.25" customHeight="1">
      <c r="A1151" s="41">
        <v>44015</v>
      </c>
      <c r="B1151" s="7">
        <v>10614.95</v>
      </c>
      <c r="C1151" s="7">
        <v>10631.3</v>
      </c>
      <c r="D1151" s="7">
        <v>10562.65</v>
      </c>
      <c r="E1151" s="7">
        <v>10607.35</v>
      </c>
      <c r="F1151" s="7">
        <v>525190704</v>
      </c>
      <c r="G1151" s="42">
        <v>25186.39</v>
      </c>
    </row>
    <row r="1152" spans="1:7" ht="14.25" customHeight="1">
      <c r="A1152" s="41">
        <v>44018</v>
      </c>
      <c r="B1152" s="7">
        <v>10723.85</v>
      </c>
      <c r="C1152" s="7">
        <v>10811.4</v>
      </c>
      <c r="D1152" s="7">
        <v>10695.1</v>
      </c>
      <c r="E1152" s="7">
        <v>10763.65</v>
      </c>
      <c r="F1152" s="7">
        <v>571212914</v>
      </c>
      <c r="G1152" s="42">
        <v>29857.54</v>
      </c>
    </row>
    <row r="1153" spans="1:7" ht="14.25" customHeight="1">
      <c r="A1153" s="41">
        <v>44019</v>
      </c>
      <c r="B1153" s="7">
        <v>10802.85</v>
      </c>
      <c r="C1153" s="7">
        <v>10813.8</v>
      </c>
      <c r="D1153" s="7">
        <v>10689.7</v>
      </c>
      <c r="E1153" s="7">
        <v>10799.65</v>
      </c>
      <c r="F1153" s="7">
        <v>636764929</v>
      </c>
      <c r="G1153" s="42">
        <v>36502.370000000003</v>
      </c>
    </row>
    <row r="1154" spans="1:7" ht="14.25" customHeight="1">
      <c r="A1154" s="41">
        <v>44020</v>
      </c>
      <c r="B1154" s="7">
        <v>10818.65</v>
      </c>
      <c r="C1154" s="7">
        <v>10847.85</v>
      </c>
      <c r="D1154" s="7">
        <v>10676.55</v>
      </c>
      <c r="E1154" s="7">
        <v>10705.75</v>
      </c>
      <c r="F1154" s="7">
        <v>767941333</v>
      </c>
      <c r="G1154" s="42">
        <v>37676.339999999997</v>
      </c>
    </row>
    <row r="1155" spans="1:7" ht="14.25" customHeight="1">
      <c r="A1155" s="41">
        <v>44021</v>
      </c>
      <c r="B1155" s="7">
        <v>10755.55</v>
      </c>
      <c r="C1155" s="7">
        <v>10836.85</v>
      </c>
      <c r="D1155" s="7">
        <v>10733</v>
      </c>
      <c r="E1155" s="7">
        <v>10813.45</v>
      </c>
      <c r="F1155" s="7">
        <v>618652409</v>
      </c>
      <c r="G1155" s="42">
        <v>31315.87</v>
      </c>
    </row>
    <row r="1156" spans="1:7" ht="14.25" customHeight="1">
      <c r="A1156" s="41">
        <v>44022</v>
      </c>
      <c r="B1156" s="7">
        <v>10764.1</v>
      </c>
      <c r="C1156" s="7">
        <v>10819.4</v>
      </c>
      <c r="D1156" s="7">
        <v>10713</v>
      </c>
      <c r="E1156" s="7">
        <v>10768.05</v>
      </c>
      <c r="F1156" s="7">
        <v>590705425</v>
      </c>
      <c r="G1156" s="42">
        <v>31557.58</v>
      </c>
    </row>
    <row r="1157" spans="1:7" ht="14.25" customHeight="1">
      <c r="A1157" s="41">
        <v>44025</v>
      </c>
      <c r="B1157" s="7">
        <v>10851.85</v>
      </c>
      <c r="C1157" s="7">
        <v>10894.05</v>
      </c>
      <c r="D1157" s="7">
        <v>10756.05</v>
      </c>
      <c r="E1157" s="7">
        <v>10802.7</v>
      </c>
      <c r="F1157" s="7">
        <v>554050579</v>
      </c>
      <c r="G1157" s="42">
        <v>30606.3</v>
      </c>
    </row>
    <row r="1158" spans="1:7" ht="14.25" customHeight="1">
      <c r="A1158" s="41">
        <v>44026</v>
      </c>
      <c r="B1158" s="7">
        <v>10750.85</v>
      </c>
      <c r="C1158" s="7">
        <v>10755.65</v>
      </c>
      <c r="D1158" s="7">
        <v>10562.9</v>
      </c>
      <c r="E1158" s="7">
        <v>10607.35</v>
      </c>
      <c r="F1158" s="7">
        <v>532368699</v>
      </c>
      <c r="G1158" s="42">
        <v>30902.47</v>
      </c>
    </row>
    <row r="1159" spans="1:7" ht="14.25" customHeight="1">
      <c r="A1159" s="41">
        <v>44033</v>
      </c>
      <c r="B1159" s="7">
        <v>11126.1</v>
      </c>
      <c r="C1159" s="7">
        <v>11179.55</v>
      </c>
      <c r="D1159" s="7">
        <v>11113.25</v>
      </c>
      <c r="E1159" s="7">
        <v>11162.25</v>
      </c>
      <c r="F1159" s="7">
        <v>771998838</v>
      </c>
      <c r="G1159" s="42">
        <v>42461.89</v>
      </c>
    </row>
    <row r="1160" spans="1:7" ht="14.25" customHeight="1">
      <c r="A1160" s="41">
        <v>44034</v>
      </c>
      <c r="B1160" s="7">
        <v>11231.2</v>
      </c>
      <c r="C1160" s="7">
        <v>11238.1</v>
      </c>
      <c r="D1160" s="7">
        <v>11056.55</v>
      </c>
      <c r="E1160" s="7">
        <v>11132.6</v>
      </c>
      <c r="F1160" s="7">
        <v>765074288</v>
      </c>
      <c r="G1160" s="42">
        <v>41068.720000000001</v>
      </c>
    </row>
    <row r="1161" spans="1:7" ht="14.25" customHeight="1">
      <c r="A1161" s="41">
        <v>44035</v>
      </c>
      <c r="B1161" s="7">
        <v>11135</v>
      </c>
      <c r="C1161" s="7">
        <v>11239.8</v>
      </c>
      <c r="D1161" s="7">
        <v>11103.15</v>
      </c>
      <c r="E1161" s="7">
        <v>11215.45</v>
      </c>
      <c r="F1161" s="7">
        <v>621575333</v>
      </c>
      <c r="G1161" s="42">
        <v>32744.93</v>
      </c>
    </row>
    <row r="1162" spans="1:7" ht="14.25" customHeight="1">
      <c r="A1162" s="41">
        <v>44036</v>
      </c>
      <c r="B1162" s="7">
        <v>11149.95</v>
      </c>
      <c r="C1162" s="7">
        <v>11225.4</v>
      </c>
      <c r="D1162" s="7">
        <v>11090.3</v>
      </c>
      <c r="E1162" s="7">
        <v>11194.15</v>
      </c>
      <c r="F1162" s="7">
        <v>678935175</v>
      </c>
      <c r="G1162" s="42">
        <v>40217.17</v>
      </c>
    </row>
    <row r="1163" spans="1:7" ht="14.25" customHeight="1">
      <c r="A1163" s="41">
        <v>44039</v>
      </c>
      <c r="B1163" s="7">
        <v>11225</v>
      </c>
      <c r="C1163" s="7">
        <v>11225</v>
      </c>
      <c r="D1163" s="7">
        <v>11087.85</v>
      </c>
      <c r="E1163" s="7">
        <v>11131.8</v>
      </c>
      <c r="F1163" s="7">
        <v>588148687</v>
      </c>
      <c r="G1163" s="42">
        <v>34539.730000000003</v>
      </c>
    </row>
    <row r="1164" spans="1:7" ht="14.25" customHeight="1">
      <c r="A1164" s="41">
        <v>44040</v>
      </c>
      <c r="B1164" s="7">
        <v>11154.1</v>
      </c>
      <c r="C1164" s="7">
        <v>11317.75</v>
      </c>
      <c r="D1164" s="7">
        <v>11151.4</v>
      </c>
      <c r="E1164" s="7">
        <v>11300.55</v>
      </c>
      <c r="F1164" s="7">
        <v>683891350</v>
      </c>
      <c r="G1164" s="42">
        <v>38677.47</v>
      </c>
    </row>
    <row r="1165" spans="1:7" ht="14.25" customHeight="1">
      <c r="A1165" s="41">
        <v>44041</v>
      </c>
      <c r="B1165" s="7">
        <v>11276.9</v>
      </c>
      <c r="C1165" s="7">
        <v>11341.4</v>
      </c>
      <c r="D1165" s="7">
        <v>11149.75</v>
      </c>
      <c r="E1165" s="7">
        <v>11202.85</v>
      </c>
      <c r="F1165" s="7">
        <v>600726301</v>
      </c>
      <c r="G1165" s="42">
        <v>38726.019999999997</v>
      </c>
    </row>
    <row r="1166" spans="1:7" ht="14.25" customHeight="1">
      <c r="A1166" s="41">
        <v>44042</v>
      </c>
      <c r="B1166" s="7">
        <v>11254.3</v>
      </c>
      <c r="C1166" s="7">
        <v>11299.95</v>
      </c>
      <c r="D1166" s="7">
        <v>11084.95</v>
      </c>
      <c r="E1166" s="7">
        <v>11102.15</v>
      </c>
      <c r="F1166" s="7">
        <v>677761342</v>
      </c>
      <c r="G1166" s="42">
        <v>39150.44</v>
      </c>
    </row>
    <row r="1167" spans="1:7" ht="14.25" customHeight="1">
      <c r="A1167" s="41">
        <v>44043</v>
      </c>
      <c r="B1167" s="7">
        <v>11139.5</v>
      </c>
      <c r="C1167" s="7">
        <v>11150.4</v>
      </c>
      <c r="D1167" s="7">
        <v>11026.65</v>
      </c>
      <c r="E1167" s="7">
        <v>11073.45</v>
      </c>
      <c r="F1167" s="7">
        <v>642560311</v>
      </c>
      <c r="G1167" s="42">
        <v>36220.089999999997</v>
      </c>
    </row>
    <row r="1168" spans="1:7" ht="14.25" customHeight="1">
      <c r="A1168" s="41">
        <v>44046</v>
      </c>
      <c r="B1168" s="7">
        <v>11057.55</v>
      </c>
      <c r="C1168" s="7">
        <v>11058.05</v>
      </c>
      <c r="D1168" s="7">
        <v>10882.25</v>
      </c>
      <c r="E1168" s="7">
        <v>10891.6</v>
      </c>
      <c r="F1168" s="7">
        <v>680929323</v>
      </c>
      <c r="G1168" s="42">
        <v>31149.94</v>
      </c>
    </row>
    <row r="1169" spans="1:7" ht="14.25" customHeight="1">
      <c r="A1169" s="41">
        <v>44047</v>
      </c>
      <c r="B1169" s="7">
        <v>10946.65</v>
      </c>
      <c r="C1169" s="7">
        <v>11112.25</v>
      </c>
      <c r="D1169" s="7">
        <v>10908.1</v>
      </c>
      <c r="E1169" s="7">
        <v>11095.25</v>
      </c>
      <c r="F1169" s="7">
        <v>625738313</v>
      </c>
      <c r="G1169" s="42">
        <v>35357.96</v>
      </c>
    </row>
    <row r="1170" spans="1:7" ht="14.25" customHeight="1">
      <c r="A1170" s="41">
        <v>44048</v>
      </c>
      <c r="B1170" s="7">
        <v>11155.75</v>
      </c>
      <c r="C1170" s="7">
        <v>11225.65</v>
      </c>
      <c r="D1170" s="7">
        <v>11064.05</v>
      </c>
      <c r="E1170" s="7">
        <v>11101.65</v>
      </c>
      <c r="F1170" s="7">
        <v>667639446</v>
      </c>
      <c r="G1170" s="42">
        <v>34894.58</v>
      </c>
    </row>
    <row r="1171" spans="1:7" ht="14.25" customHeight="1">
      <c r="A1171" s="41">
        <v>44049</v>
      </c>
      <c r="B1171" s="7">
        <v>11185.7</v>
      </c>
      <c r="C1171" s="7">
        <v>11256.8</v>
      </c>
      <c r="D1171" s="7">
        <v>11127.3</v>
      </c>
      <c r="E1171" s="7">
        <v>11200.15</v>
      </c>
      <c r="F1171" s="7">
        <v>600374615</v>
      </c>
      <c r="G1171" s="42">
        <v>31501.08</v>
      </c>
    </row>
    <row r="1172" spans="1:7" ht="14.25" customHeight="1">
      <c r="A1172" s="41">
        <v>44050</v>
      </c>
      <c r="B1172" s="7">
        <v>11186.65</v>
      </c>
      <c r="C1172" s="7">
        <v>11231.9</v>
      </c>
      <c r="D1172" s="7">
        <v>11142.05</v>
      </c>
      <c r="E1172" s="7">
        <v>11214.05</v>
      </c>
      <c r="F1172" s="7">
        <v>452629891</v>
      </c>
      <c r="G1172" s="42">
        <v>27054.43</v>
      </c>
    </row>
    <row r="1173" spans="1:7" ht="14.25" customHeight="1">
      <c r="A1173" s="41">
        <v>44053</v>
      </c>
      <c r="B1173" s="7">
        <v>11270.25</v>
      </c>
      <c r="C1173" s="7">
        <v>11337.3</v>
      </c>
      <c r="D1173" s="7">
        <v>11238</v>
      </c>
      <c r="E1173" s="7">
        <v>11270.15</v>
      </c>
      <c r="F1173" s="7">
        <v>491999534</v>
      </c>
      <c r="G1173" s="42">
        <v>29108.25</v>
      </c>
    </row>
    <row r="1174" spans="1:7" ht="14.25" customHeight="1">
      <c r="A1174" s="41">
        <v>44054</v>
      </c>
      <c r="B1174" s="7">
        <v>11322.25</v>
      </c>
      <c r="C1174" s="7">
        <v>11373.6</v>
      </c>
      <c r="D1174" s="7">
        <v>11299.15</v>
      </c>
      <c r="E1174" s="7">
        <v>11322.5</v>
      </c>
      <c r="F1174" s="7">
        <v>586084846</v>
      </c>
      <c r="G1174" s="42">
        <v>30314.89</v>
      </c>
    </row>
    <row r="1175" spans="1:7" ht="14.25" customHeight="1">
      <c r="A1175" s="41">
        <v>44055</v>
      </c>
      <c r="B1175" s="7">
        <v>11289</v>
      </c>
      <c r="C1175" s="7">
        <v>11322</v>
      </c>
      <c r="D1175" s="7">
        <v>11242.65</v>
      </c>
      <c r="E1175" s="7">
        <v>11308.4</v>
      </c>
      <c r="F1175" s="7">
        <v>609858960</v>
      </c>
      <c r="G1175" s="42">
        <v>28088.09</v>
      </c>
    </row>
    <row r="1176" spans="1:7" ht="14.25" customHeight="1">
      <c r="A1176" s="41">
        <v>44056</v>
      </c>
      <c r="B1176" s="7">
        <v>11334.85</v>
      </c>
      <c r="C1176" s="7">
        <v>11359.3</v>
      </c>
      <c r="D1176" s="7">
        <v>11269.95</v>
      </c>
      <c r="E1176" s="7">
        <v>11300.45</v>
      </c>
      <c r="F1176" s="7">
        <v>562355175</v>
      </c>
      <c r="G1176" s="42">
        <v>26500.52</v>
      </c>
    </row>
    <row r="1177" spans="1:7" ht="14.25" customHeight="1">
      <c r="A1177" s="41">
        <v>44057</v>
      </c>
      <c r="B1177" s="7">
        <v>11353.3</v>
      </c>
      <c r="C1177" s="7">
        <v>11366.25</v>
      </c>
      <c r="D1177" s="7">
        <v>11111.45</v>
      </c>
      <c r="E1177" s="7">
        <v>11178.4</v>
      </c>
      <c r="F1177" s="7">
        <v>645109756</v>
      </c>
      <c r="G1177" s="42">
        <v>31059.23</v>
      </c>
    </row>
    <row r="1178" spans="1:7" ht="14.25" customHeight="1">
      <c r="A1178" s="41">
        <v>44060</v>
      </c>
      <c r="B1178" s="7">
        <v>11248.9</v>
      </c>
      <c r="C1178" s="7">
        <v>11267.1</v>
      </c>
      <c r="D1178" s="7">
        <v>11144.5</v>
      </c>
      <c r="E1178" s="7">
        <v>11247.1</v>
      </c>
      <c r="F1178" s="7">
        <v>633963958</v>
      </c>
      <c r="G1178" s="42">
        <v>27468.67</v>
      </c>
    </row>
    <row r="1179" spans="1:7" ht="14.25" customHeight="1">
      <c r="A1179" s="41">
        <v>44061</v>
      </c>
      <c r="B1179" s="7">
        <v>11259.8</v>
      </c>
      <c r="C1179" s="7">
        <v>11401.7</v>
      </c>
      <c r="D1179" s="7">
        <v>11253.15</v>
      </c>
      <c r="E1179" s="7">
        <v>11385.35</v>
      </c>
      <c r="F1179" s="7">
        <v>579242492</v>
      </c>
      <c r="G1179" s="42">
        <v>27267.51</v>
      </c>
    </row>
    <row r="1180" spans="1:7" ht="14.25" customHeight="1">
      <c r="A1180" s="41">
        <v>44062</v>
      </c>
      <c r="B1180" s="7">
        <v>11452.15</v>
      </c>
      <c r="C1180" s="7">
        <v>11460.35</v>
      </c>
      <c r="D1180" s="7">
        <v>11394.1</v>
      </c>
      <c r="E1180" s="7">
        <v>11408.4</v>
      </c>
      <c r="F1180" s="7">
        <v>626217997</v>
      </c>
      <c r="G1180" s="42">
        <v>27528.12</v>
      </c>
    </row>
    <row r="1181" spans="1:7" ht="14.25" customHeight="1">
      <c r="A1181" s="41">
        <v>44063</v>
      </c>
      <c r="B1181" s="7">
        <v>11317.45</v>
      </c>
      <c r="C1181" s="7">
        <v>11361.45</v>
      </c>
      <c r="D1181" s="7">
        <v>11289.8</v>
      </c>
      <c r="E1181" s="7">
        <v>11312.2</v>
      </c>
      <c r="F1181" s="7">
        <v>791587770</v>
      </c>
      <c r="G1181" s="42">
        <v>27676.18</v>
      </c>
    </row>
    <row r="1182" spans="1:7" ht="14.25" customHeight="1">
      <c r="A1182" s="41">
        <v>44064</v>
      </c>
      <c r="B1182" s="7">
        <v>11409.65</v>
      </c>
      <c r="C1182" s="7">
        <v>11418.5</v>
      </c>
      <c r="D1182" s="7">
        <v>11362.2</v>
      </c>
      <c r="E1182" s="7">
        <v>11371.6</v>
      </c>
      <c r="F1182" s="7">
        <v>668719170</v>
      </c>
      <c r="G1182" s="42">
        <v>26294.26</v>
      </c>
    </row>
    <row r="1183" spans="1:7" ht="14.25" customHeight="1">
      <c r="A1183" s="41">
        <v>44067</v>
      </c>
      <c r="B1183" s="7">
        <v>11412</v>
      </c>
      <c r="C1183" s="7">
        <v>11497.25</v>
      </c>
      <c r="D1183" s="7">
        <v>11410.65</v>
      </c>
      <c r="E1183" s="7">
        <v>11466.45</v>
      </c>
      <c r="F1183" s="7">
        <v>532900535</v>
      </c>
      <c r="G1183" s="42">
        <v>28920.84</v>
      </c>
    </row>
    <row r="1184" spans="1:7" ht="14.25" customHeight="1">
      <c r="A1184" s="41">
        <v>44068</v>
      </c>
      <c r="B1184" s="7">
        <v>11513.1</v>
      </c>
      <c r="C1184" s="7">
        <v>11525.9</v>
      </c>
      <c r="D1184" s="7">
        <v>11423.35</v>
      </c>
      <c r="E1184" s="7">
        <v>11472.25</v>
      </c>
      <c r="F1184" s="7">
        <v>638152608</v>
      </c>
      <c r="G1184" s="42">
        <v>28742.82</v>
      </c>
    </row>
    <row r="1185" spans="1:7" ht="14.25" customHeight="1">
      <c r="A1185" s="41">
        <v>44069</v>
      </c>
      <c r="B1185" s="7">
        <v>11512.85</v>
      </c>
      <c r="C1185" s="7">
        <v>11561.75</v>
      </c>
      <c r="D1185" s="7">
        <v>11461.85</v>
      </c>
      <c r="E1185" s="7">
        <v>11549.6</v>
      </c>
      <c r="F1185" s="7">
        <v>743442521</v>
      </c>
      <c r="G1185" s="42">
        <v>34852.01</v>
      </c>
    </row>
    <row r="1186" spans="1:7" ht="14.25" customHeight="1">
      <c r="A1186" s="41">
        <v>44070</v>
      </c>
      <c r="B1186" s="7">
        <v>11609.3</v>
      </c>
      <c r="C1186" s="7">
        <v>11617.35</v>
      </c>
      <c r="D1186" s="7">
        <v>11540.6</v>
      </c>
      <c r="E1186" s="7">
        <v>11559.25</v>
      </c>
      <c r="F1186" s="7">
        <v>719776490</v>
      </c>
      <c r="G1186" s="42">
        <v>31580.61</v>
      </c>
    </row>
    <row r="1187" spans="1:7" ht="14.25" customHeight="1">
      <c r="A1187" s="41">
        <v>44071</v>
      </c>
      <c r="B1187" s="7">
        <v>11602.95</v>
      </c>
      <c r="C1187" s="7">
        <v>11686.05</v>
      </c>
      <c r="D1187" s="7">
        <v>11589.4</v>
      </c>
      <c r="E1187" s="7">
        <v>11647.6</v>
      </c>
      <c r="F1187" s="7">
        <v>806997707</v>
      </c>
      <c r="G1187" s="42">
        <v>39349.919999999998</v>
      </c>
    </row>
    <row r="1188" spans="1:7" ht="14.25" customHeight="1">
      <c r="A1188" s="41">
        <v>44074</v>
      </c>
      <c r="B1188" s="7">
        <v>11777.55</v>
      </c>
      <c r="C1188" s="7">
        <v>11794.25</v>
      </c>
      <c r="D1188" s="7">
        <v>11325.85</v>
      </c>
      <c r="E1188" s="7">
        <v>11387.5</v>
      </c>
      <c r="F1188" s="7">
        <v>1371789450</v>
      </c>
      <c r="G1188" s="42">
        <v>61668.55</v>
      </c>
    </row>
    <row r="1189" spans="1:7" ht="14.25" customHeight="1">
      <c r="A1189" s="41">
        <v>44075</v>
      </c>
      <c r="B1189" s="7">
        <v>11464.3</v>
      </c>
      <c r="C1189" s="7">
        <v>11553.55</v>
      </c>
      <c r="D1189" s="7">
        <v>11366.9</v>
      </c>
      <c r="E1189" s="7">
        <v>11470.25</v>
      </c>
      <c r="F1189" s="7">
        <v>783769555</v>
      </c>
      <c r="G1189" s="42">
        <v>36752.54</v>
      </c>
    </row>
    <row r="1190" spans="1:7" ht="14.25" customHeight="1">
      <c r="A1190" s="41">
        <v>44076</v>
      </c>
      <c r="B1190" s="7">
        <v>11478.55</v>
      </c>
      <c r="C1190" s="7">
        <v>11554.75</v>
      </c>
      <c r="D1190" s="7">
        <v>11430.4</v>
      </c>
      <c r="E1190" s="7">
        <v>11535</v>
      </c>
      <c r="F1190" s="7">
        <v>593494423</v>
      </c>
      <c r="G1190" s="42">
        <v>27454.65</v>
      </c>
    </row>
    <row r="1191" spans="1:7" ht="14.25" customHeight="1">
      <c r="A1191" s="41">
        <v>44077</v>
      </c>
      <c r="B1191" s="7">
        <v>11566.2</v>
      </c>
      <c r="C1191" s="7">
        <v>11584.95</v>
      </c>
      <c r="D1191" s="7">
        <v>11507.65</v>
      </c>
      <c r="E1191" s="7">
        <v>11527.45</v>
      </c>
      <c r="F1191" s="7">
        <v>607115212</v>
      </c>
      <c r="G1191" s="42">
        <v>26868.26</v>
      </c>
    </row>
    <row r="1192" spans="1:7" ht="14.25" customHeight="1">
      <c r="A1192" s="41">
        <v>44078</v>
      </c>
      <c r="B1192" s="7">
        <v>11354.4</v>
      </c>
      <c r="C1192" s="7">
        <v>11452.05</v>
      </c>
      <c r="D1192" s="7">
        <v>11303.65</v>
      </c>
      <c r="E1192" s="7">
        <v>11333.85</v>
      </c>
      <c r="F1192" s="7">
        <v>681338905</v>
      </c>
      <c r="G1192" s="42">
        <v>31746.86</v>
      </c>
    </row>
    <row r="1193" spans="1:7" ht="14.25" customHeight="1">
      <c r="A1193" s="41">
        <v>44081</v>
      </c>
      <c r="B1193" s="7">
        <v>11359.6</v>
      </c>
      <c r="C1193" s="7">
        <v>11381.15</v>
      </c>
      <c r="D1193" s="7">
        <v>11251.7</v>
      </c>
      <c r="E1193" s="7">
        <v>11355.05</v>
      </c>
      <c r="F1193" s="7">
        <v>560322964</v>
      </c>
      <c r="G1193" s="42">
        <v>25959.82</v>
      </c>
    </row>
    <row r="1194" spans="1:7" ht="14.25" customHeight="1">
      <c r="A1194" s="41">
        <v>44082</v>
      </c>
      <c r="B1194" s="7">
        <v>11378.55</v>
      </c>
      <c r="C1194" s="7">
        <v>11437.25</v>
      </c>
      <c r="D1194" s="7">
        <v>11290.45</v>
      </c>
      <c r="E1194" s="7">
        <v>11317.35</v>
      </c>
      <c r="F1194" s="7">
        <v>572239350</v>
      </c>
      <c r="G1194" s="42">
        <v>27979.7</v>
      </c>
    </row>
    <row r="1195" spans="1:7" ht="14.25" customHeight="1">
      <c r="A1195" s="41">
        <v>44083</v>
      </c>
      <c r="B1195" s="7">
        <v>11218.6</v>
      </c>
      <c r="C1195" s="7">
        <v>11298.15</v>
      </c>
      <c r="D1195" s="7">
        <v>11185.15</v>
      </c>
      <c r="E1195" s="7">
        <v>11278</v>
      </c>
      <c r="F1195" s="7">
        <v>728880693</v>
      </c>
      <c r="G1195" s="42">
        <v>32660.67</v>
      </c>
    </row>
    <row r="1196" spans="1:7" ht="14.25" customHeight="1">
      <c r="A1196" s="41">
        <v>44084</v>
      </c>
      <c r="B1196" s="7">
        <v>11363.3</v>
      </c>
      <c r="C1196" s="7">
        <v>11464.05</v>
      </c>
      <c r="D1196" s="7">
        <v>11327.4</v>
      </c>
      <c r="E1196" s="7">
        <v>11449.25</v>
      </c>
      <c r="F1196" s="7">
        <v>679419973</v>
      </c>
      <c r="G1196" s="42">
        <v>39239.1</v>
      </c>
    </row>
    <row r="1197" spans="1:7" ht="14.25" customHeight="1">
      <c r="A1197" s="41">
        <v>44085</v>
      </c>
      <c r="B1197" s="7">
        <v>11447.8</v>
      </c>
      <c r="C1197" s="7">
        <v>11493.5</v>
      </c>
      <c r="D1197" s="7">
        <v>11419.9</v>
      </c>
      <c r="E1197" s="7">
        <v>11464.45</v>
      </c>
      <c r="F1197" s="7">
        <v>554789157</v>
      </c>
      <c r="G1197" s="42">
        <v>29614.09</v>
      </c>
    </row>
    <row r="1198" spans="1:7" ht="14.25" customHeight="1">
      <c r="A1198" s="41">
        <v>44088</v>
      </c>
      <c r="B1198" s="7">
        <v>11540.15</v>
      </c>
      <c r="C1198" s="7">
        <v>11568.9</v>
      </c>
      <c r="D1198" s="7">
        <v>11383.55</v>
      </c>
      <c r="E1198" s="7">
        <v>11440.05</v>
      </c>
      <c r="F1198" s="7">
        <v>642270123</v>
      </c>
      <c r="G1198" s="42">
        <v>33996.94</v>
      </c>
    </row>
    <row r="1199" spans="1:7" ht="14.25" customHeight="1">
      <c r="A1199" s="41">
        <v>44089</v>
      </c>
      <c r="B1199" s="7">
        <v>11487.2</v>
      </c>
      <c r="C1199" s="7">
        <v>11535.95</v>
      </c>
      <c r="D1199" s="7">
        <v>11442.25</v>
      </c>
      <c r="E1199" s="7">
        <v>11521.8</v>
      </c>
      <c r="F1199" s="7">
        <v>506667239</v>
      </c>
      <c r="G1199" s="42">
        <v>28054.51</v>
      </c>
    </row>
    <row r="1200" spans="1:7" ht="14.25" customHeight="1">
      <c r="A1200" s="41">
        <v>44090</v>
      </c>
      <c r="B1200" s="7">
        <v>11538.45</v>
      </c>
      <c r="C1200" s="7">
        <v>11618.1</v>
      </c>
      <c r="D1200" s="7">
        <v>11516.75</v>
      </c>
      <c r="E1200" s="7">
        <v>11604.55</v>
      </c>
      <c r="F1200" s="7">
        <v>527804775</v>
      </c>
      <c r="G1200" s="42">
        <v>27629.71</v>
      </c>
    </row>
    <row r="1201" spans="1:7" ht="14.25" customHeight="1">
      <c r="A1201" s="41">
        <v>44091</v>
      </c>
      <c r="B1201" s="7">
        <v>11539.4</v>
      </c>
      <c r="C1201" s="7">
        <v>11587.2</v>
      </c>
      <c r="D1201" s="7">
        <v>11498.5</v>
      </c>
      <c r="E1201" s="7">
        <v>11516.1</v>
      </c>
      <c r="F1201" s="7">
        <v>517729494</v>
      </c>
      <c r="G1201" s="42">
        <v>29674.95</v>
      </c>
    </row>
    <row r="1202" spans="1:7" ht="14.25" customHeight="1">
      <c r="A1202" s="41">
        <v>44092</v>
      </c>
      <c r="B1202" s="7">
        <v>11584.1</v>
      </c>
      <c r="C1202" s="7">
        <v>11584.1</v>
      </c>
      <c r="D1202" s="7">
        <v>11446.1</v>
      </c>
      <c r="E1202" s="7">
        <v>11504.95</v>
      </c>
      <c r="F1202" s="7">
        <v>764154094</v>
      </c>
      <c r="G1202" s="42">
        <v>48698.68</v>
      </c>
    </row>
    <row r="1203" spans="1:7" ht="14.25" customHeight="1">
      <c r="A1203" s="41">
        <v>44095</v>
      </c>
      <c r="B1203" s="7">
        <v>11503.8</v>
      </c>
      <c r="C1203" s="7">
        <v>11535.25</v>
      </c>
      <c r="D1203" s="7">
        <v>11218.5</v>
      </c>
      <c r="E1203" s="7">
        <v>11250.55</v>
      </c>
      <c r="F1203" s="7">
        <v>602851737</v>
      </c>
      <c r="G1203" s="42">
        <v>37213.230000000003</v>
      </c>
    </row>
    <row r="1204" spans="1:7" ht="14.25" customHeight="1">
      <c r="A1204" s="41">
        <v>44096</v>
      </c>
      <c r="B1204" s="7">
        <v>11301.75</v>
      </c>
      <c r="C1204" s="7">
        <v>11302.2</v>
      </c>
      <c r="D1204" s="7">
        <v>11084.65</v>
      </c>
      <c r="E1204" s="7">
        <v>11153.65</v>
      </c>
      <c r="F1204" s="7">
        <v>672249921</v>
      </c>
      <c r="G1204" s="42">
        <v>36296.49</v>
      </c>
    </row>
    <row r="1205" spans="1:7" ht="14.25" customHeight="1">
      <c r="A1205" s="41">
        <v>44097</v>
      </c>
      <c r="B1205" s="7">
        <v>11258.75</v>
      </c>
      <c r="C1205" s="7">
        <v>11259.55</v>
      </c>
      <c r="D1205" s="7">
        <v>11024.4</v>
      </c>
      <c r="E1205" s="7">
        <v>11131.85</v>
      </c>
      <c r="F1205" s="7">
        <v>714925847</v>
      </c>
      <c r="G1205" s="42">
        <v>35542.980000000003</v>
      </c>
    </row>
    <row r="1206" spans="1:7" ht="14.25" customHeight="1">
      <c r="A1206" s="41">
        <v>44098</v>
      </c>
      <c r="B1206" s="7">
        <v>11011</v>
      </c>
      <c r="C1206" s="7">
        <v>11015.3</v>
      </c>
      <c r="D1206" s="7">
        <v>10790.2</v>
      </c>
      <c r="E1206" s="7">
        <v>10805.55</v>
      </c>
      <c r="F1206" s="7">
        <v>706139506</v>
      </c>
      <c r="G1206" s="42">
        <v>33623.71</v>
      </c>
    </row>
    <row r="1207" spans="1:7" ht="14.25" customHeight="1">
      <c r="A1207" s="41">
        <v>44099</v>
      </c>
      <c r="B1207" s="7">
        <v>10910.4</v>
      </c>
      <c r="C1207" s="7">
        <v>11072.6</v>
      </c>
      <c r="D1207" s="7">
        <v>10854.85</v>
      </c>
      <c r="E1207" s="7">
        <v>11050.25</v>
      </c>
      <c r="F1207" s="7">
        <v>559597322</v>
      </c>
      <c r="G1207" s="42">
        <v>31122.18</v>
      </c>
    </row>
    <row r="1208" spans="1:7" ht="14.25" customHeight="1">
      <c r="A1208" s="41">
        <v>44102</v>
      </c>
      <c r="B1208" s="7">
        <v>11140.85</v>
      </c>
      <c r="C1208" s="7">
        <v>11239.35</v>
      </c>
      <c r="D1208" s="7">
        <v>11099.85</v>
      </c>
      <c r="E1208" s="7">
        <v>11227.55</v>
      </c>
      <c r="F1208" s="7">
        <v>472777324</v>
      </c>
      <c r="G1208" s="42">
        <v>24361.17</v>
      </c>
    </row>
    <row r="1209" spans="1:7" ht="14.25" customHeight="1">
      <c r="A1209" s="41">
        <v>44103</v>
      </c>
      <c r="B1209" s="7">
        <v>11288.6</v>
      </c>
      <c r="C1209" s="7">
        <v>11305.4</v>
      </c>
      <c r="D1209" s="7">
        <v>11181</v>
      </c>
      <c r="E1209" s="7">
        <v>11222.4</v>
      </c>
      <c r="F1209" s="7">
        <v>498295735</v>
      </c>
      <c r="G1209" s="42">
        <v>26875.14</v>
      </c>
    </row>
    <row r="1210" spans="1:7" ht="14.25" customHeight="1">
      <c r="A1210" s="41">
        <v>44104</v>
      </c>
      <c r="B1210" s="7">
        <v>11244.45</v>
      </c>
      <c r="C1210" s="7">
        <v>11295.4</v>
      </c>
      <c r="D1210" s="7">
        <v>11184.55</v>
      </c>
      <c r="E1210" s="7">
        <v>11247.55</v>
      </c>
      <c r="F1210" s="7">
        <v>499343849</v>
      </c>
      <c r="G1210" s="42">
        <v>28134.77</v>
      </c>
    </row>
    <row r="1211" spans="1:7" ht="14.25" customHeight="1">
      <c r="A1211" s="41">
        <v>44105</v>
      </c>
      <c r="B1211" s="7">
        <v>11364.45</v>
      </c>
      <c r="C1211" s="7">
        <v>11428.6</v>
      </c>
      <c r="D1211" s="7">
        <v>11347.05</v>
      </c>
      <c r="E1211" s="7">
        <v>11416.95</v>
      </c>
      <c r="F1211" s="7">
        <v>447740006</v>
      </c>
      <c r="G1211" s="42">
        <v>26212.720000000001</v>
      </c>
    </row>
    <row r="1212" spans="1:7" ht="14.25" customHeight="1">
      <c r="A1212" s="41">
        <v>44109</v>
      </c>
      <c r="B1212" s="7">
        <v>11487.8</v>
      </c>
      <c r="C1212" s="7">
        <v>11578.05</v>
      </c>
      <c r="D1212" s="7">
        <v>11452.3</v>
      </c>
      <c r="E1212" s="7">
        <v>11503.35</v>
      </c>
      <c r="F1212" s="7">
        <v>530597393</v>
      </c>
      <c r="G1212" s="42">
        <v>31341.55</v>
      </c>
    </row>
    <row r="1213" spans="1:7" ht="14.25" customHeight="1">
      <c r="A1213" s="41">
        <v>44110</v>
      </c>
      <c r="B1213" s="7">
        <v>11603.45</v>
      </c>
      <c r="C1213" s="7">
        <v>11680.3</v>
      </c>
      <c r="D1213" s="7">
        <v>11564.3</v>
      </c>
      <c r="E1213" s="7">
        <v>11662.4</v>
      </c>
      <c r="F1213" s="7">
        <v>561444728</v>
      </c>
      <c r="G1213" s="42">
        <v>30373.65</v>
      </c>
    </row>
    <row r="1214" spans="1:7" ht="14.25" customHeight="1">
      <c r="A1214" s="41">
        <v>44111</v>
      </c>
      <c r="B1214" s="7">
        <v>11679.25</v>
      </c>
      <c r="C1214" s="7">
        <v>11763.05</v>
      </c>
      <c r="D1214" s="7">
        <v>11629.35</v>
      </c>
      <c r="E1214" s="7">
        <v>11738.85</v>
      </c>
      <c r="F1214" s="7">
        <v>513367516</v>
      </c>
      <c r="G1214" s="42">
        <v>32935.980000000003</v>
      </c>
    </row>
    <row r="1215" spans="1:7" ht="14.25" customHeight="1">
      <c r="A1215" s="41">
        <v>44112</v>
      </c>
      <c r="B1215" s="7">
        <v>11835.4</v>
      </c>
      <c r="C1215" s="7">
        <v>11905.7</v>
      </c>
      <c r="D1215" s="7">
        <v>11791.15</v>
      </c>
      <c r="E1215" s="7">
        <v>11834.6</v>
      </c>
      <c r="F1215" s="7">
        <v>608768573</v>
      </c>
      <c r="G1215" s="42">
        <v>38677.49</v>
      </c>
    </row>
    <row r="1216" spans="1:7" ht="14.25" customHeight="1">
      <c r="A1216" s="41">
        <v>44113</v>
      </c>
      <c r="B1216" s="7">
        <v>11852.05</v>
      </c>
      <c r="C1216" s="7">
        <v>11938.6</v>
      </c>
      <c r="D1216" s="7">
        <v>11805.2</v>
      </c>
      <c r="E1216" s="7">
        <v>11914.2</v>
      </c>
      <c r="F1216" s="7">
        <v>611079482</v>
      </c>
      <c r="G1216" s="42">
        <v>34546.800000000003</v>
      </c>
    </row>
    <row r="1217" spans="1:7" ht="14.25" customHeight="1">
      <c r="A1217" s="41">
        <v>44116</v>
      </c>
      <c r="B1217" s="7">
        <v>11973.55</v>
      </c>
      <c r="C1217" s="7">
        <v>12022.05</v>
      </c>
      <c r="D1217" s="7">
        <v>11867.2</v>
      </c>
      <c r="E1217" s="7">
        <v>11930.95</v>
      </c>
      <c r="F1217" s="7">
        <v>522627571</v>
      </c>
      <c r="G1217" s="42">
        <v>26586.47</v>
      </c>
    </row>
    <row r="1218" spans="1:7" ht="14.25" customHeight="1">
      <c r="A1218" s="41">
        <v>44117</v>
      </c>
      <c r="B1218" s="7">
        <v>11934.65</v>
      </c>
      <c r="C1218" s="7">
        <v>11988.2</v>
      </c>
      <c r="D1218" s="7">
        <v>11888.9</v>
      </c>
      <c r="E1218" s="7">
        <v>11934.5</v>
      </c>
      <c r="F1218" s="7">
        <v>458304851</v>
      </c>
      <c r="G1218" s="42">
        <v>29403.22</v>
      </c>
    </row>
    <row r="1219" spans="1:7" ht="14.25" customHeight="1">
      <c r="A1219" s="41">
        <v>44118</v>
      </c>
      <c r="B1219" s="7">
        <v>11917.4</v>
      </c>
      <c r="C1219" s="7">
        <v>11997.2</v>
      </c>
      <c r="D1219" s="7">
        <v>11822.15</v>
      </c>
      <c r="E1219" s="7">
        <v>11971.05</v>
      </c>
      <c r="F1219" s="7">
        <v>569245407</v>
      </c>
      <c r="G1219" s="42">
        <v>29940.62</v>
      </c>
    </row>
    <row r="1220" spans="1:7" ht="14.25" customHeight="1">
      <c r="A1220" s="41">
        <v>44119</v>
      </c>
      <c r="B1220" s="7">
        <v>12023.45</v>
      </c>
      <c r="C1220" s="7">
        <v>12025.45</v>
      </c>
      <c r="D1220" s="7">
        <v>11661.3</v>
      </c>
      <c r="E1220" s="7">
        <v>11680.35</v>
      </c>
      <c r="F1220" s="7">
        <v>608865041</v>
      </c>
      <c r="G1220" s="42">
        <v>35175.919999999998</v>
      </c>
    </row>
    <row r="1221" spans="1:7" ht="14.25" customHeight="1">
      <c r="A1221" s="41">
        <v>44120</v>
      </c>
      <c r="B1221" s="7">
        <v>11727.4</v>
      </c>
      <c r="C1221" s="7">
        <v>11789.75</v>
      </c>
      <c r="D1221" s="7">
        <v>11667.85</v>
      </c>
      <c r="E1221" s="7">
        <v>11762.45</v>
      </c>
      <c r="F1221" s="7">
        <v>555764762</v>
      </c>
      <c r="G1221" s="42">
        <v>30439.19</v>
      </c>
    </row>
    <row r="1222" spans="1:7" ht="14.25" customHeight="1">
      <c r="A1222" s="41">
        <v>44123</v>
      </c>
      <c r="B1222" s="7">
        <v>11879.2</v>
      </c>
      <c r="C1222" s="7">
        <v>11898.25</v>
      </c>
      <c r="D1222" s="7">
        <v>11820.4</v>
      </c>
      <c r="E1222" s="7">
        <v>11873.05</v>
      </c>
      <c r="F1222" s="7">
        <v>541420990</v>
      </c>
      <c r="G1222" s="42">
        <v>29888.6</v>
      </c>
    </row>
    <row r="1223" spans="1:7" ht="14.25" customHeight="1">
      <c r="A1223" s="41">
        <v>44124</v>
      </c>
      <c r="B1223" s="7">
        <v>11861</v>
      </c>
      <c r="C1223" s="7">
        <v>11949.25</v>
      </c>
      <c r="D1223" s="7">
        <v>11837.25</v>
      </c>
      <c r="E1223" s="7">
        <v>11896.8</v>
      </c>
      <c r="F1223" s="7">
        <v>453560934</v>
      </c>
      <c r="G1223" s="42">
        <v>28367.34</v>
      </c>
    </row>
    <row r="1224" spans="1:7" ht="14.25" customHeight="1">
      <c r="A1224" s="41">
        <v>44125</v>
      </c>
      <c r="B1224" s="7">
        <v>11958.55</v>
      </c>
      <c r="C1224" s="7">
        <v>12018.65</v>
      </c>
      <c r="D1224" s="7">
        <v>11775.75</v>
      </c>
      <c r="E1224" s="7">
        <v>11937.65</v>
      </c>
      <c r="F1224" s="7">
        <v>623658140</v>
      </c>
      <c r="G1224" s="42">
        <v>37477.129999999997</v>
      </c>
    </row>
    <row r="1225" spans="1:7" ht="14.25" customHeight="1">
      <c r="A1225" s="41">
        <v>44126</v>
      </c>
      <c r="B1225" s="7">
        <v>11890</v>
      </c>
      <c r="C1225" s="7">
        <v>11939.55</v>
      </c>
      <c r="D1225" s="7">
        <v>11823.45</v>
      </c>
      <c r="E1225" s="7">
        <v>11896.45</v>
      </c>
      <c r="F1225" s="7">
        <v>544901152</v>
      </c>
      <c r="G1225" s="42">
        <v>33013.17</v>
      </c>
    </row>
    <row r="1226" spans="1:7" ht="14.25" customHeight="1">
      <c r="A1226" s="41">
        <v>44127</v>
      </c>
      <c r="B1226" s="7">
        <v>11957.9</v>
      </c>
      <c r="C1226" s="7">
        <v>11974.55</v>
      </c>
      <c r="D1226" s="7">
        <v>11908.75</v>
      </c>
      <c r="E1226" s="7">
        <v>11930.35</v>
      </c>
      <c r="F1226" s="7">
        <v>502340361</v>
      </c>
      <c r="G1226" s="42">
        <v>27424.61</v>
      </c>
    </row>
    <row r="1227" spans="1:7" ht="14.25" customHeight="1">
      <c r="A1227" s="41">
        <v>44130</v>
      </c>
      <c r="B1227" s="7">
        <v>11937.4</v>
      </c>
      <c r="C1227" s="7">
        <v>11942.85</v>
      </c>
      <c r="D1227" s="7">
        <v>11711.7</v>
      </c>
      <c r="E1227" s="7">
        <v>11767.75</v>
      </c>
      <c r="F1227" s="7">
        <v>519815905</v>
      </c>
      <c r="G1227" s="42">
        <v>29316.02</v>
      </c>
    </row>
    <row r="1228" spans="1:7" ht="14.25" customHeight="1">
      <c r="A1228" s="41">
        <v>44131</v>
      </c>
      <c r="B1228" s="7">
        <v>11807.1</v>
      </c>
      <c r="C1228" s="7">
        <v>11899.05</v>
      </c>
      <c r="D1228" s="7">
        <v>11723</v>
      </c>
      <c r="E1228" s="7">
        <v>11889.4</v>
      </c>
      <c r="F1228" s="7">
        <v>616318543</v>
      </c>
      <c r="G1228" s="42">
        <v>37989.97</v>
      </c>
    </row>
    <row r="1229" spans="1:7" ht="14.25" customHeight="1">
      <c r="A1229" s="41">
        <v>44132</v>
      </c>
      <c r="B1229" s="7">
        <v>11922.6</v>
      </c>
      <c r="C1229" s="7">
        <v>11929.4</v>
      </c>
      <c r="D1229" s="7">
        <v>11684.85</v>
      </c>
      <c r="E1229" s="7">
        <v>11729.6</v>
      </c>
      <c r="F1229" s="7">
        <v>704018608</v>
      </c>
      <c r="G1229" s="42">
        <v>37025.89</v>
      </c>
    </row>
    <row r="1230" spans="1:7" ht="14.25" customHeight="1">
      <c r="A1230" s="41">
        <v>44133</v>
      </c>
      <c r="B1230" s="7">
        <v>11633.3</v>
      </c>
      <c r="C1230" s="7">
        <v>11744.15</v>
      </c>
      <c r="D1230" s="7">
        <v>11606.45</v>
      </c>
      <c r="E1230" s="7">
        <v>11670.8</v>
      </c>
      <c r="F1230" s="7">
        <v>554959844</v>
      </c>
      <c r="G1230" s="42">
        <v>30436.62</v>
      </c>
    </row>
    <row r="1231" spans="1:7" ht="14.25" customHeight="1">
      <c r="A1231" s="41">
        <v>44134</v>
      </c>
      <c r="B1231" s="7">
        <v>11678.45</v>
      </c>
      <c r="C1231" s="7">
        <v>11748.95</v>
      </c>
      <c r="D1231" s="7">
        <v>11535.45</v>
      </c>
      <c r="E1231" s="7">
        <v>11642.4</v>
      </c>
      <c r="F1231" s="7">
        <v>553672805</v>
      </c>
      <c r="G1231" s="42">
        <v>28151.58</v>
      </c>
    </row>
    <row r="1232" spans="1:7" ht="14.25" customHeight="1">
      <c r="A1232" s="41">
        <v>44137</v>
      </c>
      <c r="B1232" s="7">
        <v>11697.35</v>
      </c>
      <c r="C1232" s="7">
        <v>11725.65</v>
      </c>
      <c r="D1232" s="7">
        <v>11557.4</v>
      </c>
      <c r="E1232" s="7">
        <v>11669.15</v>
      </c>
      <c r="F1232" s="7">
        <v>568434165</v>
      </c>
      <c r="G1232" s="42">
        <v>35714.57</v>
      </c>
    </row>
    <row r="1233" spans="1:7" ht="14.25" customHeight="1">
      <c r="A1233" s="41">
        <v>44138</v>
      </c>
      <c r="B1233" s="7">
        <v>11734.45</v>
      </c>
      <c r="C1233" s="7">
        <v>11836.2</v>
      </c>
      <c r="D1233" s="7">
        <v>11723.3</v>
      </c>
      <c r="E1233" s="7">
        <v>11813.5</v>
      </c>
      <c r="F1233" s="7">
        <v>674303605</v>
      </c>
      <c r="G1233" s="42">
        <v>36363.949999999997</v>
      </c>
    </row>
    <row r="1234" spans="1:7" ht="14.25" customHeight="1">
      <c r="A1234" s="41">
        <v>44139</v>
      </c>
      <c r="B1234" s="7">
        <v>11783.35</v>
      </c>
      <c r="C1234" s="7">
        <v>11929.65</v>
      </c>
      <c r="D1234" s="7">
        <v>11756.4</v>
      </c>
      <c r="E1234" s="7">
        <v>11908.5</v>
      </c>
      <c r="F1234" s="7">
        <v>667290347</v>
      </c>
      <c r="G1234" s="42">
        <v>38552.089999999997</v>
      </c>
    </row>
    <row r="1235" spans="1:7" ht="14.25" customHeight="1">
      <c r="A1235" s="41">
        <v>44140</v>
      </c>
      <c r="B1235" s="7">
        <v>12062.4</v>
      </c>
      <c r="C1235" s="7">
        <v>12131.1</v>
      </c>
      <c r="D1235" s="7">
        <v>12027.6</v>
      </c>
      <c r="E1235" s="7">
        <v>12120.3</v>
      </c>
      <c r="F1235" s="7">
        <v>632455414</v>
      </c>
      <c r="G1235" s="42">
        <v>32311.46</v>
      </c>
    </row>
    <row r="1236" spans="1:7" ht="14.25" customHeight="1">
      <c r="A1236" s="41">
        <v>44141</v>
      </c>
      <c r="B1236" s="7">
        <v>12156.65</v>
      </c>
      <c r="C1236" s="7">
        <v>12280.4</v>
      </c>
      <c r="D1236" s="7">
        <v>12131.85</v>
      </c>
      <c r="E1236" s="7">
        <v>12263.55</v>
      </c>
      <c r="F1236" s="7">
        <v>576837602</v>
      </c>
      <c r="G1236" s="42">
        <v>34965.94</v>
      </c>
    </row>
    <row r="1237" spans="1:7" ht="14.25" customHeight="1">
      <c r="A1237" s="41">
        <v>44144</v>
      </c>
      <c r="B1237" s="7">
        <v>12399.4</v>
      </c>
      <c r="C1237" s="7">
        <v>12474.05</v>
      </c>
      <c r="D1237" s="7">
        <v>12367.35</v>
      </c>
      <c r="E1237" s="7">
        <v>12461.05</v>
      </c>
      <c r="F1237" s="7">
        <v>553449924</v>
      </c>
      <c r="G1237" s="42">
        <v>34255.11</v>
      </c>
    </row>
    <row r="1238" spans="1:7" ht="14.25" customHeight="1">
      <c r="A1238" s="41">
        <v>44145</v>
      </c>
      <c r="B1238" s="7">
        <v>12556.4</v>
      </c>
      <c r="C1238" s="7">
        <v>12643.9</v>
      </c>
      <c r="D1238" s="7">
        <v>12475.25</v>
      </c>
      <c r="E1238" s="7">
        <v>12631.1</v>
      </c>
      <c r="F1238" s="7">
        <v>847450692</v>
      </c>
      <c r="G1238" s="42">
        <v>51247.01</v>
      </c>
    </row>
    <row r="1239" spans="1:7" ht="14.25" customHeight="1">
      <c r="A1239" s="41">
        <v>44146</v>
      </c>
      <c r="B1239" s="7">
        <v>12680.6</v>
      </c>
      <c r="C1239" s="7">
        <v>12769.75</v>
      </c>
      <c r="D1239" s="7">
        <v>12571.1</v>
      </c>
      <c r="E1239" s="7">
        <v>12749.15</v>
      </c>
      <c r="F1239" s="7">
        <v>880475468</v>
      </c>
      <c r="G1239" s="42">
        <v>54744.55</v>
      </c>
    </row>
    <row r="1240" spans="1:7" ht="14.25" customHeight="1">
      <c r="A1240" s="41">
        <v>44147</v>
      </c>
      <c r="B1240" s="7">
        <v>12702.15</v>
      </c>
      <c r="C1240" s="7">
        <v>12741.15</v>
      </c>
      <c r="D1240" s="7">
        <v>12624.85</v>
      </c>
      <c r="E1240" s="7">
        <v>12690.8</v>
      </c>
      <c r="F1240" s="7">
        <v>622017762</v>
      </c>
      <c r="G1240" s="42">
        <v>36794.239999999998</v>
      </c>
    </row>
    <row r="1241" spans="1:7" ht="14.25" customHeight="1">
      <c r="A1241" s="41">
        <v>44148</v>
      </c>
      <c r="B1241" s="7">
        <v>12659.7</v>
      </c>
      <c r="C1241" s="7">
        <v>12735.95</v>
      </c>
      <c r="D1241" s="7">
        <v>12607.7</v>
      </c>
      <c r="E1241" s="7">
        <v>12719.95</v>
      </c>
      <c r="F1241" s="7">
        <v>513948665</v>
      </c>
      <c r="G1241" s="42">
        <v>34568.65</v>
      </c>
    </row>
    <row r="1242" spans="1:7" ht="14.25" customHeight="1">
      <c r="A1242" s="41">
        <v>44149</v>
      </c>
      <c r="B1242" s="7">
        <v>12823.35</v>
      </c>
      <c r="C1242" s="7">
        <v>12828.7</v>
      </c>
      <c r="D1242" s="7">
        <v>12749.45</v>
      </c>
      <c r="E1242" s="7">
        <v>12780.25</v>
      </c>
      <c r="F1242" s="7">
        <v>107868139</v>
      </c>
      <c r="G1242" s="42">
        <v>5189.38</v>
      </c>
    </row>
    <row r="1243" spans="1:7" ht="14.25" customHeight="1">
      <c r="A1243" s="41">
        <v>44152</v>
      </c>
      <c r="B1243" s="7">
        <v>12932.5</v>
      </c>
      <c r="C1243" s="7">
        <v>12934.05</v>
      </c>
      <c r="D1243" s="7">
        <v>12797.1</v>
      </c>
      <c r="E1243" s="7">
        <v>12874.2</v>
      </c>
      <c r="F1243" s="7">
        <v>707676873</v>
      </c>
      <c r="G1243" s="42">
        <v>40977.03</v>
      </c>
    </row>
    <row r="1244" spans="1:7" ht="14.25" customHeight="1">
      <c r="A1244" s="41">
        <v>44153</v>
      </c>
      <c r="B1244" s="7">
        <v>12860.1</v>
      </c>
      <c r="C1244" s="7">
        <v>12948.85</v>
      </c>
      <c r="D1244" s="7">
        <v>12819.35</v>
      </c>
      <c r="E1244" s="7">
        <v>12938.25</v>
      </c>
      <c r="F1244" s="7">
        <v>731321438</v>
      </c>
      <c r="G1244" s="42">
        <v>39856.449999999997</v>
      </c>
    </row>
    <row r="1245" spans="1:7" ht="14.25" customHeight="1">
      <c r="A1245" s="41">
        <v>44154</v>
      </c>
      <c r="B1245" s="7">
        <v>12839.5</v>
      </c>
      <c r="C1245" s="7">
        <v>12963</v>
      </c>
      <c r="D1245" s="7">
        <v>12745.75</v>
      </c>
      <c r="E1245" s="7">
        <v>12771.7</v>
      </c>
      <c r="F1245" s="7">
        <v>768751782</v>
      </c>
      <c r="G1245" s="42">
        <v>44747.08</v>
      </c>
    </row>
    <row r="1246" spans="1:7" ht="14.25" customHeight="1">
      <c r="A1246" s="41">
        <v>44155</v>
      </c>
      <c r="B1246" s="7">
        <v>12813.4</v>
      </c>
      <c r="C1246" s="7">
        <v>12892.45</v>
      </c>
      <c r="D1246" s="7">
        <v>12730.25</v>
      </c>
      <c r="E1246" s="7">
        <v>12859.05</v>
      </c>
      <c r="F1246" s="7">
        <v>663997267</v>
      </c>
      <c r="G1246" s="42">
        <v>42992.15</v>
      </c>
    </row>
    <row r="1247" spans="1:7" ht="14.25" customHeight="1">
      <c r="A1247" s="41">
        <v>44158</v>
      </c>
      <c r="B1247" s="7">
        <v>12960.3</v>
      </c>
      <c r="C1247" s="7">
        <v>12968.85</v>
      </c>
      <c r="D1247" s="7">
        <v>12825.7</v>
      </c>
      <c r="E1247" s="7">
        <v>12926.45</v>
      </c>
      <c r="F1247" s="7">
        <v>633117401</v>
      </c>
      <c r="G1247" s="42">
        <v>42031.38</v>
      </c>
    </row>
    <row r="1248" spans="1:7" ht="14.25" customHeight="1">
      <c r="A1248" s="41">
        <v>44159</v>
      </c>
      <c r="B1248" s="7">
        <v>13002.6</v>
      </c>
      <c r="C1248" s="7">
        <v>13079.1</v>
      </c>
      <c r="D1248" s="7">
        <v>12978</v>
      </c>
      <c r="E1248" s="7">
        <v>13055.15</v>
      </c>
      <c r="F1248" s="7">
        <v>571864976</v>
      </c>
      <c r="G1248" s="42">
        <v>37094.230000000003</v>
      </c>
    </row>
    <row r="1249" spans="1:7" ht="14.25" customHeight="1">
      <c r="A1249" s="41">
        <v>44160</v>
      </c>
      <c r="B1249" s="7">
        <v>13130</v>
      </c>
      <c r="C1249" s="7">
        <v>13145.85</v>
      </c>
      <c r="D1249" s="7">
        <v>12833.65</v>
      </c>
      <c r="E1249" s="7">
        <v>12858.4</v>
      </c>
      <c r="F1249" s="7">
        <v>679005507</v>
      </c>
      <c r="G1249" s="42">
        <v>37401.360000000001</v>
      </c>
    </row>
    <row r="1250" spans="1:7" ht="14.25" customHeight="1">
      <c r="A1250" s="41">
        <v>44161</v>
      </c>
      <c r="B1250" s="7">
        <v>12906.45</v>
      </c>
      <c r="C1250" s="7">
        <v>13018</v>
      </c>
      <c r="D1250" s="7">
        <v>12790.4</v>
      </c>
      <c r="E1250" s="7">
        <v>12987</v>
      </c>
      <c r="F1250" s="7">
        <v>549798925</v>
      </c>
      <c r="G1250" s="42">
        <v>34624.15</v>
      </c>
    </row>
    <row r="1251" spans="1:7" ht="14.25" customHeight="1">
      <c r="A1251" s="41">
        <v>44162</v>
      </c>
      <c r="B1251" s="7">
        <v>13012.05</v>
      </c>
      <c r="C1251" s="7">
        <v>13035.3</v>
      </c>
      <c r="D1251" s="7">
        <v>12914.3</v>
      </c>
      <c r="E1251" s="7">
        <v>12968.95</v>
      </c>
      <c r="F1251" s="7">
        <v>1162360673</v>
      </c>
      <c r="G1251" s="42">
        <v>78522.929999999993</v>
      </c>
    </row>
    <row r="1252" spans="1:7" ht="14.25" customHeight="1">
      <c r="A1252" s="41">
        <v>44166</v>
      </c>
      <c r="B1252" s="7">
        <v>13062.2</v>
      </c>
      <c r="C1252" s="7">
        <v>13128.4</v>
      </c>
      <c r="D1252" s="7">
        <v>12962.8</v>
      </c>
      <c r="E1252" s="7">
        <v>13109.05</v>
      </c>
      <c r="F1252" s="7">
        <v>583633902</v>
      </c>
      <c r="G1252" s="42">
        <v>32917.26</v>
      </c>
    </row>
    <row r="1253" spans="1:7" ht="14.25" customHeight="1">
      <c r="A1253" s="41">
        <v>44167</v>
      </c>
      <c r="B1253" s="7">
        <v>13121.4</v>
      </c>
      <c r="C1253" s="7">
        <v>13128.5</v>
      </c>
      <c r="D1253" s="7">
        <v>12983.55</v>
      </c>
      <c r="E1253" s="7">
        <v>13113.75</v>
      </c>
      <c r="F1253" s="7">
        <v>717711761</v>
      </c>
      <c r="G1253" s="42">
        <v>34008.74</v>
      </c>
    </row>
    <row r="1254" spans="1:7" ht="14.25" customHeight="1">
      <c r="A1254" s="41">
        <v>44168</v>
      </c>
      <c r="B1254" s="7">
        <v>13215.3</v>
      </c>
      <c r="C1254" s="7">
        <v>13216.6</v>
      </c>
      <c r="D1254" s="7">
        <v>13107.9</v>
      </c>
      <c r="E1254" s="7">
        <v>13133.9</v>
      </c>
      <c r="F1254" s="7">
        <v>713688035</v>
      </c>
      <c r="G1254" s="42">
        <v>39627.71</v>
      </c>
    </row>
    <row r="1255" spans="1:7" ht="14.25" customHeight="1">
      <c r="A1255" s="41">
        <v>44169</v>
      </c>
      <c r="B1255" s="7">
        <v>13177.4</v>
      </c>
      <c r="C1255" s="7">
        <v>13280.05</v>
      </c>
      <c r="D1255" s="7">
        <v>13152.85</v>
      </c>
      <c r="E1255" s="7">
        <v>13258.55</v>
      </c>
      <c r="F1255" s="7">
        <v>640514315</v>
      </c>
      <c r="G1255" s="42">
        <v>36428.050000000003</v>
      </c>
    </row>
    <row r="1256" spans="1:7" ht="14.25" customHeight="1">
      <c r="A1256" s="41">
        <v>44172</v>
      </c>
      <c r="B1256" s="7">
        <v>13264.85</v>
      </c>
      <c r="C1256" s="7">
        <v>13366.65</v>
      </c>
      <c r="D1256" s="7">
        <v>13241.95</v>
      </c>
      <c r="E1256" s="7">
        <v>13355.75</v>
      </c>
      <c r="F1256" s="7">
        <v>591722966</v>
      </c>
      <c r="G1256" s="42">
        <v>33578.639999999999</v>
      </c>
    </row>
    <row r="1257" spans="1:7" ht="14.25" customHeight="1">
      <c r="A1257" s="41">
        <v>44173</v>
      </c>
      <c r="B1257" s="7">
        <v>13393.85</v>
      </c>
      <c r="C1257" s="7">
        <v>13435.45</v>
      </c>
      <c r="D1257" s="7">
        <v>13311.05</v>
      </c>
      <c r="E1257" s="7">
        <v>13392.95</v>
      </c>
      <c r="F1257" s="7">
        <v>543165361</v>
      </c>
      <c r="G1257" s="42">
        <v>33755.81</v>
      </c>
    </row>
    <row r="1258" spans="1:7" ht="14.25" customHeight="1">
      <c r="A1258" s="41">
        <v>44174</v>
      </c>
      <c r="B1258" s="7">
        <v>13458.1</v>
      </c>
      <c r="C1258" s="7">
        <v>13548.9</v>
      </c>
      <c r="D1258" s="7">
        <v>13449.6</v>
      </c>
      <c r="E1258" s="7">
        <v>13529.1</v>
      </c>
      <c r="F1258" s="7">
        <v>502605319</v>
      </c>
      <c r="G1258" s="42">
        <v>28726.97</v>
      </c>
    </row>
    <row r="1259" spans="1:7" ht="14.25" customHeight="1">
      <c r="A1259" s="41">
        <v>44175</v>
      </c>
      <c r="B1259" s="7">
        <v>13488.5</v>
      </c>
      <c r="C1259" s="7">
        <v>13503.55</v>
      </c>
      <c r="D1259" s="7">
        <v>13399.3</v>
      </c>
      <c r="E1259" s="7">
        <v>13478.3</v>
      </c>
      <c r="F1259" s="7">
        <v>553402501</v>
      </c>
      <c r="G1259" s="42">
        <v>30400.2</v>
      </c>
    </row>
    <row r="1260" spans="1:7" ht="14.25" customHeight="1">
      <c r="A1260" s="41">
        <v>44176</v>
      </c>
      <c r="B1260" s="7">
        <v>13512.3</v>
      </c>
      <c r="C1260" s="7">
        <v>13579.35</v>
      </c>
      <c r="D1260" s="7">
        <v>13402.85</v>
      </c>
      <c r="E1260" s="7">
        <v>13513.85</v>
      </c>
      <c r="F1260" s="7">
        <v>787707481</v>
      </c>
      <c r="G1260" s="42">
        <v>33696.57</v>
      </c>
    </row>
    <row r="1261" spans="1:7" ht="14.25" customHeight="1">
      <c r="A1261" s="41">
        <v>44179</v>
      </c>
      <c r="B1261" s="7">
        <v>13571.45</v>
      </c>
      <c r="C1261" s="7">
        <v>13597.5</v>
      </c>
      <c r="D1261" s="7">
        <v>13472.45</v>
      </c>
      <c r="E1261" s="7">
        <v>13558.15</v>
      </c>
      <c r="F1261" s="7">
        <v>558390043</v>
      </c>
      <c r="G1261" s="42">
        <v>28133.58</v>
      </c>
    </row>
    <row r="1262" spans="1:7" ht="14.25" customHeight="1">
      <c r="A1262" s="41">
        <v>44180</v>
      </c>
      <c r="B1262" s="7">
        <v>13547.2</v>
      </c>
      <c r="C1262" s="7">
        <v>13589.65</v>
      </c>
      <c r="D1262" s="7">
        <v>13447.05</v>
      </c>
      <c r="E1262" s="7">
        <v>13567.85</v>
      </c>
      <c r="F1262" s="7">
        <v>497600393</v>
      </c>
      <c r="G1262" s="42">
        <v>30828.33</v>
      </c>
    </row>
    <row r="1263" spans="1:7" ht="14.25" customHeight="1">
      <c r="A1263" s="41">
        <v>44181</v>
      </c>
      <c r="B1263" s="7">
        <v>13663.1</v>
      </c>
      <c r="C1263" s="7">
        <v>13692.35</v>
      </c>
      <c r="D1263" s="7">
        <v>13606.45</v>
      </c>
      <c r="E1263" s="7">
        <v>13682.7</v>
      </c>
      <c r="F1263" s="7">
        <v>462151091</v>
      </c>
      <c r="G1263" s="42">
        <v>27460.18</v>
      </c>
    </row>
    <row r="1264" spans="1:7" ht="14.25" customHeight="1">
      <c r="A1264" s="41">
        <v>44182</v>
      </c>
      <c r="B1264" s="7">
        <v>13713.55</v>
      </c>
      <c r="C1264" s="7">
        <v>13773.25</v>
      </c>
      <c r="D1264" s="7">
        <v>13673.55</v>
      </c>
      <c r="E1264" s="7">
        <v>13740.7</v>
      </c>
      <c r="F1264" s="7">
        <v>416008520</v>
      </c>
      <c r="G1264" s="42">
        <v>27712.93</v>
      </c>
    </row>
    <row r="1265" spans="1:7" ht="14.25" customHeight="1">
      <c r="A1265" s="41">
        <v>44183</v>
      </c>
      <c r="B1265" s="7">
        <v>13764.4</v>
      </c>
      <c r="C1265" s="7">
        <v>13772.85</v>
      </c>
      <c r="D1265" s="7">
        <v>13658.6</v>
      </c>
      <c r="E1265" s="7">
        <v>13760.55</v>
      </c>
      <c r="F1265" s="7">
        <v>519393189</v>
      </c>
      <c r="G1265" s="42">
        <v>34803.300000000003</v>
      </c>
    </row>
    <row r="1266" spans="1:7" ht="14.25" customHeight="1">
      <c r="A1266" s="41">
        <v>44186</v>
      </c>
      <c r="B1266" s="7">
        <v>13741.9</v>
      </c>
      <c r="C1266" s="7">
        <v>13777.5</v>
      </c>
      <c r="D1266" s="7">
        <v>13131.45</v>
      </c>
      <c r="E1266" s="7">
        <v>13328.4</v>
      </c>
      <c r="F1266" s="7">
        <v>687255400</v>
      </c>
      <c r="G1266" s="42">
        <v>38243.620000000003</v>
      </c>
    </row>
    <row r="1267" spans="1:7" ht="14.25" customHeight="1">
      <c r="A1267" s="41">
        <v>44187</v>
      </c>
      <c r="B1267" s="7">
        <v>13373.65</v>
      </c>
      <c r="C1267" s="7">
        <v>13492.05</v>
      </c>
      <c r="D1267" s="7">
        <v>13192.9</v>
      </c>
      <c r="E1267" s="7">
        <v>13466.3</v>
      </c>
      <c r="F1267" s="7">
        <v>696197300</v>
      </c>
      <c r="G1267" s="42">
        <v>36328.33</v>
      </c>
    </row>
    <row r="1268" spans="1:7" ht="14.25" customHeight="1">
      <c r="A1268" s="41">
        <v>44188</v>
      </c>
      <c r="B1268" s="7">
        <v>13473.5</v>
      </c>
      <c r="C1268" s="7">
        <v>13619.45</v>
      </c>
      <c r="D1268" s="7">
        <v>13432.2</v>
      </c>
      <c r="E1268" s="7">
        <v>13601.1</v>
      </c>
      <c r="F1268" s="7">
        <v>458651819</v>
      </c>
      <c r="G1268" s="42">
        <v>27073.45</v>
      </c>
    </row>
    <row r="1269" spans="1:7" ht="14.25" customHeight="1">
      <c r="A1269" s="41">
        <v>44189</v>
      </c>
      <c r="B1269" s="7">
        <v>13672.15</v>
      </c>
      <c r="C1269" s="7">
        <v>13771.75</v>
      </c>
      <c r="D1269" s="7">
        <v>13626.9</v>
      </c>
      <c r="E1269" s="7">
        <v>13749.25</v>
      </c>
      <c r="F1269" s="7">
        <v>471367730</v>
      </c>
      <c r="G1269" s="42">
        <v>24764.35</v>
      </c>
    </row>
    <row r="1270" spans="1:7" ht="14.25" customHeight="1">
      <c r="A1270" s="41">
        <v>44193</v>
      </c>
      <c r="B1270" s="7">
        <v>13815.15</v>
      </c>
      <c r="C1270" s="7">
        <v>13885.3</v>
      </c>
      <c r="D1270" s="7">
        <v>13811.55</v>
      </c>
      <c r="E1270" s="7">
        <v>13873.2</v>
      </c>
      <c r="F1270" s="7">
        <v>403634030</v>
      </c>
      <c r="G1270" s="42">
        <v>20923.060000000001</v>
      </c>
    </row>
    <row r="1271" spans="1:7" ht="14.25" customHeight="1">
      <c r="A1271" s="41">
        <v>44194</v>
      </c>
      <c r="B1271" s="7">
        <v>13910.35</v>
      </c>
      <c r="C1271" s="7">
        <v>13967.6</v>
      </c>
      <c r="D1271" s="7">
        <v>13859.9</v>
      </c>
      <c r="E1271" s="7">
        <v>13932.6</v>
      </c>
      <c r="F1271" s="7">
        <v>439593961</v>
      </c>
      <c r="G1271" s="42">
        <v>25154.23</v>
      </c>
    </row>
    <row r="1272" spans="1:7" ht="14.25" customHeight="1">
      <c r="A1272" s="41">
        <v>44195</v>
      </c>
      <c r="B1272" s="7">
        <v>13980.9</v>
      </c>
      <c r="C1272" s="7">
        <v>13997</v>
      </c>
      <c r="D1272" s="7">
        <v>13864.95</v>
      </c>
      <c r="E1272" s="7">
        <v>13981.95</v>
      </c>
      <c r="F1272" s="7">
        <v>380681073</v>
      </c>
      <c r="G1272" s="42">
        <v>24633.119999999999</v>
      </c>
    </row>
    <row r="1273" spans="1:7" ht="14.25" customHeight="1">
      <c r="A1273" s="41">
        <v>44196</v>
      </c>
      <c r="B1273" s="7">
        <v>13970</v>
      </c>
      <c r="C1273" s="7">
        <v>14024.85</v>
      </c>
      <c r="D1273" s="7">
        <v>13936.45</v>
      </c>
      <c r="E1273" s="7">
        <v>13981.75</v>
      </c>
      <c r="F1273" s="7">
        <v>452410109</v>
      </c>
      <c r="G1273" s="42">
        <v>26305.82</v>
      </c>
    </row>
    <row r="1274" spans="1:7" ht="14.25" customHeight="1">
      <c r="A1274" s="41">
        <v>44197</v>
      </c>
      <c r="B1274" s="7">
        <v>13996.1</v>
      </c>
      <c r="C1274" s="7">
        <v>14049.85</v>
      </c>
      <c r="D1274" s="7">
        <v>13991.35</v>
      </c>
      <c r="E1274" s="7">
        <v>14018.5</v>
      </c>
      <c r="F1274" s="7">
        <v>258090905</v>
      </c>
      <c r="G1274" s="42">
        <v>15873.75</v>
      </c>
    </row>
    <row r="1275" spans="1:7" ht="14.25" customHeight="1">
      <c r="A1275" s="41">
        <v>44200</v>
      </c>
      <c r="B1275" s="7">
        <v>14104.35</v>
      </c>
      <c r="C1275" s="7">
        <v>14147.95</v>
      </c>
      <c r="D1275" s="7">
        <v>13953.75</v>
      </c>
      <c r="E1275" s="7">
        <v>14132.9</v>
      </c>
      <c r="F1275" s="7">
        <v>494999295</v>
      </c>
      <c r="G1275" s="42">
        <v>28705.09</v>
      </c>
    </row>
    <row r="1276" spans="1:7" ht="14.25" customHeight="1">
      <c r="A1276" s="41">
        <v>44201</v>
      </c>
      <c r="B1276" s="7">
        <v>14075.15</v>
      </c>
      <c r="C1276" s="7">
        <v>14215.6</v>
      </c>
      <c r="D1276" s="7">
        <v>14048.15</v>
      </c>
      <c r="E1276" s="7">
        <v>14199.5</v>
      </c>
      <c r="F1276" s="7">
        <v>492475349</v>
      </c>
      <c r="G1276" s="42">
        <v>30872.87</v>
      </c>
    </row>
    <row r="1277" spans="1:7" ht="14.25" customHeight="1">
      <c r="A1277" s="41">
        <v>44202</v>
      </c>
      <c r="B1277" s="7">
        <v>14240.95</v>
      </c>
      <c r="C1277" s="7">
        <v>14244.15</v>
      </c>
      <c r="D1277" s="7">
        <v>14039.9</v>
      </c>
      <c r="E1277" s="7">
        <v>14146.25</v>
      </c>
      <c r="F1277" s="7">
        <v>632323316</v>
      </c>
      <c r="G1277" s="42">
        <v>34615.550000000003</v>
      </c>
    </row>
    <row r="1278" spans="1:7" ht="14.25" customHeight="1">
      <c r="A1278" s="41">
        <v>44203</v>
      </c>
      <c r="B1278" s="7">
        <v>14253.75</v>
      </c>
      <c r="C1278" s="7">
        <v>14256.25</v>
      </c>
      <c r="D1278" s="7">
        <v>14123.1</v>
      </c>
      <c r="E1278" s="7">
        <v>14137.35</v>
      </c>
      <c r="F1278" s="7">
        <v>559173512</v>
      </c>
      <c r="G1278" s="42">
        <v>33446.47</v>
      </c>
    </row>
    <row r="1279" spans="1:7" ht="14.25" customHeight="1">
      <c r="A1279" s="41">
        <v>44204</v>
      </c>
      <c r="B1279" s="7">
        <v>14258.4</v>
      </c>
      <c r="C1279" s="7">
        <v>14367.3</v>
      </c>
      <c r="D1279" s="7">
        <v>14221.65</v>
      </c>
      <c r="E1279" s="7">
        <v>14347.25</v>
      </c>
      <c r="F1279" s="7">
        <v>613472067</v>
      </c>
      <c r="G1279" s="42">
        <v>37615.19</v>
      </c>
    </row>
    <row r="1280" spans="1:7" ht="14.25" customHeight="1">
      <c r="A1280" s="41">
        <v>44207</v>
      </c>
      <c r="B1280" s="7">
        <v>14474.05</v>
      </c>
      <c r="C1280" s="7">
        <v>14498.2</v>
      </c>
      <c r="D1280" s="7">
        <v>14383.1</v>
      </c>
      <c r="E1280" s="7">
        <v>14484.75</v>
      </c>
      <c r="F1280" s="7">
        <v>672878543</v>
      </c>
      <c r="G1280" s="42">
        <v>40186.21</v>
      </c>
    </row>
    <row r="1281" spans="1:7" ht="14.25" customHeight="1">
      <c r="A1281" s="41">
        <v>44208</v>
      </c>
      <c r="B1281" s="7">
        <v>14473.8</v>
      </c>
      <c r="C1281" s="7">
        <v>14590.65</v>
      </c>
      <c r="D1281" s="7">
        <v>14432.85</v>
      </c>
      <c r="E1281" s="7">
        <v>14563.45</v>
      </c>
      <c r="F1281" s="7">
        <v>929566952</v>
      </c>
      <c r="G1281" s="42">
        <v>44976.12</v>
      </c>
    </row>
    <row r="1282" spans="1:7" ht="14.25" customHeight="1">
      <c r="A1282" s="41">
        <v>44209</v>
      </c>
      <c r="B1282" s="7">
        <v>14639.8</v>
      </c>
      <c r="C1282" s="7">
        <v>14653.35</v>
      </c>
      <c r="D1282" s="7">
        <v>14435.7</v>
      </c>
      <c r="E1282" s="7">
        <v>14564.85</v>
      </c>
      <c r="F1282" s="7">
        <v>873956688</v>
      </c>
      <c r="G1282" s="42">
        <v>44682.93</v>
      </c>
    </row>
    <row r="1283" spans="1:7" ht="14.25" customHeight="1">
      <c r="A1283" s="41">
        <v>44210</v>
      </c>
      <c r="B1283" s="7">
        <v>14550.05</v>
      </c>
      <c r="C1283" s="7">
        <v>14617.8</v>
      </c>
      <c r="D1283" s="7">
        <v>14471.5</v>
      </c>
      <c r="E1283" s="7">
        <v>14595.6</v>
      </c>
      <c r="F1283" s="7">
        <v>620194977</v>
      </c>
      <c r="G1283" s="42">
        <v>37534.370000000003</v>
      </c>
    </row>
    <row r="1284" spans="1:7" ht="14.25" customHeight="1">
      <c r="A1284" s="41">
        <v>44211</v>
      </c>
      <c r="B1284" s="7">
        <v>14594.35</v>
      </c>
      <c r="C1284" s="7">
        <v>14617.45</v>
      </c>
      <c r="D1284" s="7">
        <v>14357.85</v>
      </c>
      <c r="E1284" s="7">
        <v>14433.7</v>
      </c>
      <c r="F1284" s="7">
        <v>789557216</v>
      </c>
      <c r="G1284" s="42">
        <v>39912.18</v>
      </c>
    </row>
    <row r="1285" spans="1:7" ht="14.25" customHeight="1">
      <c r="A1285" s="41">
        <v>44214</v>
      </c>
      <c r="B1285" s="7">
        <v>14453.3</v>
      </c>
      <c r="C1285" s="7">
        <v>14459.15</v>
      </c>
      <c r="D1285" s="7">
        <v>14222.8</v>
      </c>
      <c r="E1285" s="7">
        <v>14281.3</v>
      </c>
      <c r="F1285" s="7">
        <v>762043554</v>
      </c>
      <c r="G1285" s="42">
        <v>41716.22</v>
      </c>
    </row>
    <row r="1286" spans="1:7" ht="14.25" customHeight="1">
      <c r="A1286" s="41">
        <v>44215</v>
      </c>
      <c r="B1286" s="7">
        <v>14371.65</v>
      </c>
      <c r="C1286" s="7">
        <v>14546.05</v>
      </c>
      <c r="D1286" s="7">
        <v>14350.85</v>
      </c>
      <c r="E1286" s="7">
        <v>14521.15</v>
      </c>
      <c r="F1286" s="7">
        <v>546108304</v>
      </c>
      <c r="G1286" s="42">
        <v>33084.79</v>
      </c>
    </row>
    <row r="1287" spans="1:7" ht="14.25" customHeight="1">
      <c r="A1287" s="41">
        <v>44216</v>
      </c>
      <c r="B1287" s="7">
        <v>14538.3</v>
      </c>
      <c r="C1287" s="7">
        <v>14666.45</v>
      </c>
      <c r="D1287" s="7">
        <v>14517.55</v>
      </c>
      <c r="E1287" s="7">
        <v>14644.7</v>
      </c>
      <c r="F1287" s="7">
        <v>623069963</v>
      </c>
      <c r="G1287" s="42">
        <v>34639.360000000001</v>
      </c>
    </row>
    <row r="1288" spans="1:7" ht="14.25" customHeight="1">
      <c r="A1288" s="41">
        <v>44217</v>
      </c>
      <c r="B1288" s="7">
        <v>14730.95</v>
      </c>
      <c r="C1288" s="7">
        <v>14753.55</v>
      </c>
      <c r="D1288" s="7">
        <v>14517.25</v>
      </c>
      <c r="E1288" s="7">
        <v>14590.35</v>
      </c>
      <c r="F1288" s="7">
        <v>704646957</v>
      </c>
      <c r="G1288" s="42">
        <v>41939.040000000001</v>
      </c>
    </row>
    <row r="1289" spans="1:7" ht="14.25" customHeight="1">
      <c r="A1289" s="41">
        <v>44218</v>
      </c>
      <c r="B1289" s="7">
        <v>14583.4</v>
      </c>
      <c r="C1289" s="7">
        <v>14619.9</v>
      </c>
      <c r="D1289" s="7">
        <v>14357.75</v>
      </c>
      <c r="E1289" s="7">
        <v>14371.9</v>
      </c>
      <c r="F1289" s="7">
        <v>776750347</v>
      </c>
      <c r="G1289" s="42">
        <v>45322.54</v>
      </c>
    </row>
    <row r="1290" spans="1:7" ht="14.25" customHeight="1">
      <c r="A1290" s="41">
        <v>44221</v>
      </c>
      <c r="B1290" s="7">
        <v>14477.8</v>
      </c>
      <c r="C1290" s="7">
        <v>14491.1</v>
      </c>
      <c r="D1290" s="7">
        <v>14218.6</v>
      </c>
      <c r="E1290" s="7">
        <v>14238.9</v>
      </c>
      <c r="F1290" s="7">
        <v>618631493</v>
      </c>
      <c r="G1290" s="42">
        <v>42278.39</v>
      </c>
    </row>
    <row r="1291" spans="1:7" ht="14.25" customHeight="1">
      <c r="A1291" s="41">
        <v>44223</v>
      </c>
      <c r="B1291" s="7">
        <v>14237.95</v>
      </c>
      <c r="C1291" s="7">
        <v>14237.95</v>
      </c>
      <c r="D1291" s="7">
        <v>13929.3</v>
      </c>
      <c r="E1291" s="7">
        <v>13967.5</v>
      </c>
      <c r="F1291" s="7">
        <v>660711117</v>
      </c>
      <c r="G1291" s="42">
        <v>40579.24</v>
      </c>
    </row>
    <row r="1292" spans="1:7" ht="14.25" customHeight="1">
      <c r="A1292" s="41">
        <v>44224</v>
      </c>
      <c r="B1292" s="7">
        <v>13810.4</v>
      </c>
      <c r="C1292" s="7">
        <v>13898.25</v>
      </c>
      <c r="D1292" s="7">
        <v>13713.25</v>
      </c>
      <c r="E1292" s="7">
        <v>13817.55</v>
      </c>
      <c r="F1292" s="7">
        <v>637871621</v>
      </c>
      <c r="G1292" s="42">
        <v>39881.82</v>
      </c>
    </row>
    <row r="1293" spans="1:7" ht="14.25" customHeight="1">
      <c r="A1293" s="41">
        <v>44225</v>
      </c>
      <c r="B1293" s="7">
        <v>13946.6</v>
      </c>
      <c r="C1293" s="7">
        <v>13966.85</v>
      </c>
      <c r="D1293" s="7">
        <v>13596.75</v>
      </c>
      <c r="E1293" s="7">
        <v>13634.6</v>
      </c>
      <c r="F1293" s="7">
        <v>753206122</v>
      </c>
      <c r="G1293" s="42">
        <v>46918.29</v>
      </c>
    </row>
    <row r="1294" spans="1:7" ht="14.25" customHeight="1">
      <c r="A1294" s="41">
        <v>44228</v>
      </c>
      <c r="B1294" s="7">
        <v>13758.6</v>
      </c>
      <c r="C1294" s="7">
        <v>14336.35</v>
      </c>
      <c r="D1294" s="7">
        <v>13661.75</v>
      </c>
      <c r="E1294" s="7">
        <v>14281.2</v>
      </c>
      <c r="F1294" s="7">
        <v>870529495</v>
      </c>
      <c r="G1294" s="42">
        <v>51840.22</v>
      </c>
    </row>
    <row r="1295" spans="1:7" ht="14.25" customHeight="1">
      <c r="A1295" s="41">
        <v>44229</v>
      </c>
      <c r="B1295" s="7">
        <v>14481.1</v>
      </c>
      <c r="C1295" s="7">
        <v>14731.7</v>
      </c>
      <c r="D1295" s="7">
        <v>14469.15</v>
      </c>
      <c r="E1295" s="7">
        <v>14647.85</v>
      </c>
      <c r="F1295" s="7">
        <v>914965225</v>
      </c>
      <c r="G1295" s="42">
        <v>58177.74</v>
      </c>
    </row>
    <row r="1296" spans="1:7" ht="14.25" customHeight="1">
      <c r="A1296" s="41">
        <v>44230</v>
      </c>
      <c r="B1296" s="7">
        <v>14754.9</v>
      </c>
      <c r="C1296" s="7">
        <v>14868.85</v>
      </c>
      <c r="D1296" s="7">
        <v>14574.15</v>
      </c>
      <c r="E1296" s="7">
        <v>14789.95</v>
      </c>
      <c r="F1296" s="7">
        <v>869477087</v>
      </c>
      <c r="G1296" s="42">
        <v>49312.35</v>
      </c>
    </row>
    <row r="1297" spans="1:7" ht="14.25" customHeight="1">
      <c r="A1297" s="41">
        <v>44231</v>
      </c>
      <c r="B1297" s="7">
        <v>14789.05</v>
      </c>
      <c r="C1297" s="7">
        <v>14913.7</v>
      </c>
      <c r="D1297" s="7">
        <v>14714.75</v>
      </c>
      <c r="E1297" s="7">
        <v>14895.65</v>
      </c>
      <c r="F1297" s="7">
        <v>884686415</v>
      </c>
      <c r="G1297" s="42">
        <v>47811.8</v>
      </c>
    </row>
    <row r="1298" spans="1:7" ht="14.25" customHeight="1">
      <c r="A1298" s="41">
        <v>44232</v>
      </c>
      <c r="B1298" s="7">
        <v>14952.6</v>
      </c>
      <c r="C1298" s="7">
        <v>15014.65</v>
      </c>
      <c r="D1298" s="7">
        <v>14864.75</v>
      </c>
      <c r="E1298" s="7">
        <v>14924.25</v>
      </c>
      <c r="F1298" s="7">
        <v>935629058</v>
      </c>
      <c r="G1298" s="42">
        <v>54394.63</v>
      </c>
    </row>
    <row r="1299" spans="1:7" ht="14.25" customHeight="1">
      <c r="A1299" s="41">
        <v>44235</v>
      </c>
      <c r="B1299" s="7">
        <v>15064.3</v>
      </c>
      <c r="C1299" s="7">
        <v>15159.9</v>
      </c>
      <c r="D1299" s="7">
        <v>15041.05</v>
      </c>
      <c r="E1299" s="7">
        <v>15115.8</v>
      </c>
      <c r="F1299" s="7">
        <v>671242694</v>
      </c>
      <c r="G1299" s="42">
        <v>40483.96</v>
      </c>
    </row>
    <row r="1300" spans="1:7" ht="14.25" customHeight="1">
      <c r="A1300" s="41">
        <v>44236</v>
      </c>
      <c r="B1300" s="7">
        <v>15164.15</v>
      </c>
      <c r="C1300" s="7">
        <v>15257.1</v>
      </c>
      <c r="D1300" s="7">
        <v>15064.3</v>
      </c>
      <c r="E1300" s="7">
        <v>15109.3</v>
      </c>
      <c r="F1300" s="7">
        <v>713279133</v>
      </c>
      <c r="G1300" s="42">
        <v>41930.720000000001</v>
      </c>
    </row>
    <row r="1301" spans="1:7" ht="14.25" customHeight="1">
      <c r="A1301" s="41">
        <v>44237</v>
      </c>
      <c r="B1301" s="7">
        <v>15119.05</v>
      </c>
      <c r="C1301" s="7">
        <v>15168.25</v>
      </c>
      <c r="D1301" s="7">
        <v>14977.2</v>
      </c>
      <c r="E1301" s="7">
        <v>15106.5</v>
      </c>
      <c r="F1301" s="7">
        <v>624791133</v>
      </c>
      <c r="G1301" s="42">
        <v>40707.97</v>
      </c>
    </row>
    <row r="1302" spans="1:7" ht="14.25" customHeight="1">
      <c r="A1302" s="41">
        <v>44238</v>
      </c>
      <c r="B1302" s="7">
        <v>15073.25</v>
      </c>
      <c r="C1302" s="7">
        <v>15188.5</v>
      </c>
      <c r="D1302" s="7">
        <v>15065.4</v>
      </c>
      <c r="E1302" s="7">
        <v>15173.3</v>
      </c>
      <c r="F1302" s="7">
        <v>500122414</v>
      </c>
      <c r="G1302" s="42">
        <v>30933.439999999999</v>
      </c>
    </row>
    <row r="1303" spans="1:7" ht="14.25" customHeight="1">
      <c r="A1303" s="41">
        <v>44239</v>
      </c>
      <c r="B1303" s="7">
        <v>15186.2</v>
      </c>
      <c r="C1303" s="7">
        <v>15243.5</v>
      </c>
      <c r="D1303" s="7">
        <v>15081</v>
      </c>
      <c r="E1303" s="7">
        <v>15163.3</v>
      </c>
      <c r="F1303" s="7">
        <v>571808807</v>
      </c>
      <c r="G1303" s="42">
        <v>32304.240000000002</v>
      </c>
    </row>
    <row r="1304" spans="1:7" ht="14.25" customHeight="1">
      <c r="A1304" s="41">
        <v>44242</v>
      </c>
      <c r="B1304" s="7">
        <v>15270.3</v>
      </c>
      <c r="C1304" s="7">
        <v>15340.15</v>
      </c>
      <c r="D1304" s="7">
        <v>15243.4</v>
      </c>
      <c r="E1304" s="7">
        <v>15314.7</v>
      </c>
      <c r="F1304" s="7">
        <v>455959720</v>
      </c>
      <c r="G1304" s="42">
        <v>28955.29</v>
      </c>
    </row>
    <row r="1305" spans="1:7" ht="14.25" customHeight="1">
      <c r="A1305" s="41">
        <v>44243</v>
      </c>
      <c r="B1305" s="7">
        <v>15371.45</v>
      </c>
      <c r="C1305" s="7">
        <v>15431.75</v>
      </c>
      <c r="D1305" s="7">
        <v>15242.2</v>
      </c>
      <c r="E1305" s="7">
        <v>15313.45</v>
      </c>
      <c r="F1305" s="7">
        <v>648545320</v>
      </c>
      <c r="G1305" s="42">
        <v>36550.03</v>
      </c>
    </row>
    <row r="1306" spans="1:7" ht="14.25" customHeight="1">
      <c r="A1306" s="41">
        <v>44244</v>
      </c>
      <c r="B1306" s="7">
        <v>15279.9</v>
      </c>
      <c r="C1306" s="7">
        <v>15314.3</v>
      </c>
      <c r="D1306" s="7">
        <v>15170.75</v>
      </c>
      <c r="E1306" s="7">
        <v>15208.9</v>
      </c>
      <c r="F1306" s="7">
        <v>504767226</v>
      </c>
      <c r="G1306" s="42">
        <v>34073.120000000003</v>
      </c>
    </row>
    <row r="1307" spans="1:7" ht="14.25" customHeight="1">
      <c r="A1307" s="41">
        <v>44245</v>
      </c>
      <c r="B1307" s="7">
        <v>15238.7</v>
      </c>
      <c r="C1307" s="7">
        <v>15250.75</v>
      </c>
      <c r="D1307" s="7">
        <v>15078.05</v>
      </c>
      <c r="E1307" s="7">
        <v>15118.95</v>
      </c>
      <c r="F1307" s="7">
        <v>770629541</v>
      </c>
      <c r="G1307" s="42">
        <v>37093.99</v>
      </c>
    </row>
    <row r="1308" spans="1:7" ht="14.25" customHeight="1">
      <c r="A1308" s="41">
        <v>44246</v>
      </c>
      <c r="B1308" s="7">
        <v>15074.8</v>
      </c>
      <c r="C1308" s="7">
        <v>15144.05</v>
      </c>
      <c r="D1308" s="7">
        <v>14898.2</v>
      </c>
      <c r="E1308" s="7">
        <v>14981.75</v>
      </c>
      <c r="F1308" s="7">
        <v>712213821</v>
      </c>
      <c r="G1308" s="42">
        <v>37419.339999999997</v>
      </c>
    </row>
    <row r="1309" spans="1:7" ht="14.25" customHeight="1">
      <c r="A1309" s="41">
        <v>44249</v>
      </c>
      <c r="B1309" s="7">
        <v>14999.05</v>
      </c>
      <c r="C1309" s="7">
        <v>15010.1</v>
      </c>
      <c r="D1309" s="7">
        <v>14635.05</v>
      </c>
      <c r="E1309" s="7">
        <v>14675.7</v>
      </c>
      <c r="F1309" s="7">
        <v>609898454</v>
      </c>
      <c r="G1309" s="42">
        <v>37578.07</v>
      </c>
    </row>
    <row r="1310" spans="1:7" ht="14.25" customHeight="1">
      <c r="A1310" s="41">
        <v>44250</v>
      </c>
      <c r="B1310" s="7">
        <v>14782.25</v>
      </c>
      <c r="C1310" s="7">
        <v>14854.5</v>
      </c>
      <c r="D1310" s="7">
        <v>14651.85</v>
      </c>
      <c r="E1310" s="7">
        <v>14707.8</v>
      </c>
      <c r="F1310" s="7">
        <v>744092809</v>
      </c>
      <c r="G1310" s="42">
        <v>39508.089999999997</v>
      </c>
    </row>
    <row r="1311" spans="1:7" ht="14.25" customHeight="1">
      <c r="A1311" s="41">
        <v>44251</v>
      </c>
      <c r="B1311" s="7">
        <v>14729.15</v>
      </c>
      <c r="C1311" s="7">
        <v>15008.8</v>
      </c>
      <c r="D1311" s="7">
        <v>14723.05</v>
      </c>
      <c r="E1311" s="7">
        <v>14982</v>
      </c>
      <c r="F1311" s="7">
        <v>403754669</v>
      </c>
      <c r="G1311" s="42">
        <v>23723.99</v>
      </c>
    </row>
    <row r="1312" spans="1:7" ht="14.25" customHeight="1">
      <c r="A1312" s="41">
        <v>44252</v>
      </c>
      <c r="B1312" s="7">
        <v>15079.85</v>
      </c>
      <c r="C1312" s="7">
        <v>15176.5</v>
      </c>
      <c r="D1312" s="7">
        <v>15065.35</v>
      </c>
      <c r="E1312" s="7">
        <v>15097.35</v>
      </c>
      <c r="F1312" s="7">
        <v>803883875</v>
      </c>
      <c r="G1312" s="42">
        <v>42983.07</v>
      </c>
    </row>
    <row r="1313" spans="1:7" ht="14.25" customHeight="1">
      <c r="A1313" s="41">
        <v>44253</v>
      </c>
      <c r="B1313" s="7">
        <v>14888.6</v>
      </c>
      <c r="C1313" s="7">
        <v>14919.45</v>
      </c>
      <c r="D1313" s="7">
        <v>14467.75</v>
      </c>
      <c r="E1313" s="7">
        <v>14529.15</v>
      </c>
      <c r="F1313" s="7">
        <v>1103644519</v>
      </c>
      <c r="G1313" s="42">
        <v>65012.959999999999</v>
      </c>
    </row>
    <row r="1314" spans="1:7" ht="14.25" customHeight="1">
      <c r="A1314" s="41">
        <v>44256</v>
      </c>
      <c r="B1314" s="7">
        <v>14702.5</v>
      </c>
      <c r="C1314" s="7">
        <v>14806.8</v>
      </c>
      <c r="D1314" s="7">
        <v>14638.55</v>
      </c>
      <c r="E1314" s="7">
        <v>14761.55</v>
      </c>
      <c r="F1314" s="7">
        <v>507302977</v>
      </c>
      <c r="G1314" s="42">
        <v>30030.57</v>
      </c>
    </row>
    <row r="1315" spans="1:7" ht="14.25" customHeight="1">
      <c r="A1315" s="41">
        <v>44257</v>
      </c>
      <c r="B1315" s="7">
        <v>14865.3</v>
      </c>
      <c r="C1315" s="7">
        <v>14959.1</v>
      </c>
      <c r="D1315" s="7">
        <v>14760.8</v>
      </c>
      <c r="E1315" s="7">
        <v>14919.1</v>
      </c>
      <c r="F1315" s="7">
        <v>621723916</v>
      </c>
      <c r="G1315" s="42">
        <v>34647.26</v>
      </c>
    </row>
    <row r="1316" spans="1:7" ht="14.25" customHeight="1">
      <c r="A1316" s="41">
        <v>44258</v>
      </c>
      <c r="B1316" s="7">
        <v>15064.4</v>
      </c>
      <c r="C1316" s="7">
        <v>15273.15</v>
      </c>
      <c r="D1316" s="7">
        <v>14995.8</v>
      </c>
      <c r="E1316" s="7">
        <v>15245.6</v>
      </c>
      <c r="F1316" s="7">
        <v>544205583</v>
      </c>
      <c r="G1316" s="42">
        <v>34567.730000000003</v>
      </c>
    </row>
    <row r="1317" spans="1:7" ht="14.25" customHeight="1">
      <c r="A1317" s="41">
        <v>44259</v>
      </c>
      <c r="B1317" s="7">
        <v>15026.75</v>
      </c>
      <c r="C1317" s="7">
        <v>15202.35</v>
      </c>
      <c r="D1317" s="7">
        <v>14980.2</v>
      </c>
      <c r="E1317" s="7">
        <v>15080.75</v>
      </c>
      <c r="F1317" s="7">
        <v>534850447</v>
      </c>
      <c r="G1317" s="42">
        <v>36036.019999999997</v>
      </c>
    </row>
    <row r="1318" spans="1:7" ht="14.25" customHeight="1">
      <c r="A1318" s="41">
        <v>44260</v>
      </c>
      <c r="B1318" s="7">
        <v>14977.95</v>
      </c>
      <c r="C1318" s="7">
        <v>15092.35</v>
      </c>
      <c r="D1318" s="7">
        <v>14862.1</v>
      </c>
      <c r="E1318" s="7">
        <v>14938.1</v>
      </c>
      <c r="F1318" s="7">
        <v>640700362</v>
      </c>
      <c r="G1318" s="42">
        <v>37811.599999999999</v>
      </c>
    </row>
    <row r="1319" spans="1:7" ht="14.25" customHeight="1">
      <c r="A1319" s="41">
        <v>44263</v>
      </c>
      <c r="B1319" s="7">
        <v>15002.45</v>
      </c>
      <c r="C1319" s="7">
        <v>15111.15</v>
      </c>
      <c r="D1319" s="7">
        <v>14919.9</v>
      </c>
      <c r="E1319" s="7">
        <v>14956.2</v>
      </c>
      <c r="F1319" s="7">
        <v>580308065</v>
      </c>
      <c r="G1319" s="42">
        <v>29518.07</v>
      </c>
    </row>
    <row r="1320" spans="1:7" ht="14.25" customHeight="1">
      <c r="A1320" s="41">
        <v>44264</v>
      </c>
      <c r="B1320" s="7">
        <v>15049.9</v>
      </c>
      <c r="C1320" s="7">
        <v>15126.85</v>
      </c>
      <c r="D1320" s="7">
        <v>14925.45</v>
      </c>
      <c r="E1320" s="7">
        <v>15098.4</v>
      </c>
      <c r="F1320" s="7">
        <v>675271251</v>
      </c>
      <c r="G1320" s="42">
        <v>38365.480000000003</v>
      </c>
    </row>
    <row r="1321" spans="1:7" ht="14.25" customHeight="1">
      <c r="A1321" s="41">
        <v>44265</v>
      </c>
      <c r="B1321" s="7">
        <v>15202.15</v>
      </c>
      <c r="C1321" s="7">
        <v>15218.45</v>
      </c>
      <c r="D1321" s="7">
        <v>15100.85</v>
      </c>
      <c r="E1321" s="7">
        <v>15174.8</v>
      </c>
      <c r="F1321" s="7">
        <v>404585756</v>
      </c>
      <c r="G1321" s="42">
        <v>25603.32</v>
      </c>
    </row>
    <row r="1322" spans="1:7" ht="14.25" customHeight="1">
      <c r="A1322" s="41">
        <v>44267</v>
      </c>
      <c r="B1322" s="7">
        <v>15321.15</v>
      </c>
      <c r="C1322" s="7">
        <v>15336.3</v>
      </c>
      <c r="D1322" s="7">
        <v>14953.6</v>
      </c>
      <c r="E1322" s="7">
        <v>15030.95</v>
      </c>
      <c r="F1322" s="7">
        <v>493238854</v>
      </c>
      <c r="G1322" s="42">
        <v>32195.96</v>
      </c>
    </row>
    <row r="1323" spans="1:7" ht="14.25" customHeight="1">
      <c r="A1323" s="41">
        <v>44270</v>
      </c>
      <c r="B1323" s="7">
        <v>15048.4</v>
      </c>
      <c r="C1323" s="7">
        <v>15048.4</v>
      </c>
      <c r="D1323" s="7">
        <v>14745.85</v>
      </c>
      <c r="E1323" s="7">
        <v>14929.5</v>
      </c>
      <c r="F1323" s="7">
        <v>467473367</v>
      </c>
      <c r="G1323" s="42">
        <v>28118</v>
      </c>
    </row>
    <row r="1324" spans="1:7" ht="14.25" customHeight="1">
      <c r="A1324" s="41">
        <v>44271</v>
      </c>
      <c r="B1324" s="7">
        <v>14996.1</v>
      </c>
      <c r="C1324" s="7">
        <v>15051.6</v>
      </c>
      <c r="D1324" s="7">
        <v>14890.65</v>
      </c>
      <c r="E1324" s="7">
        <v>14910.45</v>
      </c>
      <c r="F1324" s="7">
        <v>437651327</v>
      </c>
      <c r="G1324" s="42">
        <v>27975.07</v>
      </c>
    </row>
    <row r="1325" spans="1:7" ht="14.25" customHeight="1">
      <c r="A1325" s="41">
        <v>44272</v>
      </c>
      <c r="B1325" s="7">
        <v>14946.55</v>
      </c>
      <c r="C1325" s="7">
        <v>14956.55</v>
      </c>
      <c r="D1325" s="7">
        <v>14696.05</v>
      </c>
      <c r="E1325" s="7">
        <v>14721.3</v>
      </c>
      <c r="F1325" s="7">
        <v>479352147</v>
      </c>
      <c r="G1325" s="42">
        <v>27983.5</v>
      </c>
    </row>
    <row r="1326" spans="1:7" ht="14.25" customHeight="1">
      <c r="A1326" s="41">
        <v>44273</v>
      </c>
      <c r="B1326" s="7">
        <v>14855.5</v>
      </c>
      <c r="C1326" s="7">
        <v>14875.2</v>
      </c>
      <c r="D1326" s="7">
        <v>14478.6</v>
      </c>
      <c r="E1326" s="7">
        <v>14557.85</v>
      </c>
      <c r="F1326" s="7">
        <v>542216908</v>
      </c>
      <c r="G1326" s="42">
        <v>31339.71</v>
      </c>
    </row>
    <row r="1327" spans="1:7" ht="14.25" customHeight="1">
      <c r="A1327" s="41">
        <v>44274</v>
      </c>
      <c r="B1327" s="7">
        <v>14471.15</v>
      </c>
      <c r="C1327" s="7">
        <v>14788.25</v>
      </c>
      <c r="D1327" s="7">
        <v>14350.1</v>
      </c>
      <c r="E1327" s="7">
        <v>14744</v>
      </c>
      <c r="F1327" s="7">
        <v>919178208</v>
      </c>
      <c r="G1327" s="42">
        <v>49011.27</v>
      </c>
    </row>
    <row r="1328" spans="1:7" ht="14.25" customHeight="1">
      <c r="A1328" s="41">
        <v>44277</v>
      </c>
      <c r="B1328" s="7">
        <v>14736.3</v>
      </c>
      <c r="C1328" s="7">
        <v>14763.9</v>
      </c>
      <c r="D1328" s="7">
        <v>14597.85</v>
      </c>
      <c r="E1328" s="7">
        <v>14736.4</v>
      </c>
      <c r="F1328" s="7">
        <v>458997059</v>
      </c>
      <c r="G1328" s="42">
        <v>27345.02</v>
      </c>
    </row>
    <row r="1329" spans="1:7" ht="14.25" customHeight="1">
      <c r="A1329" s="41">
        <v>44278</v>
      </c>
      <c r="B1329" s="7">
        <v>14768.55</v>
      </c>
      <c r="C1329" s="7">
        <v>14878.6</v>
      </c>
      <c r="D1329" s="7">
        <v>14707</v>
      </c>
      <c r="E1329" s="7">
        <v>14814.75</v>
      </c>
      <c r="F1329" s="7">
        <v>474150088</v>
      </c>
      <c r="G1329" s="42">
        <v>30322.09</v>
      </c>
    </row>
    <row r="1330" spans="1:7" ht="14.25" customHeight="1">
      <c r="A1330" s="41">
        <v>44279</v>
      </c>
      <c r="B1330" s="7">
        <v>14712.45</v>
      </c>
      <c r="C1330" s="7">
        <v>14752.35</v>
      </c>
      <c r="D1330" s="7">
        <v>14535</v>
      </c>
      <c r="E1330" s="7">
        <v>14549.4</v>
      </c>
      <c r="F1330" s="7">
        <v>456403503</v>
      </c>
      <c r="G1330" s="42">
        <v>27868.93</v>
      </c>
    </row>
    <row r="1331" spans="1:7" ht="14.25" customHeight="1">
      <c r="A1331" s="41">
        <v>44280</v>
      </c>
      <c r="B1331" s="7">
        <v>14570.9</v>
      </c>
      <c r="C1331" s="7">
        <v>14575.6</v>
      </c>
      <c r="D1331" s="7">
        <v>14264.4</v>
      </c>
      <c r="E1331" s="7">
        <v>14324.9</v>
      </c>
      <c r="F1331" s="7">
        <v>606820996</v>
      </c>
      <c r="G1331" s="42">
        <v>35350.22</v>
      </c>
    </row>
    <row r="1332" spans="1:7" ht="14.25" customHeight="1">
      <c r="A1332" s="41">
        <v>44281</v>
      </c>
      <c r="B1332" s="7">
        <v>14506.3</v>
      </c>
      <c r="C1332" s="7">
        <v>14572.9</v>
      </c>
      <c r="D1332" s="7">
        <v>14414.25</v>
      </c>
      <c r="E1332" s="7">
        <v>14507.3</v>
      </c>
      <c r="F1332" s="7">
        <v>481000845</v>
      </c>
      <c r="G1332" s="42">
        <v>29423.45</v>
      </c>
    </row>
    <row r="1333" spans="1:7" ht="14.25" customHeight="1">
      <c r="A1333" s="41">
        <v>44285</v>
      </c>
      <c r="B1333" s="7">
        <v>14628.5</v>
      </c>
      <c r="C1333" s="7">
        <v>14876.3</v>
      </c>
      <c r="D1333" s="7">
        <v>14617.6</v>
      </c>
      <c r="E1333" s="7">
        <v>14845.1</v>
      </c>
      <c r="F1333" s="7">
        <v>594520567</v>
      </c>
      <c r="G1333" s="42">
        <v>35117.93</v>
      </c>
    </row>
    <row r="1334" spans="1:7" ht="14.25" customHeight="1">
      <c r="A1334" s="41">
        <v>44286</v>
      </c>
      <c r="B1334" s="7">
        <v>14811.85</v>
      </c>
      <c r="C1334" s="7">
        <v>14813.75</v>
      </c>
      <c r="D1334" s="7">
        <v>14670.25</v>
      </c>
      <c r="E1334" s="7">
        <v>14690.7</v>
      </c>
      <c r="F1334" s="7">
        <v>436874691</v>
      </c>
      <c r="G1334" s="42">
        <v>29741.83</v>
      </c>
    </row>
    <row r="1335" spans="1:7" ht="14.25" customHeight="1">
      <c r="A1335" s="41">
        <v>44287</v>
      </c>
      <c r="B1335" s="7">
        <v>14798.4</v>
      </c>
      <c r="C1335" s="7">
        <v>14883.2</v>
      </c>
      <c r="D1335" s="7">
        <v>14692.45</v>
      </c>
      <c r="E1335" s="7">
        <v>14867.35</v>
      </c>
      <c r="F1335" s="7">
        <v>430028476</v>
      </c>
      <c r="G1335" s="42">
        <v>29585.23</v>
      </c>
    </row>
    <row r="1336" spans="1:7" ht="14.25" customHeight="1">
      <c r="A1336" s="41">
        <v>44291</v>
      </c>
      <c r="B1336" s="7">
        <v>14837.7</v>
      </c>
      <c r="C1336" s="7">
        <v>14849.85</v>
      </c>
      <c r="D1336" s="7">
        <v>14459.5</v>
      </c>
      <c r="E1336" s="7">
        <v>14637.8</v>
      </c>
      <c r="F1336" s="7">
        <v>500476690</v>
      </c>
      <c r="G1336" s="42">
        <v>33885.39</v>
      </c>
    </row>
    <row r="1337" spans="1:7" ht="14.25" customHeight="1">
      <c r="A1337" s="41">
        <v>44292</v>
      </c>
      <c r="B1337" s="7">
        <v>14737</v>
      </c>
      <c r="C1337" s="7">
        <v>14779.1</v>
      </c>
      <c r="D1337" s="7">
        <v>14573.9</v>
      </c>
      <c r="E1337" s="7">
        <v>14683.5</v>
      </c>
      <c r="F1337" s="7">
        <v>474211156</v>
      </c>
      <c r="G1337" s="42">
        <v>31885.97</v>
      </c>
    </row>
    <row r="1338" spans="1:7" ht="14.25" customHeight="1">
      <c r="A1338" s="41">
        <v>44293</v>
      </c>
      <c r="B1338" s="7">
        <v>14716.45</v>
      </c>
      <c r="C1338" s="7">
        <v>14879.8</v>
      </c>
      <c r="D1338" s="7">
        <v>14649.85</v>
      </c>
      <c r="E1338" s="7">
        <v>14819.05</v>
      </c>
      <c r="F1338" s="7">
        <v>476382016</v>
      </c>
      <c r="G1338" s="42">
        <v>35184.959999999999</v>
      </c>
    </row>
    <row r="1339" spans="1:7" ht="14.25" customHeight="1">
      <c r="A1339" s="41">
        <v>44294</v>
      </c>
      <c r="B1339" s="7">
        <v>14875.65</v>
      </c>
      <c r="C1339" s="7">
        <v>14984.15</v>
      </c>
      <c r="D1339" s="7">
        <v>14821.1</v>
      </c>
      <c r="E1339" s="7">
        <v>14873.8</v>
      </c>
      <c r="F1339" s="7">
        <v>503728173</v>
      </c>
      <c r="G1339" s="42">
        <v>34444.559999999998</v>
      </c>
    </row>
    <row r="1340" spans="1:7" ht="14.25" customHeight="1">
      <c r="A1340" s="41">
        <v>44295</v>
      </c>
      <c r="B1340" s="7">
        <v>14882.65</v>
      </c>
      <c r="C1340" s="7">
        <v>14918.45</v>
      </c>
      <c r="D1340" s="7">
        <v>14785.65</v>
      </c>
      <c r="E1340" s="7">
        <v>14834.85</v>
      </c>
      <c r="F1340" s="7">
        <v>498347599</v>
      </c>
      <c r="G1340" s="42">
        <v>35010.36</v>
      </c>
    </row>
    <row r="1341" spans="1:7" ht="14.25" customHeight="1">
      <c r="A1341" s="41">
        <v>44298</v>
      </c>
      <c r="B1341" s="7">
        <v>14644.65</v>
      </c>
      <c r="C1341" s="7">
        <v>14652.5</v>
      </c>
      <c r="D1341" s="7">
        <v>14248.7</v>
      </c>
      <c r="E1341" s="7">
        <v>14310.8</v>
      </c>
      <c r="F1341" s="7">
        <v>638475842</v>
      </c>
      <c r="G1341" s="42">
        <v>43433.24</v>
      </c>
    </row>
    <row r="1342" spans="1:7" ht="14.25" customHeight="1">
      <c r="A1342" s="41">
        <v>44299</v>
      </c>
      <c r="B1342" s="7">
        <v>14364.9</v>
      </c>
      <c r="C1342" s="7">
        <v>14528.9</v>
      </c>
      <c r="D1342" s="7">
        <v>14274.9</v>
      </c>
      <c r="E1342" s="7">
        <v>14504.8</v>
      </c>
      <c r="F1342" s="7">
        <v>588666016</v>
      </c>
      <c r="G1342" s="42">
        <v>40846.57</v>
      </c>
    </row>
    <row r="1343" spans="1:7" ht="14.25" customHeight="1">
      <c r="A1343" s="41">
        <v>44301</v>
      </c>
      <c r="B1343" s="7">
        <v>14522.4</v>
      </c>
      <c r="C1343" s="7">
        <v>14597.55</v>
      </c>
      <c r="D1343" s="7">
        <v>14353.2</v>
      </c>
      <c r="E1343" s="7">
        <v>14581.45</v>
      </c>
      <c r="F1343" s="7">
        <v>556851211</v>
      </c>
      <c r="G1343" s="42">
        <v>40177.25</v>
      </c>
    </row>
    <row r="1344" spans="1:7" ht="14.25" customHeight="1">
      <c r="A1344" s="41">
        <v>44302</v>
      </c>
      <c r="B1344" s="7">
        <v>14599.6</v>
      </c>
      <c r="C1344" s="7">
        <v>14697.7</v>
      </c>
      <c r="D1344" s="7">
        <v>14559</v>
      </c>
      <c r="E1344" s="7">
        <v>14617.85</v>
      </c>
      <c r="F1344" s="7">
        <v>568568743</v>
      </c>
      <c r="G1344" s="42">
        <v>36653.65</v>
      </c>
    </row>
    <row r="1345" spans="1:7" ht="14.25" customHeight="1">
      <c r="A1345" s="41">
        <v>44305</v>
      </c>
      <c r="B1345" s="7">
        <v>14306.6</v>
      </c>
      <c r="C1345" s="7">
        <v>14382.3</v>
      </c>
      <c r="D1345" s="7">
        <v>14191.4</v>
      </c>
      <c r="E1345" s="7">
        <v>14359.45</v>
      </c>
      <c r="F1345" s="7">
        <v>503142904</v>
      </c>
      <c r="G1345" s="42">
        <v>34751.949999999997</v>
      </c>
    </row>
    <row r="1346" spans="1:7" ht="14.25" customHeight="1">
      <c r="A1346" s="41">
        <v>44306</v>
      </c>
      <c r="B1346" s="7">
        <v>14526.7</v>
      </c>
      <c r="C1346" s="7">
        <v>14526.95</v>
      </c>
      <c r="D1346" s="7">
        <v>14207.3</v>
      </c>
      <c r="E1346" s="7">
        <v>14296.4</v>
      </c>
      <c r="F1346" s="7">
        <v>456704716</v>
      </c>
      <c r="G1346" s="42">
        <v>34687.11</v>
      </c>
    </row>
    <row r="1347" spans="1:7" ht="14.25" customHeight="1">
      <c r="A1347" s="41">
        <v>44308</v>
      </c>
      <c r="B1347" s="7">
        <v>14219.15</v>
      </c>
      <c r="C1347" s="7">
        <v>14424.75</v>
      </c>
      <c r="D1347" s="7">
        <v>14151.4</v>
      </c>
      <c r="E1347" s="7">
        <v>14406.15</v>
      </c>
      <c r="F1347" s="7">
        <v>516985252</v>
      </c>
      <c r="G1347" s="42">
        <v>37235.71</v>
      </c>
    </row>
    <row r="1348" spans="1:7" ht="14.25" customHeight="1">
      <c r="A1348" s="41">
        <v>44309</v>
      </c>
      <c r="B1348" s="7">
        <v>14326.35</v>
      </c>
      <c r="C1348" s="7">
        <v>14461.15</v>
      </c>
      <c r="D1348" s="7">
        <v>14273.3</v>
      </c>
      <c r="E1348" s="7">
        <v>14341.35</v>
      </c>
      <c r="F1348" s="7">
        <v>476613608</v>
      </c>
      <c r="G1348" s="42">
        <v>31894.66</v>
      </c>
    </row>
    <row r="1349" spans="1:7" ht="14.25" customHeight="1">
      <c r="A1349" s="41">
        <v>44312</v>
      </c>
      <c r="B1349" s="7">
        <v>14449.45</v>
      </c>
      <c r="C1349" s="7">
        <v>14557.5</v>
      </c>
      <c r="D1349" s="7">
        <v>14421.3</v>
      </c>
      <c r="E1349" s="7">
        <v>14485</v>
      </c>
      <c r="F1349" s="7">
        <v>448533329</v>
      </c>
      <c r="G1349" s="42">
        <v>33156.160000000003</v>
      </c>
    </row>
    <row r="1350" spans="1:7" ht="14.25" customHeight="1">
      <c r="A1350" s="41">
        <v>44313</v>
      </c>
      <c r="B1350" s="7">
        <v>14493.8</v>
      </c>
      <c r="C1350" s="7">
        <v>14667.55</v>
      </c>
      <c r="D1350" s="7">
        <v>14484.85</v>
      </c>
      <c r="E1350" s="7">
        <v>14653.05</v>
      </c>
      <c r="F1350" s="7">
        <v>442211685</v>
      </c>
      <c r="G1350" s="42">
        <v>32181.14</v>
      </c>
    </row>
    <row r="1351" spans="1:7" ht="14.25" customHeight="1">
      <c r="A1351" s="41">
        <v>44314</v>
      </c>
      <c r="B1351" s="7">
        <v>14710.5</v>
      </c>
      <c r="C1351" s="7">
        <v>14890.25</v>
      </c>
      <c r="D1351" s="7">
        <v>14694.95</v>
      </c>
      <c r="E1351" s="7">
        <v>14864.55</v>
      </c>
      <c r="F1351" s="7">
        <v>453990807</v>
      </c>
      <c r="G1351" s="42">
        <v>37650.11</v>
      </c>
    </row>
    <row r="1352" spans="1:7" ht="14.25" customHeight="1">
      <c r="A1352" s="41">
        <v>44315</v>
      </c>
      <c r="B1352" s="7">
        <v>14979</v>
      </c>
      <c r="C1352" s="7">
        <v>15044.35</v>
      </c>
      <c r="D1352" s="7">
        <v>14814.45</v>
      </c>
      <c r="E1352" s="7">
        <v>14894.9</v>
      </c>
      <c r="F1352" s="7">
        <v>511466673</v>
      </c>
      <c r="G1352" s="42">
        <v>41597.370000000003</v>
      </c>
    </row>
    <row r="1353" spans="1:7" ht="14.25" customHeight="1">
      <c r="A1353" s="41">
        <v>44316</v>
      </c>
      <c r="B1353" s="7">
        <v>14747.35</v>
      </c>
      <c r="C1353" s="7">
        <v>14855.45</v>
      </c>
      <c r="D1353" s="7">
        <v>14601.7</v>
      </c>
      <c r="E1353" s="7">
        <v>14631.1</v>
      </c>
      <c r="F1353" s="7">
        <v>594744498</v>
      </c>
      <c r="G1353" s="42">
        <v>40335.86</v>
      </c>
    </row>
    <row r="1354" spans="1:7" ht="14.25" customHeight="1">
      <c r="A1354" s="41">
        <v>44319</v>
      </c>
      <c r="B1354" s="7">
        <v>14481.05</v>
      </c>
      <c r="C1354" s="7">
        <v>14673.85</v>
      </c>
      <c r="D1354" s="7">
        <v>14416.25</v>
      </c>
      <c r="E1354" s="7">
        <v>14634.15</v>
      </c>
      <c r="F1354" s="7">
        <v>443410846</v>
      </c>
      <c r="G1354" s="42">
        <v>32538.97</v>
      </c>
    </row>
    <row r="1355" spans="1:7" ht="14.25" customHeight="1">
      <c r="A1355" s="41">
        <v>44320</v>
      </c>
      <c r="B1355" s="7">
        <v>14687.25</v>
      </c>
      <c r="C1355" s="7">
        <v>14723.4</v>
      </c>
      <c r="D1355" s="7">
        <v>14461.5</v>
      </c>
      <c r="E1355" s="7">
        <v>14496.5</v>
      </c>
      <c r="F1355" s="7">
        <v>479657079</v>
      </c>
      <c r="G1355" s="42">
        <v>34024.769999999997</v>
      </c>
    </row>
    <row r="1356" spans="1:7" ht="14.25" customHeight="1">
      <c r="A1356" s="41">
        <v>44321</v>
      </c>
      <c r="B1356" s="7">
        <v>14604.15</v>
      </c>
      <c r="C1356" s="7">
        <v>14637.9</v>
      </c>
      <c r="D1356" s="7">
        <v>14506.6</v>
      </c>
      <c r="E1356" s="7">
        <v>14617.85</v>
      </c>
      <c r="F1356" s="7">
        <v>437261063</v>
      </c>
      <c r="G1356" s="42">
        <v>28942.47</v>
      </c>
    </row>
    <row r="1357" spans="1:7" ht="14.25" customHeight="1">
      <c r="A1357" s="41">
        <v>44322</v>
      </c>
      <c r="B1357" s="7">
        <v>14668.35</v>
      </c>
      <c r="C1357" s="7">
        <v>14743.9</v>
      </c>
      <c r="D1357" s="7">
        <v>14611.5</v>
      </c>
      <c r="E1357" s="7">
        <v>14724.8</v>
      </c>
      <c r="F1357" s="7">
        <v>445281496</v>
      </c>
      <c r="G1357" s="42">
        <v>31015.95</v>
      </c>
    </row>
    <row r="1358" spans="1:7" ht="14.25" customHeight="1">
      <c r="A1358" s="41">
        <v>44323</v>
      </c>
      <c r="B1358" s="7">
        <v>14816.85</v>
      </c>
      <c r="C1358" s="7">
        <v>14863.05</v>
      </c>
      <c r="D1358" s="7">
        <v>14765.5</v>
      </c>
      <c r="E1358" s="7">
        <v>14823.15</v>
      </c>
      <c r="F1358" s="7">
        <v>483677266</v>
      </c>
      <c r="G1358" s="42">
        <v>33583.370000000003</v>
      </c>
    </row>
    <row r="1359" spans="1:7" ht="14.25" customHeight="1">
      <c r="A1359" s="41">
        <v>44326</v>
      </c>
      <c r="B1359" s="7">
        <v>14928.25</v>
      </c>
      <c r="C1359" s="7">
        <v>14966.9</v>
      </c>
      <c r="D1359" s="7">
        <v>14892.5</v>
      </c>
      <c r="E1359" s="7">
        <v>14942.35</v>
      </c>
      <c r="F1359" s="7">
        <v>510598577</v>
      </c>
      <c r="G1359" s="42">
        <v>31620.639999999999</v>
      </c>
    </row>
    <row r="1360" spans="1:7" ht="14.25" customHeight="1">
      <c r="A1360" s="41">
        <v>44327</v>
      </c>
      <c r="B1360" s="7">
        <v>14789.7</v>
      </c>
      <c r="C1360" s="7">
        <v>14900</v>
      </c>
      <c r="D1360" s="7">
        <v>14771.4</v>
      </c>
      <c r="E1360" s="7">
        <v>14850.75</v>
      </c>
      <c r="F1360" s="7">
        <v>616204478</v>
      </c>
      <c r="G1360" s="42">
        <v>32955.82</v>
      </c>
    </row>
    <row r="1361" spans="1:7" ht="14.25" customHeight="1">
      <c r="A1361" s="41">
        <v>44328</v>
      </c>
      <c r="B1361" s="7">
        <v>14823.55</v>
      </c>
      <c r="C1361" s="7">
        <v>14824.05</v>
      </c>
      <c r="D1361" s="7">
        <v>14649.7</v>
      </c>
      <c r="E1361" s="7">
        <v>14696.5</v>
      </c>
      <c r="F1361" s="7">
        <v>620318215</v>
      </c>
      <c r="G1361" s="42">
        <v>32035.23</v>
      </c>
    </row>
    <row r="1362" spans="1:7" ht="14.25" customHeight="1">
      <c r="A1362" s="41">
        <v>44330</v>
      </c>
      <c r="B1362" s="7">
        <v>14749.4</v>
      </c>
      <c r="C1362" s="7">
        <v>14749.65</v>
      </c>
      <c r="D1362" s="7">
        <v>14591.9</v>
      </c>
      <c r="E1362" s="7">
        <v>14677.8</v>
      </c>
      <c r="F1362" s="7">
        <v>602738614</v>
      </c>
      <c r="G1362" s="42">
        <v>39176.28</v>
      </c>
    </row>
    <row r="1363" spans="1:7" ht="14.25" customHeight="1">
      <c r="A1363" s="41">
        <v>44333</v>
      </c>
      <c r="B1363" s="7">
        <v>14756.25</v>
      </c>
      <c r="C1363" s="7">
        <v>14938</v>
      </c>
      <c r="D1363" s="7">
        <v>14725.35</v>
      </c>
      <c r="E1363" s="7">
        <v>14923.15</v>
      </c>
      <c r="F1363" s="7">
        <v>534516176</v>
      </c>
      <c r="G1363" s="42">
        <v>35571.279999999999</v>
      </c>
    </row>
    <row r="1364" spans="1:7" ht="14.25" customHeight="1">
      <c r="A1364" s="41">
        <v>44334</v>
      </c>
      <c r="B1364" s="7">
        <v>15067.2</v>
      </c>
      <c r="C1364" s="7">
        <v>15137.25</v>
      </c>
      <c r="D1364" s="7">
        <v>15043.7</v>
      </c>
      <c r="E1364" s="7">
        <v>15108.1</v>
      </c>
      <c r="F1364" s="7">
        <v>571923125</v>
      </c>
      <c r="G1364" s="42">
        <v>35634.730000000003</v>
      </c>
    </row>
    <row r="1365" spans="1:7" ht="14.25" customHeight="1">
      <c r="A1365" s="41">
        <v>44335</v>
      </c>
      <c r="B1365" s="7">
        <v>15058.6</v>
      </c>
      <c r="C1365" s="7">
        <v>15133.4</v>
      </c>
      <c r="D1365" s="7">
        <v>15008.85</v>
      </c>
      <c r="E1365" s="7">
        <v>15030.15</v>
      </c>
      <c r="F1365" s="7">
        <v>563293717</v>
      </c>
      <c r="G1365" s="42">
        <v>31100.21</v>
      </c>
    </row>
    <row r="1366" spans="1:7" ht="14.25" customHeight="1">
      <c r="A1366" s="41">
        <v>44336</v>
      </c>
      <c r="B1366" s="7">
        <v>15042.6</v>
      </c>
      <c r="C1366" s="7">
        <v>15069.8</v>
      </c>
      <c r="D1366" s="7">
        <v>14884.9</v>
      </c>
      <c r="E1366" s="7">
        <v>14906.05</v>
      </c>
      <c r="F1366" s="7">
        <v>467455658</v>
      </c>
      <c r="G1366" s="42">
        <v>28002.53</v>
      </c>
    </row>
    <row r="1367" spans="1:7" ht="14.25" customHeight="1">
      <c r="A1367" s="41">
        <v>44337</v>
      </c>
      <c r="B1367" s="7">
        <v>14987.8</v>
      </c>
      <c r="C1367" s="7">
        <v>15190</v>
      </c>
      <c r="D1367" s="7">
        <v>14985.85</v>
      </c>
      <c r="E1367" s="7">
        <v>15175.3</v>
      </c>
      <c r="F1367" s="7">
        <v>557730470</v>
      </c>
      <c r="G1367" s="42">
        <v>31921.759999999998</v>
      </c>
    </row>
    <row r="1368" spans="1:7" ht="14.25" customHeight="1">
      <c r="A1368" s="41">
        <v>44340</v>
      </c>
      <c r="B1368" s="7">
        <v>15211.35</v>
      </c>
      <c r="C1368" s="7">
        <v>15256.25</v>
      </c>
      <c r="D1368" s="7">
        <v>15145.45</v>
      </c>
      <c r="E1368" s="7">
        <v>15197.7</v>
      </c>
      <c r="F1368" s="7">
        <v>566722866</v>
      </c>
      <c r="G1368" s="42">
        <v>32061.040000000001</v>
      </c>
    </row>
    <row r="1369" spans="1:7" ht="14.25" customHeight="1">
      <c r="A1369" s="41">
        <v>44341</v>
      </c>
      <c r="B1369" s="7">
        <v>15291.75</v>
      </c>
      <c r="C1369" s="7">
        <v>15293.85</v>
      </c>
      <c r="D1369" s="7">
        <v>15163.4</v>
      </c>
      <c r="E1369" s="7">
        <v>15208.45</v>
      </c>
      <c r="F1369" s="7">
        <v>417323446</v>
      </c>
      <c r="G1369" s="42">
        <v>26871.99</v>
      </c>
    </row>
    <row r="1370" spans="1:7" ht="14.25" customHeight="1">
      <c r="A1370" s="41">
        <v>44342</v>
      </c>
      <c r="B1370" s="7">
        <v>15257.05</v>
      </c>
      <c r="C1370" s="7">
        <v>15319.9</v>
      </c>
      <c r="D1370" s="7">
        <v>15194.95</v>
      </c>
      <c r="E1370" s="7">
        <v>15301.45</v>
      </c>
      <c r="F1370" s="7">
        <v>377682051</v>
      </c>
      <c r="G1370" s="42">
        <v>26187.83</v>
      </c>
    </row>
    <row r="1371" spans="1:7" ht="14.25" customHeight="1">
      <c r="A1371" s="41">
        <v>44343</v>
      </c>
      <c r="B1371" s="7">
        <v>15323.95</v>
      </c>
      <c r="C1371" s="7">
        <v>15384.55</v>
      </c>
      <c r="D1371" s="7">
        <v>15272.5</v>
      </c>
      <c r="E1371" s="7">
        <v>15337.85</v>
      </c>
      <c r="F1371" s="7">
        <v>682374351</v>
      </c>
      <c r="G1371" s="42">
        <v>48219.93</v>
      </c>
    </row>
    <row r="1372" spans="1:7" ht="14.25" customHeight="1">
      <c r="A1372" s="41">
        <v>44344</v>
      </c>
      <c r="B1372" s="7">
        <v>15421.2</v>
      </c>
      <c r="C1372" s="7">
        <v>15469.65</v>
      </c>
      <c r="D1372" s="7">
        <v>15394.75</v>
      </c>
      <c r="E1372" s="7">
        <v>15435.65</v>
      </c>
      <c r="F1372" s="7">
        <v>455582440</v>
      </c>
      <c r="G1372" s="42">
        <v>32992.080000000002</v>
      </c>
    </row>
    <row r="1373" spans="1:7" ht="14.25" customHeight="1">
      <c r="A1373" s="41">
        <v>44347</v>
      </c>
      <c r="B1373" s="7">
        <v>15437.75</v>
      </c>
      <c r="C1373" s="7">
        <v>15606.35</v>
      </c>
      <c r="D1373" s="7">
        <v>15374</v>
      </c>
      <c r="E1373" s="7">
        <v>15582.8</v>
      </c>
      <c r="F1373" s="7">
        <v>435999456</v>
      </c>
      <c r="G1373" s="42">
        <v>32739.29</v>
      </c>
    </row>
    <row r="1374" spans="1:7" ht="14.25" customHeight="1">
      <c r="A1374" s="41">
        <v>44348</v>
      </c>
      <c r="B1374" s="7">
        <v>15629.65</v>
      </c>
      <c r="C1374" s="7">
        <v>15660.75</v>
      </c>
      <c r="D1374" s="7">
        <v>15528.3</v>
      </c>
      <c r="E1374" s="7">
        <v>15574.85</v>
      </c>
      <c r="F1374" s="7">
        <v>409562322</v>
      </c>
      <c r="G1374" s="42">
        <v>27964.09</v>
      </c>
    </row>
    <row r="1375" spans="1:7" ht="14.25" customHeight="1">
      <c r="A1375" s="41">
        <v>44349</v>
      </c>
      <c r="B1375" s="7">
        <v>15520.35</v>
      </c>
      <c r="C1375" s="7">
        <v>15597.45</v>
      </c>
      <c r="D1375" s="7">
        <v>15459.85</v>
      </c>
      <c r="E1375" s="7">
        <v>15576.2</v>
      </c>
      <c r="F1375" s="7">
        <v>428641666</v>
      </c>
      <c r="G1375" s="42">
        <v>28781.87</v>
      </c>
    </row>
    <row r="1376" spans="1:7" ht="14.25" customHeight="1">
      <c r="A1376" s="41">
        <v>44350</v>
      </c>
      <c r="B1376" s="7">
        <v>15655.55</v>
      </c>
      <c r="C1376" s="7">
        <v>15705.1</v>
      </c>
      <c r="D1376" s="7">
        <v>15611</v>
      </c>
      <c r="E1376" s="7">
        <v>15690.35</v>
      </c>
      <c r="F1376" s="7">
        <v>410240584</v>
      </c>
      <c r="G1376" s="42">
        <v>27519.48</v>
      </c>
    </row>
    <row r="1377" spans="1:7" ht="14.25" customHeight="1">
      <c r="A1377" s="41">
        <v>44351</v>
      </c>
      <c r="B1377" s="7">
        <v>15712.5</v>
      </c>
      <c r="C1377" s="7">
        <v>15733.6</v>
      </c>
      <c r="D1377" s="7">
        <v>15622.35</v>
      </c>
      <c r="E1377" s="7">
        <v>15670.25</v>
      </c>
      <c r="F1377" s="7">
        <v>414162241</v>
      </c>
      <c r="G1377" s="42">
        <v>25363.03</v>
      </c>
    </row>
    <row r="1378" spans="1:7" ht="14.25" customHeight="1">
      <c r="A1378" s="41">
        <v>44354</v>
      </c>
      <c r="B1378" s="7">
        <v>15725.1</v>
      </c>
      <c r="C1378" s="7">
        <v>15773.45</v>
      </c>
      <c r="D1378" s="7">
        <v>15678.1</v>
      </c>
      <c r="E1378" s="7">
        <v>15751.65</v>
      </c>
      <c r="F1378" s="7">
        <v>393970049</v>
      </c>
      <c r="G1378" s="42">
        <v>25411.48</v>
      </c>
    </row>
    <row r="1379" spans="1:7" ht="14.25" customHeight="1">
      <c r="A1379" s="41">
        <v>44355</v>
      </c>
      <c r="B1379" s="7">
        <v>15773.9</v>
      </c>
      <c r="C1379" s="7">
        <v>15778.8</v>
      </c>
      <c r="D1379" s="7">
        <v>15680</v>
      </c>
      <c r="E1379" s="7">
        <v>15740.1</v>
      </c>
      <c r="F1379" s="7">
        <v>378164658</v>
      </c>
      <c r="G1379" s="42">
        <v>24172.13</v>
      </c>
    </row>
    <row r="1380" spans="1:7" ht="14.25" customHeight="1">
      <c r="A1380" s="41">
        <v>44356</v>
      </c>
      <c r="B1380" s="7">
        <v>15766.3</v>
      </c>
      <c r="C1380" s="7">
        <v>15800.45</v>
      </c>
      <c r="D1380" s="7">
        <v>15566.9</v>
      </c>
      <c r="E1380" s="7">
        <v>15635.35</v>
      </c>
      <c r="F1380" s="7">
        <v>457855735</v>
      </c>
      <c r="G1380" s="42">
        <v>26926.49</v>
      </c>
    </row>
    <row r="1381" spans="1:7" ht="14.25" customHeight="1">
      <c r="A1381" s="41">
        <v>44357</v>
      </c>
      <c r="B1381" s="7">
        <v>15692.1</v>
      </c>
      <c r="C1381" s="7">
        <v>15751.25</v>
      </c>
      <c r="D1381" s="7">
        <v>15648.5</v>
      </c>
      <c r="E1381" s="7">
        <v>15737.75</v>
      </c>
      <c r="F1381" s="7">
        <v>298297041</v>
      </c>
      <c r="G1381" s="42">
        <v>23032.9</v>
      </c>
    </row>
    <row r="1382" spans="1:7" ht="14.25" customHeight="1">
      <c r="A1382" s="41">
        <v>44358</v>
      </c>
      <c r="B1382" s="7">
        <v>15796.45</v>
      </c>
      <c r="C1382" s="7">
        <v>15835.55</v>
      </c>
      <c r="D1382" s="7">
        <v>15749.8</v>
      </c>
      <c r="E1382" s="7">
        <v>15799.35</v>
      </c>
      <c r="F1382" s="7">
        <v>363011297</v>
      </c>
      <c r="G1382" s="42">
        <v>24591.69</v>
      </c>
    </row>
    <row r="1383" spans="1:7" ht="14.25" customHeight="1">
      <c r="A1383" s="41">
        <v>44361</v>
      </c>
      <c r="B1383" s="7">
        <v>15791.4</v>
      </c>
      <c r="C1383" s="7">
        <v>15823.05</v>
      </c>
      <c r="D1383" s="7">
        <v>15606.5</v>
      </c>
      <c r="E1383" s="7">
        <v>15811.85</v>
      </c>
      <c r="F1383" s="7">
        <v>392862037</v>
      </c>
      <c r="G1383" s="42">
        <v>28001.5</v>
      </c>
    </row>
    <row r="1384" spans="1:7" ht="14.25" customHeight="1">
      <c r="A1384" s="41">
        <v>44362</v>
      </c>
      <c r="B1384" s="7">
        <v>15866.95</v>
      </c>
      <c r="C1384" s="7">
        <v>15901.6</v>
      </c>
      <c r="D1384" s="7">
        <v>15842.4</v>
      </c>
      <c r="E1384" s="7">
        <v>15869.25</v>
      </c>
      <c r="F1384" s="7">
        <v>323262818</v>
      </c>
      <c r="G1384" s="42">
        <v>22181.26</v>
      </c>
    </row>
    <row r="1385" spans="1:7" ht="14.25" customHeight="1">
      <c r="A1385" s="41">
        <v>44363</v>
      </c>
      <c r="B1385" s="7">
        <v>15847.5</v>
      </c>
      <c r="C1385" s="7">
        <v>15880.85</v>
      </c>
      <c r="D1385" s="7">
        <v>15742.6</v>
      </c>
      <c r="E1385" s="7">
        <v>15767.55</v>
      </c>
      <c r="F1385" s="7">
        <v>340191175</v>
      </c>
      <c r="G1385" s="42">
        <v>22505.95</v>
      </c>
    </row>
    <row r="1386" spans="1:7" ht="14.25" customHeight="1">
      <c r="A1386" s="41">
        <v>44364</v>
      </c>
      <c r="B1386" s="7">
        <v>15648.3</v>
      </c>
      <c r="C1386" s="7">
        <v>15769.35</v>
      </c>
      <c r="D1386" s="7">
        <v>15616.75</v>
      </c>
      <c r="E1386" s="7">
        <v>15691.4</v>
      </c>
      <c r="F1386" s="7">
        <v>357649243</v>
      </c>
      <c r="G1386" s="42">
        <v>26048.47</v>
      </c>
    </row>
    <row r="1387" spans="1:7" ht="14.25" customHeight="1">
      <c r="A1387" s="41">
        <v>44365</v>
      </c>
      <c r="B1387" s="7">
        <v>15756.5</v>
      </c>
      <c r="C1387" s="7">
        <v>15761.5</v>
      </c>
      <c r="D1387" s="7">
        <v>15450.9</v>
      </c>
      <c r="E1387" s="7">
        <v>15683.35</v>
      </c>
      <c r="F1387" s="7">
        <v>640821642</v>
      </c>
      <c r="G1387" s="42">
        <v>42024.55</v>
      </c>
    </row>
    <row r="1388" spans="1:7" ht="14.25" customHeight="1">
      <c r="A1388" s="41">
        <v>44368</v>
      </c>
      <c r="B1388" s="7">
        <v>15525.85</v>
      </c>
      <c r="C1388" s="7">
        <v>15765.15</v>
      </c>
      <c r="D1388" s="7">
        <v>15505.65</v>
      </c>
      <c r="E1388" s="7">
        <v>15746.5</v>
      </c>
      <c r="F1388" s="7">
        <v>351530072</v>
      </c>
      <c r="G1388" s="42">
        <v>22525.89</v>
      </c>
    </row>
    <row r="1389" spans="1:7" ht="14.25" customHeight="1">
      <c r="A1389" s="41">
        <v>44369</v>
      </c>
      <c r="B1389" s="7">
        <v>15840.5</v>
      </c>
      <c r="C1389" s="7">
        <v>15895.75</v>
      </c>
      <c r="D1389" s="7">
        <v>15752.1</v>
      </c>
      <c r="E1389" s="7">
        <v>15772.75</v>
      </c>
      <c r="F1389" s="7">
        <v>322237561</v>
      </c>
      <c r="G1389" s="42">
        <v>24440.47</v>
      </c>
    </row>
    <row r="1390" spans="1:7" ht="14.25" customHeight="1">
      <c r="A1390" s="41">
        <v>44370</v>
      </c>
      <c r="B1390" s="7">
        <v>15862.8</v>
      </c>
      <c r="C1390" s="7">
        <v>15862.95</v>
      </c>
      <c r="D1390" s="7">
        <v>15673.95</v>
      </c>
      <c r="E1390" s="7">
        <v>15686.95</v>
      </c>
      <c r="F1390" s="7">
        <v>287536735</v>
      </c>
      <c r="G1390" s="42">
        <v>23222.94</v>
      </c>
    </row>
    <row r="1391" spans="1:7" ht="14.25" customHeight="1">
      <c r="A1391" s="41">
        <v>44371</v>
      </c>
      <c r="B1391" s="7">
        <v>15737.3</v>
      </c>
      <c r="C1391" s="7">
        <v>15821.4</v>
      </c>
      <c r="D1391" s="7">
        <v>15702.7</v>
      </c>
      <c r="E1391" s="7">
        <v>15790.45</v>
      </c>
      <c r="F1391" s="7">
        <v>316662241</v>
      </c>
      <c r="G1391" s="42">
        <v>29623.58</v>
      </c>
    </row>
    <row r="1392" spans="1:7" ht="14.25" customHeight="1">
      <c r="A1392" s="41">
        <v>44372</v>
      </c>
      <c r="B1392" s="7">
        <v>15839.35</v>
      </c>
      <c r="C1392" s="7">
        <v>15870.8</v>
      </c>
      <c r="D1392" s="7">
        <v>15772.3</v>
      </c>
      <c r="E1392" s="7">
        <v>15860.35</v>
      </c>
      <c r="F1392" s="7">
        <v>314614380</v>
      </c>
      <c r="G1392" s="42">
        <v>26933.22</v>
      </c>
    </row>
    <row r="1393" spans="1:7" ht="14.25" customHeight="1">
      <c r="A1393" s="41">
        <v>44375</v>
      </c>
      <c r="B1393" s="7">
        <v>15915.35</v>
      </c>
      <c r="C1393" s="7">
        <v>15915.65</v>
      </c>
      <c r="D1393" s="7">
        <v>15792.15</v>
      </c>
      <c r="E1393" s="7">
        <v>15814.7</v>
      </c>
      <c r="F1393" s="7">
        <v>255099272</v>
      </c>
      <c r="G1393" s="42">
        <v>18713.41</v>
      </c>
    </row>
    <row r="1394" spans="1:7" ht="14.25" customHeight="1">
      <c r="A1394" s="41">
        <v>44376</v>
      </c>
      <c r="B1394" s="7">
        <v>15807.5</v>
      </c>
      <c r="C1394" s="7">
        <v>15835.9</v>
      </c>
      <c r="D1394" s="7">
        <v>15724.05</v>
      </c>
      <c r="E1394" s="7">
        <v>15748.45</v>
      </c>
      <c r="F1394" s="7">
        <v>360334724</v>
      </c>
      <c r="G1394" s="42">
        <v>24392.13</v>
      </c>
    </row>
    <row r="1395" spans="1:7" ht="14.25" customHeight="1">
      <c r="A1395" s="41">
        <v>44377</v>
      </c>
      <c r="B1395" s="7">
        <v>15776.9</v>
      </c>
      <c r="C1395" s="7">
        <v>15839.1</v>
      </c>
      <c r="D1395" s="7">
        <v>15708.75</v>
      </c>
      <c r="E1395" s="7">
        <v>15721.5</v>
      </c>
      <c r="F1395" s="7">
        <v>262386323</v>
      </c>
      <c r="G1395" s="42">
        <v>20379.759999999998</v>
      </c>
    </row>
    <row r="1396" spans="1:7" ht="14.25" customHeight="1">
      <c r="A1396" s="41">
        <v>44378</v>
      </c>
      <c r="B1396" s="7">
        <v>15755.05</v>
      </c>
      <c r="C1396" s="7">
        <v>15755.55</v>
      </c>
      <c r="D1396" s="7">
        <v>15667.05</v>
      </c>
      <c r="E1396" s="7">
        <v>15680</v>
      </c>
      <c r="F1396" s="7">
        <v>224921644</v>
      </c>
      <c r="G1396" s="42">
        <v>17359.97</v>
      </c>
    </row>
    <row r="1397" spans="1:7" ht="14.25" customHeight="1">
      <c r="A1397" s="41">
        <v>44379</v>
      </c>
      <c r="B1397" s="7">
        <v>15705.85</v>
      </c>
      <c r="C1397" s="7">
        <v>15738.35</v>
      </c>
      <c r="D1397" s="7">
        <v>15635.95</v>
      </c>
      <c r="E1397" s="7">
        <v>15722.2</v>
      </c>
      <c r="F1397" s="7">
        <v>254808999</v>
      </c>
      <c r="G1397" s="42">
        <v>18015.419999999998</v>
      </c>
    </row>
    <row r="1398" spans="1:7" ht="14.25" customHeight="1">
      <c r="A1398" s="41">
        <v>44382</v>
      </c>
      <c r="B1398" s="7">
        <v>15793.4</v>
      </c>
      <c r="C1398" s="7">
        <v>15845.95</v>
      </c>
      <c r="D1398" s="7">
        <v>15762.05</v>
      </c>
      <c r="E1398" s="7">
        <v>15834.35</v>
      </c>
      <c r="F1398" s="7">
        <v>207032153</v>
      </c>
      <c r="G1398" s="42">
        <v>14976.54</v>
      </c>
    </row>
    <row r="1399" spans="1:7" ht="14.25" customHeight="1">
      <c r="A1399" s="41">
        <v>44383</v>
      </c>
      <c r="B1399" s="7">
        <v>15813.75</v>
      </c>
      <c r="C1399" s="7">
        <v>15914.2</v>
      </c>
      <c r="D1399" s="7">
        <v>15801</v>
      </c>
      <c r="E1399" s="7">
        <v>15818.25</v>
      </c>
      <c r="F1399" s="7">
        <v>391410742</v>
      </c>
      <c r="G1399" s="42">
        <v>24456.05</v>
      </c>
    </row>
    <row r="1400" spans="1:7" ht="14.25" customHeight="1">
      <c r="A1400" s="41">
        <v>44384</v>
      </c>
      <c r="B1400" s="7">
        <v>15819.6</v>
      </c>
      <c r="C1400" s="7">
        <v>15893.55</v>
      </c>
      <c r="D1400" s="7">
        <v>15779.7</v>
      </c>
      <c r="E1400" s="7">
        <v>15879.65</v>
      </c>
      <c r="F1400" s="7">
        <v>329308646</v>
      </c>
      <c r="G1400" s="42">
        <v>22259.96</v>
      </c>
    </row>
    <row r="1401" spans="1:7" ht="14.25" customHeight="1">
      <c r="A1401" s="41">
        <v>44385</v>
      </c>
      <c r="B1401" s="7">
        <v>15855.4</v>
      </c>
      <c r="C1401" s="7">
        <v>15885.75</v>
      </c>
      <c r="D1401" s="7">
        <v>15682.9</v>
      </c>
      <c r="E1401" s="7">
        <v>15727.9</v>
      </c>
      <c r="F1401" s="7">
        <v>307928495</v>
      </c>
      <c r="G1401" s="42">
        <v>19597.95</v>
      </c>
    </row>
    <row r="1402" spans="1:7" ht="14.25" customHeight="1">
      <c r="A1402" s="41">
        <v>44386</v>
      </c>
      <c r="B1402" s="7">
        <v>15688.25</v>
      </c>
      <c r="C1402" s="7">
        <v>15730.85</v>
      </c>
      <c r="D1402" s="7">
        <v>15632.75</v>
      </c>
      <c r="E1402" s="7">
        <v>15689.8</v>
      </c>
      <c r="F1402" s="7">
        <v>243249366</v>
      </c>
      <c r="G1402" s="42">
        <v>19976.86</v>
      </c>
    </row>
    <row r="1403" spans="1:7" ht="14.25" customHeight="1">
      <c r="A1403" s="41">
        <v>44389</v>
      </c>
      <c r="B1403" s="7">
        <v>15766.8</v>
      </c>
      <c r="C1403" s="7">
        <v>15789.2</v>
      </c>
      <c r="D1403" s="7">
        <v>15644.75</v>
      </c>
      <c r="E1403" s="7">
        <v>15692.6</v>
      </c>
      <c r="F1403" s="7">
        <v>216272488</v>
      </c>
      <c r="G1403" s="42">
        <v>18482.89</v>
      </c>
    </row>
    <row r="1404" spans="1:7" ht="14.25" customHeight="1">
      <c r="A1404" s="41">
        <v>44390</v>
      </c>
      <c r="B1404" s="7">
        <v>15794</v>
      </c>
      <c r="C1404" s="7">
        <v>15820.8</v>
      </c>
      <c r="D1404" s="7">
        <v>15744.6</v>
      </c>
      <c r="E1404" s="7">
        <v>15812.35</v>
      </c>
      <c r="F1404" s="7">
        <v>246676549</v>
      </c>
      <c r="G1404" s="42">
        <v>18205.97</v>
      </c>
    </row>
    <row r="1405" spans="1:7" ht="14.25" customHeight="1">
      <c r="A1405" s="41">
        <v>44391</v>
      </c>
      <c r="B1405" s="7">
        <v>15808.7</v>
      </c>
      <c r="C1405" s="7">
        <v>15877.35</v>
      </c>
      <c r="D1405" s="7">
        <v>15764.2</v>
      </c>
      <c r="E1405" s="7">
        <v>15853.95</v>
      </c>
      <c r="F1405" s="7">
        <v>239924352</v>
      </c>
      <c r="G1405" s="42">
        <v>18372.84</v>
      </c>
    </row>
    <row r="1406" spans="1:7" ht="14.25" customHeight="1">
      <c r="A1406" s="41">
        <v>44392</v>
      </c>
      <c r="B1406" s="7">
        <v>15872.15</v>
      </c>
      <c r="C1406" s="7">
        <v>15952.35</v>
      </c>
      <c r="D1406" s="7">
        <v>15855</v>
      </c>
      <c r="E1406" s="7">
        <v>15924.2</v>
      </c>
      <c r="F1406" s="7">
        <v>284851049</v>
      </c>
      <c r="G1406" s="42">
        <v>20961.37</v>
      </c>
    </row>
    <row r="1407" spans="1:7" ht="14.25" customHeight="1">
      <c r="A1407" s="41">
        <v>44393</v>
      </c>
      <c r="B1407" s="7">
        <v>15958.35</v>
      </c>
      <c r="C1407" s="7">
        <v>15962.25</v>
      </c>
      <c r="D1407" s="7">
        <v>15882.6</v>
      </c>
      <c r="E1407" s="7">
        <v>15923.4</v>
      </c>
      <c r="F1407" s="7">
        <v>276298105</v>
      </c>
      <c r="G1407" s="42">
        <v>18758.13</v>
      </c>
    </row>
    <row r="1408" spans="1:7" ht="14.25" customHeight="1">
      <c r="A1408" s="41">
        <v>44396</v>
      </c>
      <c r="B1408" s="7">
        <v>15754.5</v>
      </c>
      <c r="C1408" s="7">
        <v>15836.9</v>
      </c>
      <c r="D1408" s="7">
        <v>15707.5</v>
      </c>
      <c r="E1408" s="7">
        <v>15752.4</v>
      </c>
      <c r="F1408" s="7">
        <v>242131813</v>
      </c>
      <c r="G1408" s="42">
        <v>18088.78</v>
      </c>
    </row>
    <row r="1409" spans="1:7" ht="14.25" customHeight="1">
      <c r="A1409" s="41">
        <v>44397</v>
      </c>
      <c r="B1409" s="7">
        <v>15703.95</v>
      </c>
      <c r="C1409" s="7">
        <v>15728.45</v>
      </c>
      <c r="D1409" s="7">
        <v>15578.55</v>
      </c>
      <c r="E1409" s="7">
        <v>15632.1</v>
      </c>
      <c r="F1409" s="7">
        <v>274284165</v>
      </c>
      <c r="G1409" s="42">
        <v>21329.55</v>
      </c>
    </row>
    <row r="1410" spans="1:7" ht="14.25" customHeight="1">
      <c r="A1410" s="41">
        <v>44399</v>
      </c>
      <c r="B1410" s="7">
        <v>15736.6</v>
      </c>
      <c r="C1410" s="7">
        <v>15834.8</v>
      </c>
      <c r="D1410" s="7">
        <v>15726.4</v>
      </c>
      <c r="E1410" s="7">
        <v>15824.05</v>
      </c>
      <c r="F1410" s="7">
        <v>265250867</v>
      </c>
      <c r="G1410" s="42">
        <v>23988.39</v>
      </c>
    </row>
    <row r="1411" spans="1:7" ht="14.25" customHeight="1">
      <c r="A1411" s="41">
        <v>44400</v>
      </c>
      <c r="B1411" s="7">
        <v>15856.8</v>
      </c>
      <c r="C1411" s="7">
        <v>15899.8</v>
      </c>
      <c r="D1411" s="7">
        <v>15768.4</v>
      </c>
      <c r="E1411" s="7">
        <v>15856.05</v>
      </c>
      <c r="F1411" s="7">
        <v>294098244</v>
      </c>
      <c r="G1411" s="42">
        <v>20685.82</v>
      </c>
    </row>
    <row r="1412" spans="1:7" ht="14.25" customHeight="1">
      <c r="A1412" s="41">
        <v>44403</v>
      </c>
      <c r="B1412" s="7">
        <v>15849.3</v>
      </c>
      <c r="C1412" s="7">
        <v>15893.35</v>
      </c>
      <c r="D1412" s="7">
        <v>15797</v>
      </c>
      <c r="E1412" s="7">
        <v>15824.45</v>
      </c>
      <c r="F1412" s="7">
        <v>267076679</v>
      </c>
      <c r="G1412" s="42">
        <v>19487.18</v>
      </c>
    </row>
    <row r="1413" spans="1:7" ht="14.25" customHeight="1">
      <c r="A1413" s="41">
        <v>44404</v>
      </c>
      <c r="B1413" s="7">
        <v>15860.5</v>
      </c>
      <c r="C1413" s="7">
        <v>15881.55</v>
      </c>
      <c r="D1413" s="7">
        <v>15701</v>
      </c>
      <c r="E1413" s="7">
        <v>15746.45</v>
      </c>
      <c r="F1413" s="7">
        <v>311012065</v>
      </c>
      <c r="G1413" s="42">
        <v>26117.34</v>
      </c>
    </row>
    <row r="1414" spans="1:7" ht="14.25" customHeight="1">
      <c r="A1414" s="41">
        <v>44405</v>
      </c>
      <c r="B1414" s="7">
        <v>15761.55</v>
      </c>
      <c r="C1414" s="7">
        <v>15767.5</v>
      </c>
      <c r="D1414" s="7">
        <v>15513.45</v>
      </c>
      <c r="E1414" s="7">
        <v>15709.4</v>
      </c>
      <c r="F1414" s="7">
        <v>318601589</v>
      </c>
      <c r="G1414" s="42">
        <v>26090.48</v>
      </c>
    </row>
    <row r="1415" spans="1:7" ht="14.25" customHeight="1">
      <c r="A1415" s="41">
        <v>44406</v>
      </c>
      <c r="B1415" s="7">
        <v>15762.7</v>
      </c>
      <c r="C1415" s="7">
        <v>15817.35</v>
      </c>
      <c r="D1415" s="7">
        <v>15737.8</v>
      </c>
      <c r="E1415" s="7">
        <v>15778.45</v>
      </c>
      <c r="F1415" s="7">
        <v>401584915</v>
      </c>
      <c r="G1415" s="42">
        <v>29460.54</v>
      </c>
    </row>
    <row r="1416" spans="1:7" ht="14.25" customHeight="1">
      <c r="A1416" s="41">
        <v>44407</v>
      </c>
      <c r="B1416" s="7">
        <v>15800.6</v>
      </c>
      <c r="C1416" s="7">
        <v>15862.8</v>
      </c>
      <c r="D1416" s="7">
        <v>15744.85</v>
      </c>
      <c r="E1416" s="7">
        <v>15763.05</v>
      </c>
      <c r="F1416" s="7">
        <v>400021237</v>
      </c>
      <c r="G1416" s="42">
        <v>30539.63</v>
      </c>
    </row>
    <row r="1417" spans="1:7" ht="14.25" customHeight="1">
      <c r="A1417" s="41">
        <v>44410</v>
      </c>
      <c r="B1417" s="7">
        <v>15874.9</v>
      </c>
      <c r="C1417" s="7">
        <v>15892.9</v>
      </c>
      <c r="D1417" s="7">
        <v>15834.65</v>
      </c>
      <c r="E1417" s="7">
        <v>15885.15</v>
      </c>
      <c r="F1417" s="7">
        <v>244847433</v>
      </c>
      <c r="G1417" s="42">
        <v>20766.990000000002</v>
      </c>
    </row>
    <row r="1418" spans="1:7" ht="14.25" customHeight="1">
      <c r="A1418" s="41">
        <v>44411</v>
      </c>
      <c r="B1418" s="7">
        <v>15951.55</v>
      </c>
      <c r="C1418" s="7">
        <v>16146.9</v>
      </c>
      <c r="D1418" s="7">
        <v>15914.35</v>
      </c>
      <c r="E1418" s="7">
        <v>16130.75</v>
      </c>
      <c r="F1418" s="7">
        <v>341289658</v>
      </c>
      <c r="G1418" s="42">
        <v>26373.24</v>
      </c>
    </row>
    <row r="1419" spans="1:7" ht="14.25" customHeight="1">
      <c r="A1419" s="41">
        <v>44412</v>
      </c>
      <c r="B1419" s="7">
        <v>16195.25</v>
      </c>
      <c r="C1419" s="7">
        <v>16290.2</v>
      </c>
      <c r="D1419" s="7">
        <v>16176.15</v>
      </c>
      <c r="E1419" s="7">
        <v>16258.8</v>
      </c>
      <c r="F1419" s="7">
        <v>427337644</v>
      </c>
      <c r="G1419" s="42">
        <v>32434.78</v>
      </c>
    </row>
    <row r="1420" spans="1:7" ht="14.25" customHeight="1">
      <c r="A1420" s="41">
        <v>44413</v>
      </c>
      <c r="B1420" s="7">
        <v>16288.95</v>
      </c>
      <c r="C1420" s="7">
        <v>16349.45</v>
      </c>
      <c r="D1420" s="7">
        <v>16210.3</v>
      </c>
      <c r="E1420" s="7">
        <v>16294.6</v>
      </c>
      <c r="F1420" s="7">
        <v>418174517</v>
      </c>
      <c r="G1420" s="42">
        <v>31386.78</v>
      </c>
    </row>
    <row r="1421" spans="1:7" ht="14.25" customHeight="1">
      <c r="A1421" s="41">
        <v>44414</v>
      </c>
      <c r="B1421" s="7">
        <v>16304.4</v>
      </c>
      <c r="C1421" s="7">
        <v>16336.75</v>
      </c>
      <c r="D1421" s="7">
        <v>16223.3</v>
      </c>
      <c r="E1421" s="7">
        <v>16238.2</v>
      </c>
      <c r="F1421" s="7">
        <v>320087281</v>
      </c>
      <c r="G1421" s="42">
        <v>24716.17</v>
      </c>
    </row>
    <row r="1422" spans="1:7" ht="14.25" customHeight="1">
      <c r="A1422" s="41">
        <v>44417</v>
      </c>
      <c r="B1422" s="7">
        <v>16281.35</v>
      </c>
      <c r="C1422" s="7">
        <v>16320.75</v>
      </c>
      <c r="D1422" s="7">
        <v>16179.05</v>
      </c>
      <c r="E1422" s="7">
        <v>16258.25</v>
      </c>
      <c r="F1422" s="7">
        <v>240452917</v>
      </c>
      <c r="G1422" s="42">
        <v>18302.03</v>
      </c>
    </row>
    <row r="1423" spans="1:7" ht="14.25" customHeight="1">
      <c r="A1423" s="41">
        <v>44418</v>
      </c>
      <c r="B1423" s="7">
        <v>16274.8</v>
      </c>
      <c r="C1423" s="7">
        <v>16359.25</v>
      </c>
      <c r="D1423" s="7">
        <v>16202.25</v>
      </c>
      <c r="E1423" s="7">
        <v>16280.1</v>
      </c>
      <c r="F1423" s="7">
        <v>287989486</v>
      </c>
      <c r="G1423" s="42">
        <v>22600.38</v>
      </c>
    </row>
    <row r="1424" spans="1:7" ht="14.25" customHeight="1">
      <c r="A1424" s="41">
        <v>44419</v>
      </c>
      <c r="B1424" s="7">
        <v>16327.3</v>
      </c>
      <c r="C1424" s="7">
        <v>16338.75</v>
      </c>
      <c r="D1424" s="7">
        <v>16162.55</v>
      </c>
      <c r="E1424" s="7">
        <v>16282.25</v>
      </c>
      <c r="F1424" s="7">
        <v>277895886</v>
      </c>
      <c r="G1424" s="42">
        <v>20306.59</v>
      </c>
    </row>
    <row r="1425" spans="1:7" ht="14.25" customHeight="1">
      <c r="A1425" s="41">
        <v>44420</v>
      </c>
      <c r="B1425" s="7">
        <v>16303.65</v>
      </c>
      <c r="C1425" s="7">
        <v>16375.5</v>
      </c>
      <c r="D1425" s="7">
        <v>16286.9</v>
      </c>
      <c r="E1425" s="7">
        <v>16364.4</v>
      </c>
      <c r="F1425" s="7">
        <v>280181324</v>
      </c>
      <c r="G1425" s="42">
        <v>18548.87</v>
      </c>
    </row>
    <row r="1426" spans="1:7" ht="14.25" customHeight="1">
      <c r="A1426" s="41">
        <v>44421</v>
      </c>
      <c r="B1426" s="7">
        <v>16385.7</v>
      </c>
      <c r="C1426" s="7">
        <v>16543.599999999999</v>
      </c>
      <c r="D1426" s="7">
        <v>16376.3</v>
      </c>
      <c r="E1426" s="7">
        <v>16529.099999999999</v>
      </c>
      <c r="F1426" s="7">
        <v>321866286</v>
      </c>
      <c r="G1426" s="42">
        <v>27163.08</v>
      </c>
    </row>
    <row r="1427" spans="1:7" ht="14.25" customHeight="1">
      <c r="A1427" s="41">
        <v>44424</v>
      </c>
      <c r="B1427" s="7">
        <v>16518.400000000001</v>
      </c>
      <c r="C1427" s="7">
        <v>16589.400000000001</v>
      </c>
      <c r="D1427" s="7">
        <v>16480.75</v>
      </c>
      <c r="E1427" s="7">
        <v>16563.05</v>
      </c>
      <c r="F1427" s="7">
        <v>254049330</v>
      </c>
      <c r="G1427" s="42">
        <v>21456.2</v>
      </c>
    </row>
    <row r="1428" spans="1:7" ht="14.25" customHeight="1">
      <c r="A1428" s="41">
        <v>44425</v>
      </c>
      <c r="B1428" s="7">
        <v>16545.25</v>
      </c>
      <c r="C1428" s="7">
        <v>16628.55</v>
      </c>
      <c r="D1428" s="7">
        <v>16495.400000000001</v>
      </c>
      <c r="E1428" s="7">
        <v>16614.599999999999</v>
      </c>
      <c r="F1428" s="7">
        <v>297388470</v>
      </c>
      <c r="G1428" s="42">
        <v>25696.44</v>
      </c>
    </row>
    <row r="1429" spans="1:7" ht="14.25" customHeight="1">
      <c r="A1429" s="41">
        <v>44426</v>
      </c>
      <c r="B1429" s="7">
        <v>16691.95</v>
      </c>
      <c r="C1429" s="7">
        <v>16701.849999999999</v>
      </c>
      <c r="D1429" s="7">
        <v>16535.849999999999</v>
      </c>
      <c r="E1429" s="7">
        <v>16568.849999999999</v>
      </c>
      <c r="F1429" s="7">
        <v>251796822</v>
      </c>
      <c r="G1429" s="42">
        <v>22721.54</v>
      </c>
    </row>
    <row r="1430" spans="1:7" ht="14.25" customHeight="1">
      <c r="A1430" s="41">
        <v>44428</v>
      </c>
      <c r="B1430" s="7">
        <v>16382.5</v>
      </c>
      <c r="C1430" s="7">
        <v>16509.55</v>
      </c>
      <c r="D1430" s="7">
        <v>16376.05</v>
      </c>
      <c r="E1430" s="7">
        <v>16450.5</v>
      </c>
      <c r="F1430" s="7">
        <v>350819323</v>
      </c>
      <c r="G1430" s="42">
        <v>30118.23</v>
      </c>
    </row>
    <row r="1431" spans="1:7" ht="14.25" customHeight="1">
      <c r="A1431" s="41">
        <v>44431</v>
      </c>
      <c r="B1431" s="7">
        <v>16592.25</v>
      </c>
      <c r="C1431" s="7">
        <v>16592.5</v>
      </c>
      <c r="D1431" s="7">
        <v>16395.7</v>
      </c>
      <c r="E1431" s="7">
        <v>16496.45</v>
      </c>
      <c r="F1431" s="7">
        <v>275597782</v>
      </c>
      <c r="G1431" s="42">
        <v>24355.77</v>
      </c>
    </row>
    <row r="1432" spans="1:7" ht="14.25" customHeight="1">
      <c r="A1432" s="41">
        <v>44432</v>
      </c>
      <c r="B1432" s="7">
        <v>16561.400000000001</v>
      </c>
      <c r="C1432" s="7">
        <v>16647.099999999999</v>
      </c>
      <c r="D1432" s="7">
        <v>16495.3</v>
      </c>
      <c r="E1432" s="7">
        <v>16624.599999999999</v>
      </c>
      <c r="F1432" s="7">
        <v>275362819</v>
      </c>
      <c r="G1432" s="42">
        <v>24992.32</v>
      </c>
    </row>
    <row r="1433" spans="1:7" ht="14.25" customHeight="1">
      <c r="A1433" s="41">
        <v>44433</v>
      </c>
      <c r="B1433" s="7">
        <v>16654</v>
      </c>
      <c r="C1433" s="7">
        <v>16712.45</v>
      </c>
      <c r="D1433" s="7">
        <v>16617.5</v>
      </c>
      <c r="E1433" s="7">
        <v>16634.650000000001</v>
      </c>
      <c r="F1433" s="7">
        <v>265920141</v>
      </c>
      <c r="G1433" s="42">
        <v>22210.6</v>
      </c>
    </row>
    <row r="1434" spans="1:7" ht="14.25" customHeight="1">
      <c r="A1434" s="41">
        <v>44434</v>
      </c>
      <c r="B1434" s="7">
        <v>16627.95</v>
      </c>
      <c r="C1434" s="7">
        <v>16683.7</v>
      </c>
      <c r="D1434" s="7">
        <v>16603.400000000001</v>
      </c>
      <c r="E1434" s="7">
        <v>16636.900000000001</v>
      </c>
      <c r="F1434" s="7">
        <v>253530997</v>
      </c>
      <c r="G1434" s="42">
        <v>22320.21</v>
      </c>
    </row>
    <row r="1435" spans="1:7" ht="14.25" customHeight="1">
      <c r="A1435" s="41">
        <v>44435</v>
      </c>
      <c r="B1435" s="7">
        <v>16642.55</v>
      </c>
      <c r="C1435" s="7">
        <v>16722.05</v>
      </c>
      <c r="D1435" s="7">
        <v>16565.599999999999</v>
      </c>
      <c r="E1435" s="7">
        <v>16705.2</v>
      </c>
      <c r="F1435" s="7">
        <v>217405743</v>
      </c>
      <c r="G1435" s="42">
        <v>20499.849999999999</v>
      </c>
    </row>
    <row r="1436" spans="1:7" ht="14.25" customHeight="1">
      <c r="A1436" s="41">
        <v>44438</v>
      </c>
      <c r="B1436" s="7">
        <v>16775.849999999999</v>
      </c>
      <c r="C1436" s="7">
        <v>16951.5</v>
      </c>
      <c r="D1436" s="7">
        <v>16764.849999999999</v>
      </c>
      <c r="E1436" s="7">
        <v>16931.05</v>
      </c>
      <c r="F1436" s="7">
        <v>283483108</v>
      </c>
      <c r="G1436" s="42">
        <v>23615.87</v>
      </c>
    </row>
    <row r="1437" spans="1:7" ht="14.25" customHeight="1">
      <c r="A1437" s="41">
        <v>44439</v>
      </c>
      <c r="B1437" s="7">
        <v>16947.5</v>
      </c>
      <c r="C1437" s="7">
        <v>17153.5</v>
      </c>
      <c r="D1437" s="7">
        <v>16915.849999999999</v>
      </c>
      <c r="E1437" s="7">
        <v>17132.2</v>
      </c>
      <c r="F1437" s="7">
        <v>464390247</v>
      </c>
      <c r="G1437" s="42">
        <v>40147.89</v>
      </c>
    </row>
    <row r="1438" spans="1:7" ht="14.25" customHeight="1">
      <c r="A1438" s="41">
        <v>44440</v>
      </c>
      <c r="B1438" s="7">
        <v>17185.599999999999</v>
      </c>
      <c r="C1438" s="7">
        <v>17225.75</v>
      </c>
      <c r="D1438" s="7">
        <v>17055.05</v>
      </c>
      <c r="E1438" s="7">
        <v>17076.25</v>
      </c>
      <c r="F1438" s="7">
        <v>301894634</v>
      </c>
      <c r="G1438" s="42">
        <v>27691.93</v>
      </c>
    </row>
    <row r="1439" spans="1:7" ht="14.25" customHeight="1">
      <c r="A1439" s="41">
        <v>44441</v>
      </c>
      <c r="B1439" s="7">
        <v>17095.400000000001</v>
      </c>
      <c r="C1439" s="7">
        <v>17245.5</v>
      </c>
      <c r="D1439" s="7">
        <v>17059.7</v>
      </c>
      <c r="E1439" s="7">
        <v>17234.150000000001</v>
      </c>
      <c r="F1439" s="7">
        <v>242377518</v>
      </c>
      <c r="G1439" s="42">
        <v>22620.36</v>
      </c>
    </row>
    <row r="1440" spans="1:7" ht="14.25" customHeight="1">
      <c r="A1440" s="41">
        <v>44442</v>
      </c>
      <c r="B1440" s="7">
        <v>17262.45</v>
      </c>
      <c r="C1440" s="7">
        <v>17340.099999999999</v>
      </c>
      <c r="D1440" s="7">
        <v>17212.2</v>
      </c>
      <c r="E1440" s="7">
        <v>17323.599999999999</v>
      </c>
      <c r="F1440" s="7">
        <v>261373795</v>
      </c>
      <c r="G1440" s="42">
        <v>23579.17</v>
      </c>
    </row>
    <row r="1441" spans="1:7" ht="14.25" customHeight="1">
      <c r="A1441" s="41">
        <v>44445</v>
      </c>
      <c r="B1441" s="7">
        <v>17399.349999999999</v>
      </c>
      <c r="C1441" s="7">
        <v>17429.55</v>
      </c>
      <c r="D1441" s="7">
        <v>17345.55</v>
      </c>
      <c r="E1441" s="7">
        <v>17377.8</v>
      </c>
      <c r="F1441" s="7">
        <v>228045532</v>
      </c>
      <c r="G1441" s="42">
        <v>21270.62</v>
      </c>
    </row>
    <row r="1442" spans="1:7" ht="14.25" customHeight="1">
      <c r="A1442" s="41">
        <v>44446</v>
      </c>
      <c r="B1442" s="7">
        <v>17401.55</v>
      </c>
      <c r="C1442" s="7">
        <v>17436.5</v>
      </c>
      <c r="D1442" s="7">
        <v>17287</v>
      </c>
      <c r="E1442" s="7">
        <v>17362.099999999999</v>
      </c>
      <c r="F1442" s="7">
        <v>243417811</v>
      </c>
      <c r="G1442" s="42">
        <v>19848.939999999999</v>
      </c>
    </row>
    <row r="1443" spans="1:7" ht="14.25" customHeight="1">
      <c r="A1443" s="41">
        <v>44447</v>
      </c>
      <c r="B1443" s="7">
        <v>17375.75</v>
      </c>
      <c r="C1443" s="7">
        <v>17383.400000000001</v>
      </c>
      <c r="D1443" s="7">
        <v>17254.2</v>
      </c>
      <c r="E1443" s="7">
        <v>17353.5</v>
      </c>
      <c r="F1443" s="7">
        <v>252652423</v>
      </c>
      <c r="G1443" s="42">
        <v>22696.35</v>
      </c>
    </row>
    <row r="1444" spans="1:7" ht="14.25" customHeight="1">
      <c r="A1444" s="41">
        <v>44448</v>
      </c>
      <c r="B1444" s="7">
        <v>17312.849999999999</v>
      </c>
      <c r="C1444" s="7">
        <v>17379.650000000001</v>
      </c>
      <c r="D1444" s="7">
        <v>17302.7</v>
      </c>
      <c r="E1444" s="7">
        <v>17369.25</v>
      </c>
      <c r="F1444" s="7">
        <v>241509352</v>
      </c>
      <c r="G1444" s="42">
        <v>17719.78</v>
      </c>
    </row>
    <row r="1445" spans="1:7" ht="14.25" customHeight="1">
      <c r="A1445" s="41">
        <v>44452</v>
      </c>
      <c r="B1445" s="7">
        <v>17363.55</v>
      </c>
      <c r="C1445" s="7">
        <v>17378.349999999999</v>
      </c>
      <c r="D1445" s="7">
        <v>17269.150000000001</v>
      </c>
      <c r="E1445" s="7">
        <v>17355.3</v>
      </c>
      <c r="F1445" s="7">
        <v>241053924</v>
      </c>
      <c r="G1445" s="42">
        <v>18498.63</v>
      </c>
    </row>
    <row r="1446" spans="1:7" ht="14.25" customHeight="1">
      <c r="A1446" s="41">
        <v>44453</v>
      </c>
      <c r="B1446" s="7">
        <v>17420.349999999999</v>
      </c>
      <c r="C1446" s="7">
        <v>17438.55</v>
      </c>
      <c r="D1446" s="7">
        <v>17367.05</v>
      </c>
      <c r="E1446" s="7">
        <v>17380</v>
      </c>
      <c r="F1446" s="7">
        <v>230354386</v>
      </c>
      <c r="G1446" s="42">
        <v>18702.82</v>
      </c>
    </row>
    <row r="1447" spans="1:7" ht="14.25" customHeight="1">
      <c r="A1447" s="41">
        <v>44454</v>
      </c>
      <c r="B1447" s="7">
        <v>17387.650000000001</v>
      </c>
      <c r="C1447" s="7">
        <v>17532.7</v>
      </c>
      <c r="D1447" s="7">
        <v>17386.900000000001</v>
      </c>
      <c r="E1447" s="7">
        <v>17519.45</v>
      </c>
      <c r="F1447" s="7">
        <v>388191629</v>
      </c>
      <c r="G1447" s="42">
        <v>24256.799999999999</v>
      </c>
    </row>
    <row r="1448" spans="1:7" ht="14.25" customHeight="1">
      <c r="A1448" s="41">
        <v>44455</v>
      </c>
      <c r="B1448" s="7">
        <v>17539.2</v>
      </c>
      <c r="C1448" s="7">
        <v>17644.599999999999</v>
      </c>
      <c r="D1448" s="7">
        <v>17510.45</v>
      </c>
      <c r="E1448" s="7">
        <v>17629.5</v>
      </c>
      <c r="F1448" s="7">
        <v>503310763</v>
      </c>
      <c r="G1448" s="42">
        <v>30189.77</v>
      </c>
    </row>
    <row r="1449" spans="1:7" ht="14.25" customHeight="1">
      <c r="A1449" s="41">
        <v>44456</v>
      </c>
      <c r="B1449" s="7">
        <v>17709.650000000001</v>
      </c>
      <c r="C1449" s="7">
        <v>17792.95</v>
      </c>
      <c r="D1449" s="7">
        <v>17537.650000000001</v>
      </c>
      <c r="E1449" s="7">
        <v>17585.150000000001</v>
      </c>
      <c r="F1449" s="7">
        <v>508285916</v>
      </c>
      <c r="G1449" s="42">
        <v>43345.58</v>
      </c>
    </row>
    <row r="1450" spans="1:7" ht="14.25" customHeight="1">
      <c r="A1450" s="41">
        <v>44459</v>
      </c>
      <c r="B1450" s="7">
        <v>17443.849999999999</v>
      </c>
      <c r="C1450" s="7">
        <v>17622.75</v>
      </c>
      <c r="D1450" s="7">
        <v>17361.8</v>
      </c>
      <c r="E1450" s="7">
        <v>17396.900000000001</v>
      </c>
      <c r="F1450" s="7">
        <v>339102046</v>
      </c>
      <c r="G1450" s="42">
        <v>25304.27</v>
      </c>
    </row>
    <row r="1451" spans="1:7" ht="14.25" customHeight="1">
      <c r="A1451" s="41">
        <v>44460</v>
      </c>
      <c r="B1451" s="7">
        <v>17450.5</v>
      </c>
      <c r="C1451" s="7">
        <v>17578.349999999999</v>
      </c>
      <c r="D1451" s="7">
        <v>17326.099999999999</v>
      </c>
      <c r="E1451" s="7">
        <v>17562</v>
      </c>
      <c r="F1451" s="7">
        <v>363578479</v>
      </c>
      <c r="G1451" s="42">
        <v>26520.99</v>
      </c>
    </row>
    <row r="1452" spans="1:7" ht="14.25" customHeight="1">
      <c r="A1452" s="41">
        <v>44461</v>
      </c>
      <c r="B1452" s="7">
        <v>17580.900000000001</v>
      </c>
      <c r="C1452" s="7">
        <v>17610.45</v>
      </c>
      <c r="D1452" s="7">
        <v>17524</v>
      </c>
      <c r="E1452" s="7">
        <v>17546.650000000001</v>
      </c>
      <c r="F1452" s="7">
        <v>295191136</v>
      </c>
      <c r="G1452" s="42">
        <v>21772.23</v>
      </c>
    </row>
    <row r="1453" spans="1:7" ht="14.25" customHeight="1">
      <c r="A1453" s="41">
        <v>44462</v>
      </c>
      <c r="B1453" s="7">
        <v>17670.849999999999</v>
      </c>
      <c r="C1453" s="7">
        <v>17843.900000000001</v>
      </c>
      <c r="D1453" s="7">
        <v>17646.55</v>
      </c>
      <c r="E1453" s="7">
        <v>17822.95</v>
      </c>
      <c r="F1453" s="7">
        <v>320514486</v>
      </c>
      <c r="G1453" s="42">
        <v>25005.360000000001</v>
      </c>
    </row>
    <row r="1454" spans="1:7" ht="14.25" customHeight="1">
      <c r="A1454" s="41">
        <v>44463</v>
      </c>
      <c r="B1454" s="7">
        <v>17897.45</v>
      </c>
      <c r="C1454" s="7">
        <v>17947.650000000001</v>
      </c>
      <c r="D1454" s="7">
        <v>17819.400000000001</v>
      </c>
      <c r="E1454" s="7">
        <v>17853.2</v>
      </c>
      <c r="F1454" s="7">
        <v>360130853</v>
      </c>
      <c r="G1454" s="42">
        <v>30787.59</v>
      </c>
    </row>
    <row r="1455" spans="1:7" ht="14.25" customHeight="1">
      <c r="A1455" s="41">
        <v>44466</v>
      </c>
      <c r="B1455" s="7">
        <v>17932.2</v>
      </c>
      <c r="C1455" s="7">
        <v>17943.5</v>
      </c>
      <c r="D1455" s="7">
        <v>17802.900000000001</v>
      </c>
      <c r="E1455" s="7">
        <v>17855.099999999999</v>
      </c>
      <c r="F1455" s="7">
        <v>295714657</v>
      </c>
      <c r="G1455" s="42">
        <v>24244.98</v>
      </c>
    </row>
    <row r="1456" spans="1:7" ht="14.25" customHeight="1">
      <c r="A1456" s="41">
        <v>44467</v>
      </c>
      <c r="B1456" s="7">
        <v>17906.45</v>
      </c>
      <c r="C1456" s="7">
        <v>17912.849999999999</v>
      </c>
      <c r="D1456" s="7">
        <v>17576.099999999999</v>
      </c>
      <c r="E1456" s="7">
        <v>17748.599999999999</v>
      </c>
      <c r="F1456" s="7">
        <v>397997281</v>
      </c>
      <c r="G1456" s="42">
        <v>27055.360000000001</v>
      </c>
    </row>
    <row r="1457" spans="1:7" ht="14.25" customHeight="1">
      <c r="A1457" s="41">
        <v>44468</v>
      </c>
      <c r="B1457" s="7">
        <v>17657.95</v>
      </c>
      <c r="C1457" s="7">
        <v>17781.75</v>
      </c>
      <c r="D1457" s="7">
        <v>17608.150000000001</v>
      </c>
      <c r="E1457" s="7">
        <v>17711.3</v>
      </c>
      <c r="F1457" s="7">
        <v>562237732</v>
      </c>
      <c r="G1457" s="42">
        <v>30621.279999999999</v>
      </c>
    </row>
    <row r="1458" spans="1:7" ht="14.25" customHeight="1">
      <c r="A1458" s="41">
        <v>44469</v>
      </c>
      <c r="B1458" s="7">
        <v>17718.900000000001</v>
      </c>
      <c r="C1458" s="7">
        <v>17742.150000000001</v>
      </c>
      <c r="D1458" s="7">
        <v>17585.349999999999</v>
      </c>
      <c r="E1458" s="7">
        <v>17618.150000000001</v>
      </c>
      <c r="F1458" s="7">
        <v>378592721</v>
      </c>
      <c r="G1458" s="42">
        <v>27167.19</v>
      </c>
    </row>
    <row r="1459" spans="1:7" ht="14.25" customHeight="1">
      <c r="A1459" s="41">
        <v>44470</v>
      </c>
      <c r="B1459" s="7">
        <v>17531.900000000001</v>
      </c>
      <c r="C1459" s="7">
        <v>17557.150000000001</v>
      </c>
      <c r="D1459" s="7">
        <v>17452.900000000001</v>
      </c>
      <c r="E1459" s="7">
        <v>17532.05</v>
      </c>
      <c r="F1459" s="7">
        <v>305763919</v>
      </c>
      <c r="G1459" s="42">
        <v>20911.61</v>
      </c>
    </row>
    <row r="1460" spans="1:7" ht="14.25" customHeight="1">
      <c r="A1460" s="41">
        <v>44473</v>
      </c>
      <c r="B1460" s="7">
        <v>17615.55</v>
      </c>
      <c r="C1460" s="7">
        <v>17750.900000000001</v>
      </c>
      <c r="D1460" s="7">
        <v>17581.349999999999</v>
      </c>
      <c r="E1460" s="7">
        <v>17691.25</v>
      </c>
      <c r="F1460" s="7">
        <v>295761839</v>
      </c>
      <c r="G1460" s="42">
        <v>21343.51</v>
      </c>
    </row>
    <row r="1461" spans="1:7" ht="14.25" customHeight="1">
      <c r="A1461" s="41">
        <v>44474</v>
      </c>
      <c r="B1461" s="7">
        <v>17661.349999999999</v>
      </c>
      <c r="C1461" s="7">
        <v>17833.45</v>
      </c>
      <c r="D1461" s="7">
        <v>17640.900000000001</v>
      </c>
      <c r="E1461" s="7">
        <v>17822.3</v>
      </c>
      <c r="F1461" s="7">
        <v>427000191</v>
      </c>
      <c r="G1461" s="42">
        <v>23066.799999999999</v>
      </c>
    </row>
    <row r="1462" spans="1:7" ht="14.25" customHeight="1">
      <c r="A1462" s="41">
        <v>44475</v>
      </c>
      <c r="B1462" s="7">
        <v>17861.5</v>
      </c>
      <c r="C1462" s="7">
        <v>17884.599999999999</v>
      </c>
      <c r="D1462" s="7">
        <v>17613.150000000001</v>
      </c>
      <c r="E1462" s="7">
        <v>17646</v>
      </c>
      <c r="F1462" s="7">
        <v>395833550</v>
      </c>
      <c r="G1462" s="42">
        <v>24504.3</v>
      </c>
    </row>
    <row r="1463" spans="1:7" ht="14.25" customHeight="1">
      <c r="A1463" s="41">
        <v>44476</v>
      </c>
      <c r="B1463" s="7">
        <v>17810.55</v>
      </c>
      <c r="C1463" s="7">
        <v>17857.55</v>
      </c>
      <c r="D1463" s="7">
        <v>17763.8</v>
      </c>
      <c r="E1463" s="7">
        <v>17790.349999999999</v>
      </c>
      <c r="F1463" s="7">
        <v>419890959</v>
      </c>
      <c r="G1463" s="42">
        <v>27371.98</v>
      </c>
    </row>
    <row r="1464" spans="1:7" ht="14.25" customHeight="1">
      <c r="A1464" s="41">
        <v>44477</v>
      </c>
      <c r="B1464" s="7">
        <v>17886.849999999999</v>
      </c>
      <c r="C1464" s="7">
        <v>17941.849999999999</v>
      </c>
      <c r="D1464" s="7">
        <v>17840.349999999999</v>
      </c>
      <c r="E1464" s="7">
        <v>17895.2</v>
      </c>
      <c r="F1464" s="7">
        <v>324066351</v>
      </c>
      <c r="G1464" s="42">
        <v>22778.68</v>
      </c>
    </row>
    <row r="1465" spans="1:7" ht="14.25" customHeight="1">
      <c r="A1465" s="41">
        <v>44480</v>
      </c>
      <c r="B1465" s="7">
        <v>17867.55</v>
      </c>
      <c r="C1465" s="7">
        <v>18041.95</v>
      </c>
      <c r="D1465" s="7">
        <v>17839.099999999999</v>
      </c>
      <c r="E1465" s="7">
        <v>17945.95</v>
      </c>
      <c r="F1465" s="7">
        <v>375756457</v>
      </c>
      <c r="G1465" s="42">
        <v>29000.2</v>
      </c>
    </row>
    <row r="1466" spans="1:7" ht="14.25" customHeight="1">
      <c r="A1466" s="41">
        <v>44481</v>
      </c>
      <c r="B1466" s="7">
        <v>17915.8</v>
      </c>
      <c r="C1466" s="7">
        <v>18008.650000000001</v>
      </c>
      <c r="D1466" s="7">
        <v>17864.95</v>
      </c>
      <c r="E1466" s="7">
        <v>17991.95</v>
      </c>
      <c r="F1466" s="7">
        <v>355568313</v>
      </c>
      <c r="G1466" s="42">
        <v>26491.42</v>
      </c>
    </row>
    <row r="1467" spans="1:7" ht="14.25" customHeight="1">
      <c r="A1467" s="41">
        <v>44482</v>
      </c>
      <c r="B1467" s="7">
        <v>18097.849999999999</v>
      </c>
      <c r="C1467" s="7">
        <v>18197.8</v>
      </c>
      <c r="D1467" s="7">
        <v>18050.75</v>
      </c>
      <c r="E1467" s="7">
        <v>18161.75</v>
      </c>
      <c r="F1467" s="7">
        <v>506679748</v>
      </c>
      <c r="G1467" s="42">
        <v>34503</v>
      </c>
    </row>
    <row r="1468" spans="1:7" ht="14.25" customHeight="1">
      <c r="A1468" s="41">
        <v>44483</v>
      </c>
      <c r="B1468" s="7">
        <v>18272.849999999999</v>
      </c>
      <c r="C1468" s="7">
        <v>18350.75</v>
      </c>
      <c r="D1468" s="7">
        <v>18248.7</v>
      </c>
      <c r="E1468" s="7">
        <v>18338.55</v>
      </c>
      <c r="F1468" s="7">
        <v>538714440</v>
      </c>
      <c r="G1468" s="42">
        <v>38903.160000000003</v>
      </c>
    </row>
    <row r="1469" spans="1:7" ht="14.25" customHeight="1">
      <c r="A1469" s="41">
        <v>44487</v>
      </c>
      <c r="B1469" s="7">
        <v>18500.099999999999</v>
      </c>
      <c r="C1469" s="7">
        <v>18543.150000000001</v>
      </c>
      <c r="D1469" s="7">
        <v>18445.3</v>
      </c>
      <c r="E1469" s="7">
        <v>18477.05</v>
      </c>
      <c r="F1469" s="7">
        <v>469883515</v>
      </c>
      <c r="G1469" s="42">
        <v>36800.839999999997</v>
      </c>
    </row>
    <row r="1470" spans="1:7" ht="14.25" customHeight="1">
      <c r="A1470" s="41">
        <v>44488</v>
      </c>
      <c r="B1470" s="7">
        <v>18602.349999999999</v>
      </c>
      <c r="C1470" s="7">
        <v>18604.45</v>
      </c>
      <c r="D1470" s="7">
        <v>18377.7</v>
      </c>
      <c r="E1470" s="7">
        <v>18418.75</v>
      </c>
      <c r="F1470" s="7">
        <v>368230309</v>
      </c>
      <c r="G1470" s="42">
        <v>30505.86</v>
      </c>
    </row>
    <row r="1471" spans="1:7" ht="14.25" customHeight="1">
      <c r="A1471" s="41">
        <v>44489</v>
      </c>
      <c r="B1471" s="7">
        <v>18439.900000000001</v>
      </c>
      <c r="C1471" s="7">
        <v>18458.3</v>
      </c>
      <c r="D1471" s="7">
        <v>18209.349999999999</v>
      </c>
      <c r="E1471" s="7">
        <v>18266.599999999999</v>
      </c>
      <c r="F1471" s="7">
        <v>371276478</v>
      </c>
      <c r="G1471" s="42">
        <v>28968.42</v>
      </c>
    </row>
    <row r="1472" spans="1:7" ht="14.25" customHeight="1">
      <c r="A1472" s="41">
        <v>44490</v>
      </c>
      <c r="B1472" s="7">
        <v>18382.7</v>
      </c>
      <c r="C1472" s="7">
        <v>18384.2</v>
      </c>
      <c r="D1472" s="7">
        <v>18048</v>
      </c>
      <c r="E1472" s="7">
        <v>18178.099999999999</v>
      </c>
      <c r="F1472" s="7">
        <v>365902008</v>
      </c>
      <c r="G1472" s="42">
        <v>30839.79</v>
      </c>
    </row>
    <row r="1473" spans="1:7" ht="14.25" customHeight="1">
      <c r="A1473" s="41">
        <v>44491</v>
      </c>
      <c r="B1473" s="7">
        <v>18230.7</v>
      </c>
      <c r="C1473" s="7">
        <v>18314.25</v>
      </c>
      <c r="D1473" s="7">
        <v>18034.349999999999</v>
      </c>
      <c r="E1473" s="7">
        <v>18114.900000000001</v>
      </c>
      <c r="F1473" s="7">
        <v>324748084</v>
      </c>
      <c r="G1473" s="42">
        <v>26938.880000000001</v>
      </c>
    </row>
    <row r="1474" spans="1:7" ht="14.25" customHeight="1">
      <c r="A1474" s="41">
        <v>44494</v>
      </c>
      <c r="B1474" s="7">
        <v>18229.5</v>
      </c>
      <c r="C1474" s="7">
        <v>18241.400000000001</v>
      </c>
      <c r="D1474" s="7">
        <v>17968.5</v>
      </c>
      <c r="E1474" s="7">
        <v>18125.400000000001</v>
      </c>
      <c r="F1474" s="7">
        <v>418703647</v>
      </c>
      <c r="G1474" s="42">
        <v>34572.339999999997</v>
      </c>
    </row>
    <row r="1475" spans="1:7" ht="14.25" customHeight="1">
      <c r="A1475" s="41">
        <v>44495</v>
      </c>
      <c r="B1475" s="7">
        <v>18154.5</v>
      </c>
      <c r="C1475" s="7">
        <v>18310.45</v>
      </c>
      <c r="D1475" s="7">
        <v>18099.3</v>
      </c>
      <c r="E1475" s="7">
        <v>18268.400000000001</v>
      </c>
      <c r="F1475" s="7">
        <v>341377869</v>
      </c>
      <c r="G1475" s="42">
        <v>29764.61</v>
      </c>
    </row>
    <row r="1476" spans="1:7" ht="14.25" customHeight="1">
      <c r="A1476" s="41">
        <v>44496</v>
      </c>
      <c r="B1476" s="7">
        <v>18295.849999999999</v>
      </c>
      <c r="C1476" s="7">
        <v>18342.05</v>
      </c>
      <c r="D1476" s="7">
        <v>18167.900000000001</v>
      </c>
      <c r="E1476" s="7">
        <v>18210.95</v>
      </c>
      <c r="F1476" s="7">
        <v>335248487</v>
      </c>
      <c r="G1476" s="42">
        <v>30823.75</v>
      </c>
    </row>
    <row r="1477" spans="1:7" ht="14.25" customHeight="1">
      <c r="A1477" s="41">
        <v>44497</v>
      </c>
      <c r="B1477" s="7">
        <v>18187.650000000001</v>
      </c>
      <c r="C1477" s="7">
        <v>18190.7</v>
      </c>
      <c r="D1477" s="7">
        <v>17799.45</v>
      </c>
      <c r="E1477" s="7">
        <v>17857.25</v>
      </c>
      <c r="F1477" s="7">
        <v>374205784</v>
      </c>
      <c r="G1477" s="42">
        <v>30222.34</v>
      </c>
    </row>
    <row r="1478" spans="1:7" ht="14.25" customHeight="1">
      <c r="A1478" s="41">
        <v>44498</v>
      </c>
      <c r="B1478" s="7">
        <v>17833.05</v>
      </c>
      <c r="C1478" s="7">
        <v>17915.849999999999</v>
      </c>
      <c r="D1478" s="7">
        <v>17613.099999999999</v>
      </c>
      <c r="E1478" s="7">
        <v>17671.650000000001</v>
      </c>
      <c r="F1478" s="7">
        <v>336466864</v>
      </c>
      <c r="G1478" s="42">
        <v>28136</v>
      </c>
    </row>
    <row r="1479" spans="1:7" ht="14.25" customHeight="1">
      <c r="A1479" s="41">
        <v>44501</v>
      </c>
      <c r="B1479" s="7">
        <v>17783.150000000001</v>
      </c>
      <c r="C1479" s="7">
        <v>17954.099999999999</v>
      </c>
      <c r="D1479" s="7">
        <v>17697.099999999999</v>
      </c>
      <c r="E1479" s="7">
        <v>17929.650000000001</v>
      </c>
      <c r="F1479" s="7">
        <v>281190130</v>
      </c>
      <c r="G1479" s="42">
        <v>24354.38</v>
      </c>
    </row>
    <row r="1480" spans="1:7" ht="14.25" customHeight="1">
      <c r="A1480" s="41">
        <v>44502</v>
      </c>
      <c r="B1480" s="7">
        <v>17970.900000000001</v>
      </c>
      <c r="C1480" s="7">
        <v>18012.25</v>
      </c>
      <c r="D1480" s="7">
        <v>17847.599999999999</v>
      </c>
      <c r="E1480" s="7">
        <v>17888.95</v>
      </c>
      <c r="F1480" s="7">
        <v>296441997</v>
      </c>
      <c r="G1480" s="42">
        <v>23371.51</v>
      </c>
    </row>
    <row r="1481" spans="1:7" ht="14.25" customHeight="1">
      <c r="A1481" s="41">
        <v>44503</v>
      </c>
      <c r="B1481" s="7">
        <v>17947.95</v>
      </c>
      <c r="C1481" s="7">
        <v>17988.75</v>
      </c>
      <c r="D1481" s="7">
        <v>17757.95</v>
      </c>
      <c r="E1481" s="7">
        <v>17829.2</v>
      </c>
      <c r="F1481" s="7">
        <v>330995982</v>
      </c>
      <c r="G1481" s="42">
        <v>26186.85</v>
      </c>
    </row>
    <row r="1482" spans="1:7" ht="14.25" customHeight="1">
      <c r="A1482" s="41">
        <v>44504</v>
      </c>
      <c r="B1482" s="7">
        <v>17935.05</v>
      </c>
      <c r="C1482" s="7">
        <v>17947.55</v>
      </c>
      <c r="D1482" s="7">
        <v>17900.599999999999</v>
      </c>
      <c r="E1482" s="7">
        <v>17916.8</v>
      </c>
      <c r="F1482" s="7">
        <v>48520856</v>
      </c>
      <c r="G1482" s="42">
        <v>3637.06</v>
      </c>
    </row>
    <row r="1483" spans="1:7" ht="14.25" customHeight="1">
      <c r="A1483" s="41">
        <v>44508</v>
      </c>
      <c r="B1483" s="7">
        <v>18040.2</v>
      </c>
      <c r="C1483" s="7">
        <v>18087.8</v>
      </c>
      <c r="D1483" s="7">
        <v>17836.099999999999</v>
      </c>
      <c r="E1483" s="7">
        <v>18068.55</v>
      </c>
      <c r="F1483" s="7">
        <v>338919483</v>
      </c>
      <c r="G1483" s="42">
        <v>30908.23</v>
      </c>
    </row>
    <row r="1484" spans="1:7" ht="14.25" customHeight="1">
      <c r="A1484" s="41">
        <v>44509</v>
      </c>
      <c r="B1484" s="7">
        <v>18084.349999999999</v>
      </c>
      <c r="C1484" s="7">
        <v>18112.599999999999</v>
      </c>
      <c r="D1484" s="7">
        <v>17983.05</v>
      </c>
      <c r="E1484" s="7">
        <v>18044.25</v>
      </c>
      <c r="F1484" s="7">
        <v>270197527</v>
      </c>
      <c r="G1484" s="42">
        <v>23686.09</v>
      </c>
    </row>
    <row r="1485" spans="1:7" ht="14.25" customHeight="1">
      <c r="A1485" s="41">
        <v>44510</v>
      </c>
      <c r="B1485" s="7">
        <v>17973.45</v>
      </c>
      <c r="C1485" s="7">
        <v>18061.25</v>
      </c>
      <c r="D1485" s="7">
        <v>17915</v>
      </c>
      <c r="E1485" s="7">
        <v>18017.2</v>
      </c>
      <c r="F1485" s="7">
        <v>261446523</v>
      </c>
      <c r="G1485" s="42">
        <v>22281.11</v>
      </c>
    </row>
    <row r="1486" spans="1:7" ht="14.25" customHeight="1">
      <c r="A1486" s="41">
        <v>44511</v>
      </c>
      <c r="B1486" s="7">
        <v>17967.45</v>
      </c>
      <c r="C1486" s="7">
        <v>17971.349999999999</v>
      </c>
      <c r="D1486" s="7">
        <v>17798.2</v>
      </c>
      <c r="E1486" s="7">
        <v>17873.599999999999</v>
      </c>
      <c r="F1486" s="7">
        <v>232121151</v>
      </c>
      <c r="G1486" s="42">
        <v>20074.78</v>
      </c>
    </row>
    <row r="1487" spans="1:7" ht="14.25" customHeight="1">
      <c r="A1487" s="41">
        <v>44512</v>
      </c>
      <c r="B1487" s="7">
        <v>17977.599999999999</v>
      </c>
      <c r="C1487" s="7">
        <v>18123</v>
      </c>
      <c r="D1487" s="7">
        <v>17905.900000000001</v>
      </c>
      <c r="E1487" s="7">
        <v>18102.75</v>
      </c>
      <c r="F1487" s="7">
        <v>249111898</v>
      </c>
      <c r="G1487" s="42">
        <v>22164.33</v>
      </c>
    </row>
    <row r="1488" spans="1:7" ht="14.25" customHeight="1">
      <c r="A1488" s="41">
        <v>44515</v>
      </c>
      <c r="B1488" s="7">
        <v>18140.95</v>
      </c>
      <c r="C1488" s="7">
        <v>18210.150000000001</v>
      </c>
      <c r="D1488" s="7">
        <v>18071.3</v>
      </c>
      <c r="E1488" s="7">
        <v>18109.45</v>
      </c>
      <c r="F1488" s="7">
        <v>280428633</v>
      </c>
      <c r="G1488" s="42">
        <v>19099.599999999999</v>
      </c>
    </row>
    <row r="1489" spans="1:7" ht="14.25" customHeight="1">
      <c r="A1489" s="41">
        <v>44516</v>
      </c>
      <c r="B1489" s="7">
        <v>18127.05</v>
      </c>
      <c r="C1489" s="7">
        <v>18132.650000000001</v>
      </c>
      <c r="D1489" s="7">
        <v>17958.8</v>
      </c>
      <c r="E1489" s="7">
        <v>17999.2</v>
      </c>
      <c r="F1489" s="7">
        <v>267431829</v>
      </c>
      <c r="G1489" s="42">
        <v>24101.67</v>
      </c>
    </row>
    <row r="1490" spans="1:7" ht="14.25" customHeight="1">
      <c r="A1490" s="41">
        <v>44517</v>
      </c>
      <c r="B1490" s="7">
        <v>17939.349999999999</v>
      </c>
      <c r="C1490" s="7">
        <v>18022.650000000001</v>
      </c>
      <c r="D1490" s="7">
        <v>17879.25</v>
      </c>
      <c r="E1490" s="7">
        <v>17898.650000000001</v>
      </c>
      <c r="F1490" s="7">
        <v>295715938</v>
      </c>
      <c r="G1490" s="42">
        <v>22950.84</v>
      </c>
    </row>
    <row r="1491" spans="1:7" ht="14.25" customHeight="1">
      <c r="A1491" s="41">
        <v>44518</v>
      </c>
      <c r="B1491" s="7">
        <v>17890.55</v>
      </c>
      <c r="C1491" s="7">
        <v>17945.599999999999</v>
      </c>
      <c r="D1491" s="7">
        <v>17688.5</v>
      </c>
      <c r="E1491" s="7">
        <v>17764.8</v>
      </c>
      <c r="F1491" s="7">
        <v>278425148</v>
      </c>
      <c r="G1491" s="42">
        <v>22625.360000000001</v>
      </c>
    </row>
    <row r="1492" spans="1:7" ht="14.25" customHeight="1">
      <c r="A1492" s="41">
        <v>44522</v>
      </c>
      <c r="B1492" s="7">
        <v>17796.25</v>
      </c>
      <c r="C1492" s="7">
        <v>17805.25</v>
      </c>
      <c r="D1492" s="7">
        <v>17280.45</v>
      </c>
      <c r="E1492" s="7">
        <v>17416.55</v>
      </c>
      <c r="F1492" s="7">
        <v>356400425</v>
      </c>
      <c r="G1492" s="42">
        <v>29570.57</v>
      </c>
    </row>
    <row r="1493" spans="1:7" ht="14.25" customHeight="1">
      <c r="A1493" s="41">
        <v>44523</v>
      </c>
      <c r="B1493" s="7">
        <v>17281.75</v>
      </c>
      <c r="C1493" s="7">
        <v>17553.7</v>
      </c>
      <c r="D1493" s="7">
        <v>17216.099999999999</v>
      </c>
      <c r="E1493" s="7">
        <v>17503.349999999999</v>
      </c>
      <c r="F1493" s="7">
        <v>308843255</v>
      </c>
      <c r="G1493" s="42">
        <v>26240.41</v>
      </c>
    </row>
    <row r="1494" spans="1:7" ht="14.25" customHeight="1">
      <c r="A1494" s="41">
        <v>44524</v>
      </c>
      <c r="B1494" s="7">
        <v>17550.05</v>
      </c>
      <c r="C1494" s="7">
        <v>17600.599999999999</v>
      </c>
      <c r="D1494" s="7">
        <v>17354</v>
      </c>
      <c r="E1494" s="7">
        <v>17415.05</v>
      </c>
      <c r="F1494" s="7">
        <v>298052158</v>
      </c>
      <c r="G1494" s="42">
        <v>23766.93</v>
      </c>
    </row>
    <row r="1495" spans="1:7" ht="14.25" customHeight="1">
      <c r="A1495" s="41">
        <v>44525</v>
      </c>
      <c r="B1495" s="7">
        <v>17417.3</v>
      </c>
      <c r="C1495" s="7">
        <v>17564.349999999999</v>
      </c>
      <c r="D1495" s="7">
        <v>17351.7</v>
      </c>
      <c r="E1495" s="7">
        <v>17536.25</v>
      </c>
      <c r="F1495" s="7">
        <v>255947032</v>
      </c>
      <c r="G1495" s="42">
        <v>21953.33</v>
      </c>
    </row>
    <row r="1496" spans="1:7" ht="14.25" customHeight="1">
      <c r="A1496" s="41">
        <v>44526</v>
      </c>
      <c r="B1496" s="7">
        <v>17338.75</v>
      </c>
      <c r="C1496" s="7">
        <v>17355.400000000001</v>
      </c>
      <c r="D1496" s="7">
        <v>16985.7</v>
      </c>
      <c r="E1496" s="7">
        <v>17026.45</v>
      </c>
      <c r="F1496" s="7">
        <v>356330009</v>
      </c>
      <c r="G1496" s="42">
        <v>28485.53</v>
      </c>
    </row>
    <row r="1497" spans="1:7" ht="14.25" customHeight="1">
      <c r="A1497" s="41">
        <v>44529</v>
      </c>
      <c r="B1497" s="7">
        <v>17055.8</v>
      </c>
      <c r="C1497" s="7">
        <v>17160.7</v>
      </c>
      <c r="D1497" s="7">
        <v>16782.400000000001</v>
      </c>
      <c r="E1497" s="7">
        <v>17053.95</v>
      </c>
      <c r="F1497" s="7">
        <v>348888750</v>
      </c>
      <c r="G1497" s="42">
        <v>27428.2</v>
      </c>
    </row>
    <row r="1498" spans="1:7" ht="14.25" customHeight="1">
      <c r="A1498" s="41">
        <v>44530</v>
      </c>
      <c r="B1498" s="7">
        <v>17051.150000000001</v>
      </c>
      <c r="C1498" s="7">
        <v>17324.650000000001</v>
      </c>
      <c r="D1498" s="7">
        <v>16931.400000000001</v>
      </c>
      <c r="E1498" s="7">
        <v>16983.2</v>
      </c>
      <c r="F1498" s="7">
        <v>497999836</v>
      </c>
      <c r="G1498" s="42">
        <v>41494.9</v>
      </c>
    </row>
    <row r="1499" spans="1:7" ht="14.25" customHeight="1">
      <c r="A1499" s="41">
        <v>44531</v>
      </c>
      <c r="B1499" s="7">
        <v>17104.400000000001</v>
      </c>
      <c r="C1499" s="7">
        <v>17213.05</v>
      </c>
      <c r="D1499" s="7">
        <v>17064.25</v>
      </c>
      <c r="E1499" s="7">
        <v>17166.900000000001</v>
      </c>
      <c r="F1499" s="7">
        <v>295542125</v>
      </c>
      <c r="G1499" s="42">
        <v>24098.73</v>
      </c>
    </row>
    <row r="1500" spans="1:7" ht="14.25" customHeight="1">
      <c r="A1500" s="41">
        <v>44532</v>
      </c>
      <c r="B1500" s="7">
        <v>17183.2</v>
      </c>
      <c r="C1500" s="7">
        <v>17420.349999999999</v>
      </c>
      <c r="D1500" s="7">
        <v>17149.3</v>
      </c>
      <c r="E1500" s="7">
        <v>17401.650000000001</v>
      </c>
      <c r="F1500" s="7">
        <v>279867500</v>
      </c>
      <c r="G1500" s="42">
        <v>22473.64</v>
      </c>
    </row>
    <row r="1501" spans="1:7" ht="14.25" customHeight="1">
      <c r="A1501" s="41">
        <v>44533</v>
      </c>
      <c r="B1501" s="7">
        <v>17424.900000000001</v>
      </c>
      <c r="C1501" s="7">
        <v>17489.8</v>
      </c>
      <c r="D1501" s="7">
        <v>17180.8</v>
      </c>
      <c r="E1501" s="7">
        <v>17196.7</v>
      </c>
      <c r="F1501" s="7">
        <v>292526485</v>
      </c>
      <c r="G1501" s="42">
        <v>23100.57</v>
      </c>
    </row>
    <row r="1502" spans="1:7" ht="14.25" customHeight="1">
      <c r="A1502" s="41">
        <v>44536</v>
      </c>
      <c r="B1502" s="7">
        <v>17209.05</v>
      </c>
      <c r="C1502" s="7">
        <v>17216.75</v>
      </c>
      <c r="D1502" s="7">
        <v>16891.7</v>
      </c>
      <c r="E1502" s="7">
        <v>16912.25</v>
      </c>
      <c r="F1502" s="7">
        <v>231716681</v>
      </c>
      <c r="G1502" s="42">
        <v>17912.150000000001</v>
      </c>
    </row>
    <row r="1503" spans="1:7" ht="14.25" customHeight="1">
      <c r="A1503" s="41">
        <v>44537</v>
      </c>
      <c r="B1503" s="7">
        <v>17044.099999999999</v>
      </c>
      <c r="C1503" s="7">
        <v>17251.650000000001</v>
      </c>
      <c r="D1503" s="7">
        <v>16987.75</v>
      </c>
      <c r="E1503" s="7">
        <v>17176.7</v>
      </c>
      <c r="F1503" s="7">
        <v>254144221</v>
      </c>
      <c r="G1503" s="42">
        <v>21693.69</v>
      </c>
    </row>
    <row r="1504" spans="1:7" ht="14.25" customHeight="1">
      <c r="A1504" s="41">
        <v>44538</v>
      </c>
      <c r="B1504" s="7">
        <v>17315.25</v>
      </c>
      <c r="C1504" s="7">
        <v>17484.599999999999</v>
      </c>
      <c r="D1504" s="7">
        <v>17308.95</v>
      </c>
      <c r="E1504" s="7">
        <v>17469.75</v>
      </c>
      <c r="F1504" s="7">
        <v>257791948</v>
      </c>
      <c r="G1504" s="42">
        <v>21665.95</v>
      </c>
    </row>
    <row r="1505" spans="1:7" ht="14.25" customHeight="1">
      <c r="A1505" s="41">
        <v>44539</v>
      </c>
      <c r="B1505" s="7">
        <v>17524.400000000001</v>
      </c>
      <c r="C1505" s="7">
        <v>17543.25</v>
      </c>
      <c r="D1505" s="7">
        <v>17379.599999999999</v>
      </c>
      <c r="E1505" s="7">
        <v>17516.849999999999</v>
      </c>
      <c r="F1505" s="7">
        <v>237170272</v>
      </c>
      <c r="G1505" s="42">
        <v>18984.75</v>
      </c>
    </row>
    <row r="1506" spans="1:7" ht="14.25" customHeight="1">
      <c r="A1506" s="41">
        <v>44540</v>
      </c>
      <c r="B1506" s="7">
        <v>17476.05</v>
      </c>
      <c r="C1506" s="7">
        <v>17534.349999999999</v>
      </c>
      <c r="D1506" s="7">
        <v>17405.25</v>
      </c>
      <c r="E1506" s="7">
        <v>17511.3</v>
      </c>
      <c r="F1506" s="7">
        <v>204467484</v>
      </c>
      <c r="G1506" s="42">
        <v>16399.53</v>
      </c>
    </row>
    <row r="1507" spans="1:7" ht="14.25" customHeight="1">
      <c r="A1507" s="41">
        <v>44543</v>
      </c>
      <c r="B1507" s="7">
        <v>17619.099999999999</v>
      </c>
      <c r="C1507" s="7">
        <v>17639.5</v>
      </c>
      <c r="D1507" s="7">
        <v>17355.95</v>
      </c>
      <c r="E1507" s="7">
        <v>17368.25</v>
      </c>
      <c r="F1507" s="7">
        <v>256560534</v>
      </c>
      <c r="G1507" s="42">
        <v>20592.03</v>
      </c>
    </row>
    <row r="1508" spans="1:7" ht="14.25" customHeight="1">
      <c r="A1508" s="41">
        <v>44544</v>
      </c>
      <c r="B1508" s="7">
        <v>17283.2</v>
      </c>
      <c r="C1508" s="7">
        <v>17376.2</v>
      </c>
      <c r="D1508" s="7">
        <v>17225.8</v>
      </c>
      <c r="E1508" s="7">
        <v>17324.900000000001</v>
      </c>
      <c r="F1508" s="7">
        <v>270965586</v>
      </c>
      <c r="G1508" s="42">
        <v>20459.79</v>
      </c>
    </row>
    <row r="1509" spans="1:7" ht="14.25" customHeight="1">
      <c r="A1509" s="41">
        <v>44545</v>
      </c>
      <c r="B1509" s="7">
        <v>17323.650000000001</v>
      </c>
      <c r="C1509" s="7">
        <v>17351.2</v>
      </c>
      <c r="D1509" s="7">
        <v>17192.2</v>
      </c>
      <c r="E1509" s="7">
        <v>17221.400000000001</v>
      </c>
      <c r="F1509" s="7">
        <v>214972109</v>
      </c>
      <c r="G1509" s="42">
        <v>17046.419999999998</v>
      </c>
    </row>
    <row r="1510" spans="1:7" ht="14.25" customHeight="1">
      <c r="A1510" s="41">
        <v>44546</v>
      </c>
      <c r="B1510" s="7">
        <v>17373</v>
      </c>
      <c r="C1510" s="7">
        <v>17379.349999999999</v>
      </c>
      <c r="D1510" s="7">
        <v>17184.95</v>
      </c>
      <c r="E1510" s="7">
        <v>17248.400000000001</v>
      </c>
      <c r="F1510" s="7">
        <v>219496063</v>
      </c>
      <c r="G1510" s="42">
        <v>18493.54</v>
      </c>
    </row>
    <row r="1511" spans="1:7" ht="14.25" customHeight="1">
      <c r="A1511" s="41">
        <v>44547</v>
      </c>
      <c r="B1511" s="7">
        <v>17276</v>
      </c>
      <c r="C1511" s="7">
        <v>17298.150000000001</v>
      </c>
      <c r="D1511" s="7">
        <v>16966.45</v>
      </c>
      <c r="E1511" s="7">
        <v>16985.2</v>
      </c>
      <c r="F1511" s="7">
        <v>354591366</v>
      </c>
      <c r="G1511" s="42">
        <v>31326.91</v>
      </c>
    </row>
    <row r="1512" spans="1:7" ht="14.25" customHeight="1">
      <c r="A1512" s="41">
        <v>44550</v>
      </c>
      <c r="B1512" s="7">
        <v>16824.25</v>
      </c>
      <c r="C1512" s="7">
        <v>16840.099999999999</v>
      </c>
      <c r="D1512" s="7">
        <v>16410.2</v>
      </c>
      <c r="E1512" s="7">
        <v>16614.2</v>
      </c>
      <c r="F1512" s="7">
        <v>330614079</v>
      </c>
      <c r="G1512" s="42">
        <v>25123.59</v>
      </c>
    </row>
    <row r="1513" spans="1:7" ht="14.25" customHeight="1">
      <c r="A1513" s="41">
        <v>44551</v>
      </c>
      <c r="B1513" s="7">
        <v>16773.150000000001</v>
      </c>
      <c r="C1513" s="7">
        <v>16936.400000000001</v>
      </c>
      <c r="D1513" s="7">
        <v>16688.25</v>
      </c>
      <c r="E1513" s="7">
        <v>16770.849999999999</v>
      </c>
      <c r="F1513" s="7">
        <v>241030834</v>
      </c>
      <c r="G1513" s="42">
        <v>19783.04</v>
      </c>
    </row>
    <row r="1514" spans="1:7" ht="14.25" customHeight="1">
      <c r="A1514" s="41">
        <v>44552</v>
      </c>
      <c r="B1514" s="7">
        <v>16865.55</v>
      </c>
      <c r="C1514" s="7">
        <v>16971</v>
      </c>
      <c r="D1514" s="7">
        <v>16819.5</v>
      </c>
      <c r="E1514" s="7">
        <v>16955.45</v>
      </c>
      <c r="F1514" s="7">
        <v>207946105</v>
      </c>
      <c r="G1514" s="42">
        <v>17443.939999999999</v>
      </c>
    </row>
    <row r="1515" spans="1:7" ht="14.25" customHeight="1">
      <c r="A1515" s="41">
        <v>44553</v>
      </c>
      <c r="B1515" s="7">
        <v>17066.8</v>
      </c>
      <c r="C1515" s="7">
        <v>17118.650000000001</v>
      </c>
      <c r="D1515" s="7">
        <v>17015.55</v>
      </c>
      <c r="E1515" s="7">
        <v>17072.599999999999</v>
      </c>
      <c r="F1515" s="7">
        <v>196965302</v>
      </c>
      <c r="G1515" s="42">
        <v>15755.89</v>
      </c>
    </row>
    <row r="1516" spans="1:7" ht="14.25" customHeight="1">
      <c r="A1516" s="41">
        <v>44554</v>
      </c>
      <c r="B1516" s="7">
        <v>17149.5</v>
      </c>
      <c r="C1516" s="7">
        <v>17155.599999999999</v>
      </c>
      <c r="D1516" s="7">
        <v>16909.599999999999</v>
      </c>
      <c r="E1516" s="7">
        <v>17003.75</v>
      </c>
      <c r="F1516" s="7">
        <v>182564833</v>
      </c>
      <c r="G1516" s="42">
        <v>15435.01</v>
      </c>
    </row>
    <row r="1517" spans="1:7" ht="14.25" customHeight="1">
      <c r="A1517" s="41">
        <v>44557</v>
      </c>
      <c r="B1517" s="7">
        <v>16937.75</v>
      </c>
      <c r="C1517" s="7">
        <v>17112.05</v>
      </c>
      <c r="D1517" s="7">
        <v>16833.2</v>
      </c>
      <c r="E1517" s="7">
        <v>17086.25</v>
      </c>
      <c r="F1517" s="7">
        <v>144777457</v>
      </c>
      <c r="G1517" s="42">
        <v>12567.03</v>
      </c>
    </row>
    <row r="1518" spans="1:7" ht="14.25" customHeight="1">
      <c r="A1518" s="41">
        <v>44558</v>
      </c>
      <c r="B1518" s="7">
        <v>17177.599999999999</v>
      </c>
      <c r="C1518" s="7">
        <v>17250.25</v>
      </c>
      <c r="D1518" s="7">
        <v>17161.150000000001</v>
      </c>
      <c r="E1518" s="7">
        <v>17233.25</v>
      </c>
      <c r="F1518" s="7">
        <v>176026100</v>
      </c>
      <c r="G1518" s="42">
        <v>14553.76</v>
      </c>
    </row>
    <row r="1519" spans="1:7" ht="14.25" customHeight="1">
      <c r="A1519" s="41">
        <v>44559</v>
      </c>
      <c r="B1519" s="7">
        <v>17220.099999999999</v>
      </c>
      <c r="C1519" s="7">
        <v>17285.95</v>
      </c>
      <c r="D1519" s="7">
        <v>17176.650000000001</v>
      </c>
      <c r="E1519" s="7">
        <v>17213.599999999999</v>
      </c>
      <c r="F1519" s="7">
        <v>161679423</v>
      </c>
      <c r="G1519" s="42">
        <v>14320.79</v>
      </c>
    </row>
    <row r="1520" spans="1:7" ht="14.25" customHeight="1">
      <c r="A1520" s="41">
        <v>44560</v>
      </c>
      <c r="B1520" s="7">
        <v>17201.45</v>
      </c>
      <c r="C1520" s="7">
        <v>17264.05</v>
      </c>
      <c r="D1520" s="7">
        <v>17146.349999999999</v>
      </c>
      <c r="E1520" s="7">
        <v>17203.95</v>
      </c>
      <c r="F1520" s="7">
        <v>320831676</v>
      </c>
      <c r="G1520" s="42">
        <v>21929.19</v>
      </c>
    </row>
    <row r="1521" spans="1:7" ht="14.25" customHeight="1">
      <c r="A1521" s="41">
        <v>44561</v>
      </c>
      <c r="B1521" s="7">
        <v>17244.5</v>
      </c>
      <c r="C1521" s="7">
        <v>17400.8</v>
      </c>
      <c r="D1521" s="7">
        <v>17238.5</v>
      </c>
      <c r="E1521" s="7">
        <v>17354.05</v>
      </c>
      <c r="F1521" s="7">
        <v>167025720</v>
      </c>
      <c r="G1521" s="42">
        <v>14588.54</v>
      </c>
    </row>
    <row r="1522" spans="1:7" ht="14.25" customHeight="1">
      <c r="A1522" s="41">
        <v>44564</v>
      </c>
      <c r="B1522" s="7">
        <v>17387.150000000001</v>
      </c>
      <c r="C1522" s="7">
        <v>17646.650000000001</v>
      </c>
      <c r="D1522" s="7">
        <v>17383.3</v>
      </c>
      <c r="E1522" s="7">
        <v>17625.7</v>
      </c>
      <c r="F1522" s="7">
        <v>200456430</v>
      </c>
      <c r="G1522" s="42">
        <v>16181.36</v>
      </c>
    </row>
    <row r="1523" spans="1:7" ht="14.25" customHeight="1">
      <c r="A1523" s="41">
        <v>44565</v>
      </c>
      <c r="B1523" s="7">
        <v>17681.400000000001</v>
      </c>
      <c r="C1523" s="7">
        <v>17827.599999999999</v>
      </c>
      <c r="D1523" s="7">
        <v>17593.55</v>
      </c>
      <c r="E1523" s="7">
        <v>17805.25</v>
      </c>
      <c r="F1523" s="7">
        <v>247437472</v>
      </c>
      <c r="G1523" s="42">
        <v>18604.16</v>
      </c>
    </row>
    <row r="1524" spans="1:7" ht="14.25" customHeight="1">
      <c r="A1524" s="41">
        <v>44566</v>
      </c>
      <c r="B1524" s="7">
        <v>17820.099999999999</v>
      </c>
      <c r="C1524" s="7">
        <v>17944.7</v>
      </c>
      <c r="D1524" s="7">
        <v>17748.849999999999</v>
      </c>
      <c r="E1524" s="7">
        <v>17925.25</v>
      </c>
      <c r="F1524" s="7">
        <v>251460038</v>
      </c>
      <c r="G1524" s="42">
        <v>23737.31</v>
      </c>
    </row>
    <row r="1525" spans="1:7" ht="14.25" customHeight="1">
      <c r="A1525" s="41">
        <v>44567</v>
      </c>
      <c r="B1525" s="7">
        <v>17768.5</v>
      </c>
      <c r="C1525" s="7">
        <v>17797.95</v>
      </c>
      <c r="D1525" s="7">
        <v>17655.55</v>
      </c>
      <c r="E1525" s="7">
        <v>17745.900000000001</v>
      </c>
      <c r="F1525" s="7">
        <v>236454824</v>
      </c>
      <c r="G1525" s="42">
        <v>22643.82</v>
      </c>
    </row>
    <row r="1526" spans="1:7" ht="14.25" customHeight="1">
      <c r="A1526" s="41">
        <v>44568</v>
      </c>
      <c r="B1526" s="7">
        <v>17797.599999999999</v>
      </c>
      <c r="C1526" s="7">
        <v>17905</v>
      </c>
      <c r="D1526" s="7">
        <v>17704.55</v>
      </c>
      <c r="E1526" s="7">
        <v>17812.7</v>
      </c>
      <c r="F1526" s="7">
        <v>239338015</v>
      </c>
      <c r="G1526" s="42">
        <v>21447.89</v>
      </c>
    </row>
    <row r="1527" spans="1:7" ht="14.25" customHeight="1">
      <c r="A1527" s="41">
        <v>44571</v>
      </c>
      <c r="B1527" s="7">
        <v>17913.3</v>
      </c>
      <c r="C1527" s="7">
        <v>18017.45</v>
      </c>
      <c r="D1527" s="7">
        <v>17879.150000000001</v>
      </c>
      <c r="E1527" s="7">
        <v>18003.3</v>
      </c>
      <c r="F1527" s="7">
        <v>232418075</v>
      </c>
      <c r="G1527" s="42">
        <v>20853.64</v>
      </c>
    </row>
    <row r="1528" spans="1:7" ht="14.25" customHeight="1">
      <c r="A1528" s="41">
        <v>44572</v>
      </c>
      <c r="B1528" s="7">
        <v>17997.75</v>
      </c>
      <c r="C1528" s="7">
        <v>18081.25</v>
      </c>
      <c r="D1528" s="7">
        <v>17964.400000000001</v>
      </c>
      <c r="E1528" s="7">
        <v>18055.75</v>
      </c>
      <c r="F1528" s="7">
        <v>220238796</v>
      </c>
      <c r="G1528" s="42">
        <v>20781.46</v>
      </c>
    </row>
    <row r="1529" spans="1:7" ht="14.25" customHeight="1">
      <c r="A1529" s="41">
        <v>44573</v>
      </c>
      <c r="B1529" s="7">
        <v>18170.400000000001</v>
      </c>
      <c r="C1529" s="7">
        <v>18227.95</v>
      </c>
      <c r="D1529" s="7">
        <v>18128.8</v>
      </c>
      <c r="E1529" s="7">
        <v>18212.349999999999</v>
      </c>
      <c r="F1529" s="7">
        <v>244974287</v>
      </c>
      <c r="G1529" s="42">
        <v>22298.69</v>
      </c>
    </row>
    <row r="1530" spans="1:7" ht="14.25" customHeight="1">
      <c r="A1530" s="41">
        <v>44574</v>
      </c>
      <c r="B1530" s="7">
        <v>18257</v>
      </c>
      <c r="C1530" s="7">
        <v>18272.25</v>
      </c>
      <c r="D1530" s="7">
        <v>18163.8</v>
      </c>
      <c r="E1530" s="7">
        <v>18257.8</v>
      </c>
      <c r="F1530" s="7">
        <v>303700545</v>
      </c>
      <c r="G1530" s="42">
        <v>28670.93</v>
      </c>
    </row>
    <row r="1531" spans="1:7" ht="14.25" customHeight="1">
      <c r="A1531" s="41">
        <v>44575</v>
      </c>
      <c r="B1531" s="7">
        <v>18185</v>
      </c>
      <c r="C1531" s="7">
        <v>18286.95</v>
      </c>
      <c r="D1531" s="7">
        <v>18119.650000000001</v>
      </c>
      <c r="E1531" s="7">
        <v>18255.75</v>
      </c>
      <c r="F1531" s="7">
        <v>229451608</v>
      </c>
      <c r="G1531" s="42">
        <v>21024.51</v>
      </c>
    </row>
    <row r="1532" spans="1:7" ht="14.25" customHeight="1">
      <c r="A1532" s="41">
        <v>44578</v>
      </c>
      <c r="B1532" s="7">
        <v>18235.650000000001</v>
      </c>
      <c r="C1532" s="7">
        <v>18321.55</v>
      </c>
      <c r="D1532" s="7">
        <v>18228.75</v>
      </c>
      <c r="E1532" s="7">
        <v>18308.099999999999</v>
      </c>
      <c r="F1532" s="7">
        <v>266702919</v>
      </c>
      <c r="G1532" s="42">
        <v>23859.38</v>
      </c>
    </row>
    <row r="1533" spans="1:7" ht="14.25" customHeight="1">
      <c r="A1533" s="41">
        <v>44579</v>
      </c>
      <c r="B1533" s="7">
        <v>18337.2</v>
      </c>
      <c r="C1533" s="7">
        <v>18350.95</v>
      </c>
      <c r="D1533" s="7">
        <v>18085.900000000001</v>
      </c>
      <c r="E1533" s="7">
        <v>18113.05</v>
      </c>
      <c r="F1533" s="7">
        <v>227507319</v>
      </c>
      <c r="G1533" s="42">
        <v>20852.669999999998</v>
      </c>
    </row>
    <row r="1534" spans="1:7" ht="14.25" customHeight="1">
      <c r="A1534" s="41">
        <v>44580</v>
      </c>
      <c r="B1534" s="7">
        <v>18129.2</v>
      </c>
      <c r="C1534" s="7">
        <v>18129.2</v>
      </c>
      <c r="D1534" s="7">
        <v>17884.900000000001</v>
      </c>
      <c r="E1534" s="7">
        <v>17938.400000000001</v>
      </c>
      <c r="F1534" s="7">
        <v>276662654</v>
      </c>
      <c r="G1534" s="42">
        <v>25310.19</v>
      </c>
    </row>
    <row r="1535" spans="1:7" ht="14.25" customHeight="1">
      <c r="A1535" s="41">
        <v>44581</v>
      </c>
      <c r="B1535" s="7">
        <v>17921</v>
      </c>
      <c r="C1535" s="7">
        <v>17943.7</v>
      </c>
      <c r="D1535" s="7">
        <v>17648.45</v>
      </c>
      <c r="E1535" s="7">
        <v>17757</v>
      </c>
      <c r="F1535" s="7">
        <v>258094246</v>
      </c>
      <c r="G1535" s="42">
        <v>25863.29</v>
      </c>
    </row>
    <row r="1536" spans="1:7" ht="14.25" customHeight="1">
      <c r="A1536" s="41">
        <v>44582</v>
      </c>
      <c r="B1536" s="7">
        <v>17613.7</v>
      </c>
      <c r="C1536" s="7">
        <v>17707.599999999999</v>
      </c>
      <c r="D1536" s="7">
        <v>17485.849999999999</v>
      </c>
      <c r="E1536" s="7">
        <v>17617.150000000001</v>
      </c>
      <c r="F1536" s="7">
        <v>277645373</v>
      </c>
      <c r="G1536" s="42">
        <v>25941.64</v>
      </c>
    </row>
    <row r="1537" spans="1:7" ht="14.25" customHeight="1">
      <c r="A1537" s="41">
        <v>44585</v>
      </c>
      <c r="B1537" s="7">
        <v>17575.150000000001</v>
      </c>
      <c r="C1537" s="7">
        <v>17599.400000000001</v>
      </c>
      <c r="D1537" s="7">
        <v>16997.849999999999</v>
      </c>
      <c r="E1537" s="7">
        <v>17149.099999999999</v>
      </c>
      <c r="F1537" s="7">
        <v>323847388</v>
      </c>
      <c r="G1537" s="42">
        <v>28387.73</v>
      </c>
    </row>
    <row r="1538" spans="1:7" ht="14.25" customHeight="1">
      <c r="A1538" s="41">
        <v>44586</v>
      </c>
      <c r="B1538" s="7">
        <v>17001.55</v>
      </c>
      <c r="C1538" s="7">
        <v>17309.150000000001</v>
      </c>
      <c r="D1538" s="7">
        <v>16836.8</v>
      </c>
      <c r="E1538" s="7">
        <v>17277.95</v>
      </c>
      <c r="F1538" s="7">
        <v>326515896</v>
      </c>
      <c r="G1538" s="42">
        <v>31344.46</v>
      </c>
    </row>
    <row r="1539" spans="1:7" ht="14.25" customHeight="1">
      <c r="A1539" s="41">
        <v>44588</v>
      </c>
      <c r="B1539" s="7">
        <v>17062</v>
      </c>
      <c r="C1539" s="7">
        <v>17182.5</v>
      </c>
      <c r="D1539" s="7">
        <v>16866.75</v>
      </c>
      <c r="E1539" s="7">
        <v>17110.150000000001</v>
      </c>
      <c r="F1539" s="7">
        <v>395596577</v>
      </c>
      <c r="G1539" s="42">
        <v>36296.639999999999</v>
      </c>
    </row>
    <row r="1540" spans="1:7" ht="14.25" customHeight="1">
      <c r="A1540" s="41">
        <v>44589</v>
      </c>
      <c r="B1540" s="7">
        <v>17208.3</v>
      </c>
      <c r="C1540" s="7">
        <v>17373.5</v>
      </c>
      <c r="D1540" s="7">
        <v>17077.099999999999</v>
      </c>
      <c r="E1540" s="7">
        <v>17101.95</v>
      </c>
      <c r="F1540" s="7">
        <v>355284285</v>
      </c>
      <c r="G1540" s="42">
        <v>29799.89</v>
      </c>
    </row>
    <row r="1541" spans="1:7" ht="14.25" customHeight="1">
      <c r="A1541" s="41">
        <v>44592</v>
      </c>
      <c r="B1541" s="7">
        <v>17301.05</v>
      </c>
      <c r="C1541" s="7">
        <v>17410</v>
      </c>
      <c r="D1541" s="7">
        <v>17264.150000000001</v>
      </c>
      <c r="E1541" s="7">
        <v>17339.849999999999</v>
      </c>
      <c r="F1541" s="7">
        <v>321660346</v>
      </c>
      <c r="G1541" s="42">
        <v>25474.13</v>
      </c>
    </row>
    <row r="1542" spans="1:7" ht="14.25" customHeight="1">
      <c r="A1542" s="41">
        <v>44593</v>
      </c>
      <c r="B1542" s="7">
        <v>17529.45</v>
      </c>
      <c r="C1542" s="7">
        <v>17622.400000000001</v>
      </c>
      <c r="D1542" s="7">
        <v>17244.55</v>
      </c>
      <c r="E1542" s="7">
        <v>17576.849999999999</v>
      </c>
      <c r="F1542" s="7">
        <v>386391485</v>
      </c>
      <c r="G1542" s="42">
        <v>30033.66</v>
      </c>
    </row>
    <row r="1543" spans="1:7" ht="14.25" customHeight="1">
      <c r="A1543" s="41">
        <v>44594</v>
      </c>
      <c r="B1543" s="7">
        <v>17706.2</v>
      </c>
      <c r="C1543" s="7">
        <v>17794.599999999999</v>
      </c>
      <c r="D1543" s="7">
        <v>17674.8</v>
      </c>
      <c r="E1543" s="7">
        <v>17780</v>
      </c>
      <c r="F1543" s="7">
        <v>271205907</v>
      </c>
      <c r="G1543" s="42">
        <v>23611.59</v>
      </c>
    </row>
    <row r="1544" spans="1:7" ht="14.25" customHeight="1">
      <c r="A1544" s="41">
        <v>44595</v>
      </c>
      <c r="B1544" s="7">
        <v>17767.75</v>
      </c>
      <c r="C1544" s="7">
        <v>17781.150000000001</v>
      </c>
      <c r="D1544" s="7">
        <v>17511.150000000001</v>
      </c>
      <c r="E1544" s="7">
        <v>17560.2</v>
      </c>
      <c r="F1544" s="7">
        <v>226614989</v>
      </c>
      <c r="G1544" s="42">
        <v>20373.060000000001</v>
      </c>
    </row>
    <row r="1545" spans="1:7" ht="14.25" customHeight="1">
      <c r="A1545" s="41">
        <v>44596</v>
      </c>
      <c r="B1545" s="7">
        <v>17590.2</v>
      </c>
      <c r="C1545" s="7">
        <v>17617.8</v>
      </c>
      <c r="D1545" s="7">
        <v>17462.55</v>
      </c>
      <c r="E1545" s="7">
        <v>17516.3</v>
      </c>
      <c r="F1545" s="7">
        <v>261434170</v>
      </c>
      <c r="G1545" s="42">
        <v>20651.849999999999</v>
      </c>
    </row>
    <row r="1546" spans="1:7" ht="14.25" customHeight="1">
      <c r="A1546" s="41">
        <v>44599</v>
      </c>
      <c r="B1546" s="7">
        <v>17456.3</v>
      </c>
      <c r="C1546" s="7">
        <v>17536.75</v>
      </c>
      <c r="D1546" s="7">
        <v>17119.400000000001</v>
      </c>
      <c r="E1546" s="7">
        <v>17213.599999999999</v>
      </c>
      <c r="F1546" s="7">
        <v>265037933</v>
      </c>
      <c r="G1546" s="42">
        <v>21925.11</v>
      </c>
    </row>
    <row r="1547" spans="1:7" ht="14.25" customHeight="1">
      <c r="A1547" s="41">
        <v>44600</v>
      </c>
      <c r="B1547" s="7">
        <v>17279.849999999999</v>
      </c>
      <c r="C1547" s="7">
        <v>17306.45</v>
      </c>
      <c r="D1547" s="7">
        <v>17043.650000000001</v>
      </c>
      <c r="E1547" s="7">
        <v>17266.75</v>
      </c>
      <c r="F1547" s="7">
        <v>268526210</v>
      </c>
      <c r="G1547" s="42">
        <v>23846.16</v>
      </c>
    </row>
    <row r="1548" spans="1:7" ht="14.25" customHeight="1">
      <c r="A1548" s="41">
        <v>44601</v>
      </c>
      <c r="B1548" s="7">
        <v>17370.099999999999</v>
      </c>
      <c r="C1548" s="7">
        <v>17477.150000000001</v>
      </c>
      <c r="D1548" s="7">
        <v>17339</v>
      </c>
      <c r="E1548" s="7">
        <v>17463.8</v>
      </c>
      <c r="F1548" s="7">
        <v>236350514</v>
      </c>
      <c r="G1548" s="42">
        <v>19327.669999999998</v>
      </c>
    </row>
    <row r="1549" spans="1:7" ht="14.25" customHeight="1">
      <c r="A1549" s="41">
        <v>44602</v>
      </c>
      <c r="B1549" s="7">
        <v>17554.099999999999</v>
      </c>
      <c r="C1549" s="7">
        <v>17639.45</v>
      </c>
      <c r="D1549" s="7">
        <v>17427.150000000001</v>
      </c>
      <c r="E1549" s="7">
        <v>17605.849999999999</v>
      </c>
      <c r="F1549" s="7">
        <v>273606440</v>
      </c>
      <c r="G1549" s="42">
        <v>22210.93</v>
      </c>
    </row>
    <row r="1550" spans="1:7" ht="14.25" customHeight="1">
      <c r="A1550" s="41">
        <v>44603</v>
      </c>
      <c r="B1550" s="7">
        <v>17451</v>
      </c>
      <c r="C1550" s="7">
        <v>17454.75</v>
      </c>
      <c r="D1550" s="7">
        <v>17303</v>
      </c>
      <c r="E1550" s="7">
        <v>17374.75</v>
      </c>
      <c r="F1550" s="7">
        <v>253141660</v>
      </c>
      <c r="G1550" s="42">
        <v>23230.82</v>
      </c>
    </row>
    <row r="1551" spans="1:7" ht="14.25" customHeight="1">
      <c r="A1551" s="41">
        <v>44606</v>
      </c>
      <c r="B1551" s="7">
        <v>17076.150000000001</v>
      </c>
      <c r="C1551" s="7">
        <v>17099.5</v>
      </c>
      <c r="D1551" s="7">
        <v>16809.650000000001</v>
      </c>
      <c r="E1551" s="7">
        <v>16842.8</v>
      </c>
      <c r="F1551" s="7">
        <v>305510740</v>
      </c>
      <c r="G1551" s="42">
        <v>24976.16</v>
      </c>
    </row>
    <row r="1552" spans="1:7" ht="14.25" customHeight="1">
      <c r="A1552" s="41">
        <v>44607</v>
      </c>
      <c r="B1552" s="7">
        <v>16933.25</v>
      </c>
      <c r="C1552" s="7">
        <v>17375</v>
      </c>
      <c r="D1552" s="7">
        <v>16839.25</v>
      </c>
      <c r="E1552" s="7">
        <v>17352.45</v>
      </c>
      <c r="F1552" s="7">
        <v>298658142</v>
      </c>
      <c r="G1552" s="42">
        <v>24765.67</v>
      </c>
    </row>
    <row r="1553" spans="1:7" ht="14.25" customHeight="1">
      <c r="A1553" s="41">
        <v>44608</v>
      </c>
      <c r="B1553" s="7">
        <v>17408.45</v>
      </c>
      <c r="C1553" s="7">
        <v>17490.599999999999</v>
      </c>
      <c r="D1553" s="7">
        <v>17257.7</v>
      </c>
      <c r="E1553" s="7">
        <v>17322.2</v>
      </c>
      <c r="F1553" s="7">
        <v>244549223</v>
      </c>
      <c r="G1553" s="42">
        <v>21128.38</v>
      </c>
    </row>
    <row r="1554" spans="1:7" ht="14.25" customHeight="1">
      <c r="A1554" s="41">
        <v>44609</v>
      </c>
      <c r="B1554" s="7">
        <v>17396.55</v>
      </c>
      <c r="C1554" s="7">
        <v>17442.900000000001</v>
      </c>
      <c r="D1554" s="7">
        <v>17235.849999999999</v>
      </c>
      <c r="E1554" s="7">
        <v>17304.599999999999</v>
      </c>
      <c r="F1554" s="7">
        <v>232136131</v>
      </c>
      <c r="G1554" s="42">
        <v>19381.259999999998</v>
      </c>
    </row>
    <row r="1555" spans="1:7" ht="14.25" customHeight="1">
      <c r="A1555" s="41">
        <v>44610</v>
      </c>
      <c r="B1555" s="7">
        <v>17236.05</v>
      </c>
      <c r="C1555" s="7">
        <v>17380.8</v>
      </c>
      <c r="D1555" s="7">
        <v>17219.2</v>
      </c>
      <c r="E1555" s="7">
        <v>17276.3</v>
      </c>
      <c r="F1555" s="7">
        <v>189620888</v>
      </c>
      <c r="G1555" s="42">
        <v>16126.96</v>
      </c>
    </row>
    <row r="1556" spans="1:7" ht="14.25" customHeight="1">
      <c r="A1556" s="41">
        <v>44613</v>
      </c>
      <c r="B1556" s="7">
        <v>17192.25</v>
      </c>
      <c r="C1556" s="7">
        <v>17351.05</v>
      </c>
      <c r="D1556" s="7">
        <v>17070.7</v>
      </c>
      <c r="E1556" s="7">
        <v>17206.650000000001</v>
      </c>
      <c r="F1556" s="7">
        <v>215183301</v>
      </c>
      <c r="G1556" s="42">
        <v>18725.57</v>
      </c>
    </row>
    <row r="1557" spans="1:7" ht="14.25" customHeight="1">
      <c r="A1557" s="41">
        <v>44614</v>
      </c>
      <c r="B1557" s="7">
        <v>16847.95</v>
      </c>
      <c r="C1557" s="7">
        <v>17148.55</v>
      </c>
      <c r="D1557" s="7">
        <v>16843.8</v>
      </c>
      <c r="E1557" s="7">
        <v>17092.2</v>
      </c>
      <c r="F1557" s="7">
        <v>300131995</v>
      </c>
      <c r="G1557" s="42">
        <v>24040.84</v>
      </c>
    </row>
    <row r="1558" spans="1:7" ht="14.25" customHeight="1">
      <c r="A1558" s="41">
        <v>44615</v>
      </c>
      <c r="B1558" s="7">
        <v>17194.5</v>
      </c>
      <c r="C1558" s="7">
        <v>17220.7</v>
      </c>
      <c r="D1558" s="7">
        <v>17027.849999999999</v>
      </c>
      <c r="E1558" s="7">
        <v>17063.25</v>
      </c>
      <c r="F1558" s="7">
        <v>200229631</v>
      </c>
      <c r="G1558" s="42">
        <v>17662.47</v>
      </c>
    </row>
    <row r="1559" spans="1:7" ht="14.25" customHeight="1">
      <c r="A1559" s="41">
        <v>44616</v>
      </c>
      <c r="B1559" s="7">
        <v>16548.900000000001</v>
      </c>
      <c r="C1559" s="7">
        <v>16705.25</v>
      </c>
      <c r="D1559" s="7">
        <v>16203.25</v>
      </c>
      <c r="E1559" s="7">
        <v>16247.95</v>
      </c>
      <c r="F1559" s="7">
        <v>457967874</v>
      </c>
      <c r="G1559" s="42">
        <v>36650.83</v>
      </c>
    </row>
    <row r="1560" spans="1:7" ht="14.25" customHeight="1">
      <c r="A1560" s="41">
        <v>44617</v>
      </c>
      <c r="B1560" s="7">
        <v>16515.650000000001</v>
      </c>
      <c r="C1560" s="7">
        <v>16748.8</v>
      </c>
      <c r="D1560" s="7">
        <v>16478.3</v>
      </c>
      <c r="E1560" s="7">
        <v>16658.400000000001</v>
      </c>
      <c r="F1560" s="7">
        <v>329780732</v>
      </c>
      <c r="G1560" s="42">
        <v>25743.77</v>
      </c>
    </row>
    <row r="1561" spans="1:7" ht="14.25" customHeight="1">
      <c r="A1561" s="41">
        <v>44620</v>
      </c>
      <c r="B1561" s="7">
        <v>16481.599999999999</v>
      </c>
      <c r="C1561" s="7">
        <v>16815.900000000001</v>
      </c>
      <c r="D1561" s="7">
        <v>16356.3</v>
      </c>
      <c r="E1561" s="7">
        <v>16793.900000000001</v>
      </c>
      <c r="F1561" s="7">
        <v>404214666</v>
      </c>
      <c r="G1561" s="42">
        <v>33831.57</v>
      </c>
    </row>
    <row r="1562" spans="1:7" ht="14.25" customHeight="1">
      <c r="A1562" s="41">
        <v>44622</v>
      </c>
      <c r="B1562" s="7">
        <v>16593.099999999999</v>
      </c>
      <c r="C1562" s="7">
        <v>16678.5</v>
      </c>
      <c r="D1562" s="7">
        <v>16478.650000000001</v>
      </c>
      <c r="E1562" s="7">
        <v>16605.95</v>
      </c>
      <c r="F1562" s="7">
        <v>517723542</v>
      </c>
      <c r="G1562" s="42">
        <v>39407.440000000002</v>
      </c>
    </row>
    <row r="1563" spans="1:7" ht="14.25" customHeight="1">
      <c r="A1563" s="41">
        <v>44623</v>
      </c>
      <c r="B1563" s="7">
        <v>16723.2</v>
      </c>
      <c r="C1563" s="7">
        <v>16768.95</v>
      </c>
      <c r="D1563" s="7">
        <v>16442.95</v>
      </c>
      <c r="E1563" s="7">
        <v>16498.05</v>
      </c>
      <c r="F1563" s="7">
        <v>442068263</v>
      </c>
      <c r="G1563" s="42">
        <v>31413</v>
      </c>
    </row>
    <row r="1564" spans="1:7" ht="14.25" customHeight="1">
      <c r="A1564" s="41">
        <v>44624</v>
      </c>
      <c r="B1564" s="7">
        <v>16339.45</v>
      </c>
      <c r="C1564" s="7">
        <v>16456</v>
      </c>
      <c r="D1564" s="7">
        <v>16133.8</v>
      </c>
      <c r="E1564" s="7">
        <v>16245.35</v>
      </c>
      <c r="F1564" s="7">
        <v>456143040</v>
      </c>
      <c r="G1564" s="42">
        <v>34821.1</v>
      </c>
    </row>
    <row r="1565" spans="1:7" ht="14.25" customHeight="1">
      <c r="A1565" s="41">
        <v>44627</v>
      </c>
      <c r="B1565" s="7">
        <v>15867.95</v>
      </c>
      <c r="C1565" s="7">
        <v>15944.6</v>
      </c>
      <c r="D1565" s="7">
        <v>15711.45</v>
      </c>
      <c r="E1565" s="7">
        <v>15863.15</v>
      </c>
      <c r="F1565" s="7">
        <v>585403660</v>
      </c>
      <c r="G1565" s="42">
        <v>38038.75</v>
      </c>
    </row>
    <row r="1566" spans="1:7" ht="14.25" customHeight="1">
      <c r="A1566" s="41">
        <v>44628</v>
      </c>
      <c r="B1566" s="7">
        <v>15747.75</v>
      </c>
      <c r="C1566" s="7">
        <v>16028.75</v>
      </c>
      <c r="D1566" s="7">
        <v>15671.45</v>
      </c>
      <c r="E1566" s="7">
        <v>16013.45</v>
      </c>
      <c r="F1566" s="7">
        <v>543600673</v>
      </c>
      <c r="G1566" s="42">
        <v>38704.400000000001</v>
      </c>
    </row>
    <row r="1567" spans="1:7" ht="14.25" customHeight="1">
      <c r="A1567" s="41">
        <v>44629</v>
      </c>
      <c r="B1567" s="7">
        <v>16078</v>
      </c>
      <c r="C1567" s="7">
        <v>16418.05</v>
      </c>
      <c r="D1567" s="7">
        <v>15990</v>
      </c>
      <c r="E1567" s="7">
        <v>16345.35</v>
      </c>
      <c r="F1567" s="7">
        <v>462231428</v>
      </c>
      <c r="G1567" s="42">
        <v>35329.339999999997</v>
      </c>
    </row>
    <row r="1568" spans="1:7" ht="14.25" customHeight="1">
      <c r="A1568" s="41">
        <v>44630</v>
      </c>
      <c r="B1568" s="7">
        <v>16757.099999999999</v>
      </c>
      <c r="C1568" s="7">
        <v>16757.3</v>
      </c>
      <c r="D1568" s="7">
        <v>16447.900000000001</v>
      </c>
      <c r="E1568" s="7">
        <v>16594.900000000001</v>
      </c>
      <c r="F1568" s="7">
        <v>486445481</v>
      </c>
      <c r="G1568" s="42">
        <v>35513.730000000003</v>
      </c>
    </row>
    <row r="1569" spans="1:7" ht="14.25" customHeight="1">
      <c r="A1569" s="41">
        <v>44631</v>
      </c>
      <c r="B1569" s="7">
        <v>16528.8</v>
      </c>
      <c r="C1569" s="7">
        <v>16694.400000000001</v>
      </c>
      <c r="D1569" s="7">
        <v>16470.900000000001</v>
      </c>
      <c r="E1569" s="7">
        <v>16630.45</v>
      </c>
      <c r="F1569" s="7">
        <v>343717045</v>
      </c>
      <c r="G1569" s="42">
        <v>24720.34</v>
      </c>
    </row>
    <row r="1570" spans="1:7" ht="14.25" customHeight="1">
      <c r="A1570" s="41">
        <v>44634</v>
      </c>
      <c r="B1570" s="7">
        <v>16633.7</v>
      </c>
      <c r="C1570" s="7">
        <v>16887.95</v>
      </c>
      <c r="D1570" s="7">
        <v>16606.5</v>
      </c>
      <c r="E1570" s="7">
        <v>16871.3</v>
      </c>
      <c r="F1570" s="7">
        <v>314669685</v>
      </c>
      <c r="G1570" s="42">
        <v>23824.02</v>
      </c>
    </row>
    <row r="1571" spans="1:7" ht="14.25" customHeight="1">
      <c r="A1571" s="41">
        <v>44635</v>
      </c>
      <c r="B1571" s="7">
        <v>16900.650000000001</v>
      </c>
      <c r="C1571" s="7">
        <v>16927.75</v>
      </c>
      <c r="D1571" s="7">
        <v>16555</v>
      </c>
      <c r="E1571" s="7">
        <v>16663</v>
      </c>
      <c r="F1571" s="7">
        <v>381631902</v>
      </c>
      <c r="G1571" s="42">
        <v>29731.09</v>
      </c>
    </row>
    <row r="1572" spans="1:7" ht="14.25" customHeight="1">
      <c r="A1572" s="41">
        <v>44636</v>
      </c>
      <c r="B1572" s="7">
        <v>16876.650000000001</v>
      </c>
      <c r="C1572" s="7">
        <v>16987.900000000001</v>
      </c>
      <c r="D1572" s="7">
        <v>16837.849999999999</v>
      </c>
      <c r="E1572" s="7">
        <v>16975.349999999999</v>
      </c>
      <c r="F1572" s="7">
        <v>259973396</v>
      </c>
      <c r="G1572" s="42">
        <v>21361.32</v>
      </c>
    </row>
    <row r="1573" spans="1:7" ht="14.25" customHeight="1">
      <c r="A1573" s="41">
        <v>44637</v>
      </c>
      <c r="B1573" s="7">
        <v>17202.900000000001</v>
      </c>
      <c r="C1573" s="7">
        <v>17344.599999999999</v>
      </c>
      <c r="D1573" s="7">
        <v>17175.75</v>
      </c>
      <c r="E1573" s="7">
        <v>17287.05</v>
      </c>
      <c r="F1573" s="7">
        <v>448335248</v>
      </c>
      <c r="G1573" s="42">
        <v>35367.279999999999</v>
      </c>
    </row>
    <row r="1574" spans="1:7" ht="14.25" customHeight="1">
      <c r="A1574" s="41">
        <v>44641</v>
      </c>
      <c r="B1574" s="7">
        <v>17329.5</v>
      </c>
      <c r="C1574" s="7">
        <v>17353.349999999999</v>
      </c>
      <c r="D1574" s="7">
        <v>17096.400000000001</v>
      </c>
      <c r="E1574" s="7">
        <v>17117.599999999999</v>
      </c>
      <c r="F1574" s="7">
        <v>285451208</v>
      </c>
      <c r="G1574" s="42">
        <v>22886.39</v>
      </c>
    </row>
    <row r="1575" spans="1:7" ht="14.25" customHeight="1">
      <c r="A1575" s="41">
        <v>44642</v>
      </c>
      <c r="B1575" s="7">
        <v>17120.400000000001</v>
      </c>
      <c r="C1575" s="7">
        <v>17334.400000000001</v>
      </c>
      <c r="D1575" s="7">
        <v>17006.3</v>
      </c>
      <c r="E1575" s="7">
        <v>17315.5</v>
      </c>
      <c r="F1575" s="7">
        <v>338263468</v>
      </c>
      <c r="G1575" s="42">
        <v>27347.599999999999</v>
      </c>
    </row>
    <row r="1576" spans="1:7" ht="14.25" customHeight="1">
      <c r="A1576" s="41">
        <v>44643</v>
      </c>
      <c r="B1576" s="7">
        <v>17405.05</v>
      </c>
      <c r="C1576" s="7">
        <v>17442.400000000001</v>
      </c>
      <c r="D1576" s="7">
        <v>17199.599999999999</v>
      </c>
      <c r="E1576" s="7">
        <v>17245.650000000001</v>
      </c>
      <c r="F1576" s="7">
        <v>292120348</v>
      </c>
      <c r="G1576" s="42">
        <v>24705.279999999999</v>
      </c>
    </row>
    <row r="1577" spans="1:7" ht="14.25" customHeight="1">
      <c r="A1577" s="41">
        <v>44644</v>
      </c>
      <c r="B1577" s="7">
        <v>17094.95</v>
      </c>
      <c r="C1577" s="7">
        <v>17291.75</v>
      </c>
      <c r="D1577" s="7">
        <v>17091.150000000001</v>
      </c>
      <c r="E1577" s="7">
        <v>17222.75</v>
      </c>
      <c r="F1577" s="7">
        <v>290280124</v>
      </c>
      <c r="G1577" s="42">
        <v>25011.72</v>
      </c>
    </row>
    <row r="1578" spans="1:7" ht="14.25" customHeight="1">
      <c r="A1578" s="41">
        <v>44645</v>
      </c>
      <c r="B1578" s="7">
        <v>17289</v>
      </c>
      <c r="C1578" s="7">
        <v>17294.900000000001</v>
      </c>
      <c r="D1578" s="7">
        <v>17076.55</v>
      </c>
      <c r="E1578" s="7">
        <v>17153</v>
      </c>
      <c r="F1578" s="7">
        <v>237115741</v>
      </c>
      <c r="G1578" s="42">
        <v>20031.39</v>
      </c>
    </row>
    <row r="1579" spans="1:7" ht="14.25" customHeight="1">
      <c r="A1579" s="41">
        <v>44648</v>
      </c>
      <c r="B1579" s="7">
        <v>17181.849999999999</v>
      </c>
      <c r="C1579" s="7">
        <v>17235.099999999999</v>
      </c>
      <c r="D1579" s="7">
        <v>17003.900000000001</v>
      </c>
      <c r="E1579" s="7">
        <v>17222</v>
      </c>
      <c r="F1579" s="7">
        <v>253240837</v>
      </c>
      <c r="G1579" s="42">
        <v>19976.259999999998</v>
      </c>
    </row>
    <row r="1580" spans="1:7" ht="14.25" customHeight="1">
      <c r="A1580" s="41">
        <v>44649</v>
      </c>
      <c r="B1580" s="7">
        <v>17297.2</v>
      </c>
      <c r="C1580" s="7">
        <v>17343.650000000001</v>
      </c>
      <c r="D1580" s="7">
        <v>17235.7</v>
      </c>
      <c r="E1580" s="7">
        <v>17325.3</v>
      </c>
      <c r="F1580" s="7">
        <v>235149625</v>
      </c>
      <c r="G1580" s="42">
        <v>20305.78</v>
      </c>
    </row>
    <row r="1581" spans="1:7" ht="14.25" customHeight="1">
      <c r="A1581" s="41">
        <v>44650</v>
      </c>
      <c r="B1581" s="7">
        <v>17468.150000000001</v>
      </c>
      <c r="C1581" s="7">
        <v>17522.5</v>
      </c>
      <c r="D1581" s="7">
        <v>17387.2</v>
      </c>
      <c r="E1581" s="7">
        <v>17498.25</v>
      </c>
      <c r="F1581" s="7">
        <v>505031841</v>
      </c>
      <c r="G1581" s="42">
        <v>28907.47</v>
      </c>
    </row>
    <row r="1582" spans="1:7" ht="14.25" customHeight="1">
      <c r="A1582" s="41">
        <v>44651</v>
      </c>
      <c r="B1582" s="7">
        <v>17519.2</v>
      </c>
      <c r="C1582" s="7">
        <v>17559.8</v>
      </c>
      <c r="D1582" s="7">
        <v>17435.2</v>
      </c>
      <c r="E1582" s="7">
        <v>17464.75</v>
      </c>
      <c r="F1582" s="7">
        <v>281111679</v>
      </c>
      <c r="G1582" s="42">
        <v>24032.07</v>
      </c>
    </row>
    <row r="1583" spans="1:7" ht="14.25" customHeight="1">
      <c r="A1583" s="41">
        <v>44652</v>
      </c>
      <c r="B1583" s="7">
        <v>17436.900000000001</v>
      </c>
      <c r="C1583" s="7">
        <v>17703.7</v>
      </c>
      <c r="D1583" s="7">
        <v>17422.7</v>
      </c>
      <c r="E1583" s="7">
        <v>17670.45</v>
      </c>
      <c r="F1583" s="7">
        <v>291773447</v>
      </c>
      <c r="G1583" s="42">
        <v>21132.13</v>
      </c>
    </row>
    <row r="1584" spans="1:7" ht="14.25" customHeight="1">
      <c r="A1584" s="41">
        <v>44655</v>
      </c>
      <c r="B1584" s="7">
        <v>17809.099999999999</v>
      </c>
      <c r="C1584" s="7">
        <v>18114.650000000001</v>
      </c>
      <c r="D1584" s="7">
        <v>17791.400000000001</v>
      </c>
      <c r="E1584" s="7">
        <v>18053.400000000001</v>
      </c>
      <c r="F1584" s="7">
        <v>345526502</v>
      </c>
      <c r="G1584" s="42">
        <v>38623.94</v>
      </c>
    </row>
    <row r="1585" spans="1:7" ht="14.25" customHeight="1">
      <c r="A1585" s="41">
        <v>44656</v>
      </c>
      <c r="B1585" s="7">
        <v>18080.599999999999</v>
      </c>
      <c r="C1585" s="7">
        <v>18095.45</v>
      </c>
      <c r="D1585" s="7">
        <v>17921.55</v>
      </c>
      <c r="E1585" s="7">
        <v>17957.400000000001</v>
      </c>
      <c r="F1585" s="7">
        <v>283453612</v>
      </c>
      <c r="G1585" s="42">
        <v>25096.7</v>
      </c>
    </row>
    <row r="1586" spans="1:7" ht="14.25" customHeight="1">
      <c r="A1586" s="41">
        <v>44657</v>
      </c>
      <c r="B1586" s="7">
        <v>17842.75</v>
      </c>
      <c r="C1586" s="7">
        <v>17901</v>
      </c>
      <c r="D1586" s="7">
        <v>17779.849999999999</v>
      </c>
      <c r="E1586" s="7">
        <v>17807.650000000001</v>
      </c>
      <c r="F1586" s="7">
        <v>328824420</v>
      </c>
      <c r="G1586" s="42">
        <v>24252.48</v>
      </c>
    </row>
    <row r="1587" spans="1:7" ht="14.25" customHeight="1">
      <c r="A1587" s="41">
        <v>44658</v>
      </c>
      <c r="B1587" s="7">
        <v>17723.3</v>
      </c>
      <c r="C1587" s="7">
        <v>17787.5</v>
      </c>
      <c r="D1587" s="7">
        <v>17623.7</v>
      </c>
      <c r="E1587" s="7">
        <v>17639.55</v>
      </c>
      <c r="F1587" s="7">
        <v>308840215</v>
      </c>
      <c r="G1587" s="42">
        <v>26236.91</v>
      </c>
    </row>
    <row r="1588" spans="1:7" ht="14.25" customHeight="1">
      <c r="A1588" s="41">
        <v>44659</v>
      </c>
      <c r="B1588" s="7">
        <v>17698.150000000001</v>
      </c>
      <c r="C1588" s="7">
        <v>17842.75</v>
      </c>
      <c r="D1588" s="7">
        <v>17600.55</v>
      </c>
      <c r="E1588" s="7">
        <v>17784.349999999999</v>
      </c>
      <c r="F1588" s="7">
        <v>274447433</v>
      </c>
      <c r="G1588" s="42">
        <v>25608.1</v>
      </c>
    </row>
    <row r="1589" spans="1:7" ht="14.25" customHeight="1">
      <c r="A1589" s="41">
        <v>44662</v>
      </c>
      <c r="B1589" s="7">
        <v>17740.900000000001</v>
      </c>
      <c r="C1589" s="7">
        <v>17779.05</v>
      </c>
      <c r="D1589" s="7">
        <v>17650.95</v>
      </c>
      <c r="E1589" s="7">
        <v>17674.95</v>
      </c>
      <c r="F1589" s="7">
        <v>251701846</v>
      </c>
      <c r="G1589" s="42">
        <v>21001.58</v>
      </c>
    </row>
    <row r="1590" spans="1:7" ht="14.25" customHeight="1">
      <c r="A1590" s="41">
        <v>44663</v>
      </c>
      <c r="B1590" s="7">
        <v>17584.849999999999</v>
      </c>
      <c r="C1590" s="7">
        <v>17595.3</v>
      </c>
      <c r="D1590" s="7">
        <v>17442.349999999999</v>
      </c>
      <c r="E1590" s="7">
        <v>17530.3</v>
      </c>
      <c r="F1590" s="7">
        <v>266029060</v>
      </c>
      <c r="G1590" s="42">
        <v>23958.77</v>
      </c>
    </row>
    <row r="1591" spans="1:7" ht="14.25" customHeight="1">
      <c r="A1591" s="41">
        <v>44664</v>
      </c>
      <c r="B1591" s="7">
        <v>17599.900000000001</v>
      </c>
      <c r="C1591" s="7">
        <v>17663.650000000001</v>
      </c>
      <c r="D1591" s="7">
        <v>17457.400000000001</v>
      </c>
      <c r="E1591" s="7">
        <v>17475.650000000001</v>
      </c>
      <c r="F1591" s="7">
        <v>245061941</v>
      </c>
      <c r="G1591" s="42">
        <v>20229.830000000002</v>
      </c>
    </row>
    <row r="1592" spans="1:7" ht="14.25" customHeight="1">
      <c r="A1592" s="41">
        <v>44669</v>
      </c>
      <c r="B1592" s="7">
        <v>17183.45</v>
      </c>
      <c r="C1592" s="7">
        <v>17237.75</v>
      </c>
      <c r="D1592" s="7">
        <v>17067.849999999999</v>
      </c>
      <c r="E1592" s="7">
        <v>17173.650000000001</v>
      </c>
      <c r="F1592" s="7">
        <v>376130248</v>
      </c>
      <c r="G1592" s="42">
        <v>30154.62</v>
      </c>
    </row>
    <row r="1593" spans="1:7" ht="14.25" customHeight="1">
      <c r="A1593" s="41">
        <v>44670</v>
      </c>
      <c r="B1593" s="7">
        <v>17258.95</v>
      </c>
      <c r="C1593" s="7">
        <v>17275.650000000001</v>
      </c>
      <c r="D1593" s="7">
        <v>16824.7</v>
      </c>
      <c r="E1593" s="7">
        <v>16958.650000000001</v>
      </c>
      <c r="F1593" s="7">
        <v>401399563</v>
      </c>
      <c r="G1593" s="42">
        <v>35467.129999999997</v>
      </c>
    </row>
    <row r="1594" spans="1:7" ht="14.25" customHeight="1">
      <c r="A1594" s="41">
        <v>44671</v>
      </c>
      <c r="B1594" s="7">
        <v>17045.25</v>
      </c>
      <c r="C1594" s="7">
        <v>17186.900000000001</v>
      </c>
      <c r="D1594" s="7">
        <v>16978.95</v>
      </c>
      <c r="E1594" s="7">
        <v>17136.55</v>
      </c>
      <c r="F1594" s="7">
        <v>286069736</v>
      </c>
      <c r="G1594" s="42">
        <v>25972.15</v>
      </c>
    </row>
    <row r="1595" spans="1:7" ht="14.25" customHeight="1">
      <c r="A1595" s="41">
        <v>44672</v>
      </c>
      <c r="B1595" s="7">
        <v>17234.599999999999</v>
      </c>
      <c r="C1595" s="7">
        <v>17414.7</v>
      </c>
      <c r="D1595" s="7">
        <v>17215.5</v>
      </c>
      <c r="E1595" s="7">
        <v>17392.599999999999</v>
      </c>
      <c r="F1595" s="7">
        <v>285200022</v>
      </c>
      <c r="G1595" s="42">
        <v>24999.9</v>
      </c>
    </row>
    <row r="1596" spans="1:7" ht="14.25" customHeight="1">
      <c r="A1596" s="41">
        <v>44673</v>
      </c>
      <c r="B1596" s="7">
        <v>17242.75</v>
      </c>
      <c r="C1596" s="7">
        <v>17315.3</v>
      </c>
      <c r="D1596" s="7">
        <v>17149.2</v>
      </c>
      <c r="E1596" s="7">
        <v>17171.95</v>
      </c>
      <c r="F1596" s="7">
        <v>262739740</v>
      </c>
      <c r="G1596" s="42">
        <v>23371.7</v>
      </c>
    </row>
    <row r="1597" spans="1:7" ht="14.25" customHeight="1">
      <c r="A1597" s="41">
        <v>44676</v>
      </c>
      <c r="B1597" s="7">
        <v>17009.05</v>
      </c>
      <c r="C1597" s="7">
        <v>17054.3</v>
      </c>
      <c r="D1597" s="7">
        <v>16888.7</v>
      </c>
      <c r="E1597" s="7">
        <v>16953.95</v>
      </c>
      <c r="F1597" s="7">
        <v>275685925</v>
      </c>
      <c r="G1597" s="42">
        <v>22699.65</v>
      </c>
    </row>
    <row r="1598" spans="1:7" ht="14.25" customHeight="1">
      <c r="A1598" s="41">
        <v>44677</v>
      </c>
      <c r="B1598" s="7">
        <v>17121.3</v>
      </c>
      <c r="C1598" s="7">
        <v>17223.849999999999</v>
      </c>
      <c r="D1598" s="7">
        <v>17064.45</v>
      </c>
      <c r="E1598" s="7">
        <v>17200.8</v>
      </c>
      <c r="F1598" s="7">
        <v>261065753</v>
      </c>
      <c r="G1598" s="42">
        <v>22079.919999999998</v>
      </c>
    </row>
    <row r="1599" spans="1:7" ht="14.25" customHeight="1">
      <c r="A1599" s="41">
        <v>44678</v>
      </c>
      <c r="B1599" s="7">
        <v>17073.349999999999</v>
      </c>
      <c r="C1599" s="7">
        <v>17110.7</v>
      </c>
      <c r="D1599" s="7">
        <v>16958.45</v>
      </c>
      <c r="E1599" s="7">
        <v>17038.400000000001</v>
      </c>
      <c r="F1599" s="7">
        <v>265140480</v>
      </c>
      <c r="G1599" s="42">
        <v>25373.8</v>
      </c>
    </row>
    <row r="1600" spans="1:7" ht="14.25" customHeight="1">
      <c r="A1600" s="41">
        <v>44679</v>
      </c>
      <c r="B1600" s="7">
        <v>17189.5</v>
      </c>
      <c r="C1600" s="7">
        <v>17322.5</v>
      </c>
      <c r="D1600" s="7">
        <v>17071.05</v>
      </c>
      <c r="E1600" s="7">
        <v>17245.05</v>
      </c>
      <c r="F1600" s="7">
        <v>312914417</v>
      </c>
      <c r="G1600" s="42">
        <v>28488.87</v>
      </c>
    </row>
    <row r="1601" spans="1:7" ht="14.25" customHeight="1">
      <c r="A1601" s="41">
        <v>44680</v>
      </c>
      <c r="B1601" s="7">
        <v>17329.25</v>
      </c>
      <c r="C1601" s="7">
        <v>17377.650000000001</v>
      </c>
      <c r="D1601" s="7">
        <v>17053.25</v>
      </c>
      <c r="E1601" s="7">
        <v>17102.55</v>
      </c>
      <c r="F1601" s="7">
        <v>336243642</v>
      </c>
      <c r="G1601" s="42">
        <v>29582.86</v>
      </c>
    </row>
    <row r="1602" spans="1:7" ht="14.25" customHeight="1">
      <c r="A1602" s="41">
        <v>44683</v>
      </c>
      <c r="B1602" s="7">
        <v>16924.45</v>
      </c>
      <c r="C1602" s="7">
        <v>17092.25</v>
      </c>
      <c r="D1602" s="7">
        <v>16917.25</v>
      </c>
      <c r="E1602" s="7">
        <v>17069.099999999999</v>
      </c>
      <c r="F1602" s="7">
        <v>278155513</v>
      </c>
      <c r="G1602" s="42">
        <v>21222.639999999999</v>
      </c>
    </row>
    <row r="1603" spans="1:7" ht="14.25" customHeight="1">
      <c r="A1603" s="41">
        <v>44685</v>
      </c>
      <c r="B1603" s="7">
        <v>17096.599999999999</v>
      </c>
      <c r="C1603" s="7">
        <v>17132.849999999999</v>
      </c>
      <c r="D1603" s="7">
        <v>16623.95</v>
      </c>
      <c r="E1603" s="7">
        <v>16677.599999999999</v>
      </c>
      <c r="F1603" s="7">
        <v>310632799</v>
      </c>
      <c r="G1603" s="42">
        <v>27405.52</v>
      </c>
    </row>
    <row r="1604" spans="1:7" ht="14.25" customHeight="1">
      <c r="A1604" s="41">
        <v>44686</v>
      </c>
      <c r="B1604" s="7">
        <v>16854.75</v>
      </c>
      <c r="C1604" s="7">
        <v>16945.7</v>
      </c>
      <c r="D1604" s="7">
        <v>16651.849999999999</v>
      </c>
      <c r="E1604" s="7">
        <v>16682.650000000001</v>
      </c>
      <c r="F1604" s="7">
        <v>265793403</v>
      </c>
      <c r="G1604" s="42">
        <v>21792.91</v>
      </c>
    </row>
    <row r="1605" spans="1:7" ht="14.25" customHeight="1">
      <c r="A1605" s="41">
        <v>44687</v>
      </c>
      <c r="B1605" s="7">
        <v>16415.55</v>
      </c>
      <c r="C1605" s="7">
        <v>16484.2</v>
      </c>
      <c r="D1605" s="7">
        <v>16340.9</v>
      </c>
      <c r="E1605" s="7">
        <v>16411.25</v>
      </c>
      <c r="F1605" s="7">
        <v>300527719</v>
      </c>
      <c r="G1605" s="42">
        <v>25472.95</v>
      </c>
    </row>
    <row r="1606" spans="1:7" ht="14.25" customHeight="1">
      <c r="A1606" s="41">
        <v>44690</v>
      </c>
      <c r="B1606" s="7">
        <v>16227.7</v>
      </c>
      <c r="C1606" s="7">
        <v>16403.7</v>
      </c>
      <c r="D1606" s="7">
        <v>16142.1</v>
      </c>
      <c r="E1606" s="7">
        <v>16301.85</v>
      </c>
      <c r="F1606" s="7">
        <v>288402950</v>
      </c>
      <c r="G1606" s="42">
        <v>23274.74</v>
      </c>
    </row>
    <row r="1607" spans="1:7" ht="14.25" customHeight="1">
      <c r="A1607" s="41">
        <v>44691</v>
      </c>
      <c r="B1607" s="7">
        <v>16248.9</v>
      </c>
      <c r="C1607" s="7">
        <v>16404.55</v>
      </c>
      <c r="D1607" s="7">
        <v>16197.3</v>
      </c>
      <c r="E1607" s="7">
        <v>16240.05</v>
      </c>
      <c r="F1607" s="7">
        <v>283061200</v>
      </c>
      <c r="G1607" s="42">
        <v>22685.27</v>
      </c>
    </row>
    <row r="1608" spans="1:7" ht="14.25" customHeight="1">
      <c r="A1608" s="41">
        <v>44692</v>
      </c>
      <c r="B1608" s="7">
        <v>16270.05</v>
      </c>
      <c r="C1608" s="7">
        <v>16318.75</v>
      </c>
      <c r="D1608" s="7">
        <v>15992.6</v>
      </c>
      <c r="E1608" s="7">
        <v>16167.1</v>
      </c>
      <c r="F1608" s="7">
        <v>284294438</v>
      </c>
      <c r="G1608" s="42">
        <v>22994.38</v>
      </c>
    </row>
    <row r="1609" spans="1:7" ht="14.25" customHeight="1">
      <c r="A1609" s="41">
        <v>44693</v>
      </c>
      <c r="B1609" s="7">
        <v>16021.1</v>
      </c>
      <c r="C1609" s="7">
        <v>16041.95</v>
      </c>
      <c r="D1609" s="7">
        <v>15735.75</v>
      </c>
      <c r="E1609" s="7">
        <v>15808</v>
      </c>
      <c r="F1609" s="7">
        <v>314921678</v>
      </c>
      <c r="G1609" s="42">
        <v>25352.34</v>
      </c>
    </row>
    <row r="1610" spans="1:7" ht="14.25" customHeight="1">
      <c r="A1610" s="41">
        <v>44694</v>
      </c>
      <c r="B1610" s="7">
        <v>15977</v>
      </c>
      <c r="C1610" s="7">
        <v>16083.6</v>
      </c>
      <c r="D1610" s="7">
        <v>15740.85</v>
      </c>
      <c r="E1610" s="7">
        <v>15782.15</v>
      </c>
      <c r="F1610" s="7">
        <v>369135540</v>
      </c>
      <c r="G1610" s="42">
        <v>27454.12</v>
      </c>
    </row>
    <row r="1611" spans="1:7" ht="14.25" customHeight="1">
      <c r="A1611" s="41">
        <v>44697</v>
      </c>
      <c r="B1611" s="7">
        <v>15845.1</v>
      </c>
      <c r="C1611" s="7">
        <v>15977.95</v>
      </c>
      <c r="D1611" s="7">
        <v>15739.65</v>
      </c>
      <c r="E1611" s="7">
        <v>15842.3</v>
      </c>
      <c r="F1611" s="7">
        <v>217646558</v>
      </c>
      <c r="G1611" s="42">
        <v>17852.189999999999</v>
      </c>
    </row>
    <row r="1612" spans="1:7" ht="14.25" customHeight="1">
      <c r="A1612" s="41">
        <v>44698</v>
      </c>
      <c r="B1612" s="7">
        <v>15912.6</v>
      </c>
      <c r="C1612" s="7">
        <v>16284.25</v>
      </c>
      <c r="D1612" s="7">
        <v>15900.8</v>
      </c>
      <c r="E1612" s="7">
        <v>16259.3</v>
      </c>
      <c r="F1612" s="7">
        <v>295687774</v>
      </c>
      <c r="G1612" s="42">
        <v>22782.99</v>
      </c>
    </row>
    <row r="1613" spans="1:7" ht="14.25" customHeight="1">
      <c r="A1613" s="41">
        <v>44699</v>
      </c>
      <c r="B1613" s="7">
        <v>16318.15</v>
      </c>
      <c r="C1613" s="7">
        <v>16399.8</v>
      </c>
      <c r="D1613" s="7">
        <v>16211.2</v>
      </c>
      <c r="E1613" s="7">
        <v>16240.3</v>
      </c>
      <c r="F1613" s="7">
        <v>290441105</v>
      </c>
      <c r="G1613" s="42">
        <v>23889.84</v>
      </c>
    </row>
    <row r="1614" spans="1:7" ht="14.25" customHeight="1">
      <c r="A1614" s="41">
        <v>44700</v>
      </c>
      <c r="B1614" s="7">
        <v>15917.4</v>
      </c>
      <c r="C1614" s="7">
        <v>15984.75</v>
      </c>
      <c r="D1614" s="7">
        <v>15775.2</v>
      </c>
      <c r="E1614" s="7">
        <v>15809.4</v>
      </c>
      <c r="F1614" s="7">
        <v>313876082</v>
      </c>
      <c r="G1614" s="42">
        <v>24340.84</v>
      </c>
    </row>
    <row r="1615" spans="1:7" ht="14.25" customHeight="1">
      <c r="A1615" s="41">
        <v>44701</v>
      </c>
      <c r="B1615" s="7">
        <v>16043.8</v>
      </c>
      <c r="C1615" s="7">
        <v>16283.05</v>
      </c>
      <c r="D1615" s="7">
        <v>16003.85</v>
      </c>
      <c r="E1615" s="7">
        <v>16266.15</v>
      </c>
      <c r="F1615" s="7">
        <v>252402013</v>
      </c>
      <c r="G1615" s="42">
        <v>22806.69</v>
      </c>
    </row>
    <row r="1616" spans="1:7" ht="14.25" customHeight="1">
      <c r="A1616" s="41">
        <v>44704</v>
      </c>
      <c r="B1616" s="7">
        <v>16290.95</v>
      </c>
      <c r="C1616" s="7">
        <v>16414.7</v>
      </c>
      <c r="D1616" s="7">
        <v>16185.75</v>
      </c>
      <c r="E1616" s="7">
        <v>16214.7</v>
      </c>
      <c r="F1616" s="7">
        <v>293829853</v>
      </c>
      <c r="G1616" s="42">
        <v>25110.85</v>
      </c>
    </row>
    <row r="1617" spans="1:7" ht="14.25" customHeight="1">
      <c r="A1617" s="41">
        <v>44705</v>
      </c>
      <c r="B1617" s="7">
        <v>16225.55</v>
      </c>
      <c r="C1617" s="7">
        <v>16262.8</v>
      </c>
      <c r="D1617" s="7">
        <v>16078.6</v>
      </c>
      <c r="E1617" s="7">
        <v>16125.15</v>
      </c>
      <c r="F1617" s="7">
        <v>249778296</v>
      </c>
      <c r="G1617" s="42">
        <v>21895.75</v>
      </c>
    </row>
    <row r="1618" spans="1:7" ht="14.25" customHeight="1">
      <c r="A1618" s="41">
        <v>44706</v>
      </c>
      <c r="B1618" s="7">
        <v>16196.35</v>
      </c>
      <c r="C1618" s="7">
        <v>16223.35</v>
      </c>
      <c r="D1618" s="7">
        <v>16006.95</v>
      </c>
      <c r="E1618" s="7">
        <v>16025.8</v>
      </c>
      <c r="F1618" s="7">
        <v>243342347</v>
      </c>
      <c r="G1618" s="42">
        <v>21400.14</v>
      </c>
    </row>
    <row r="1619" spans="1:7" ht="14.25" customHeight="1">
      <c r="A1619" s="41">
        <v>44707</v>
      </c>
      <c r="B1619" s="7">
        <v>16105</v>
      </c>
      <c r="C1619" s="7">
        <v>16204.45</v>
      </c>
      <c r="D1619" s="7">
        <v>15903.7</v>
      </c>
      <c r="E1619" s="7">
        <v>16170.15</v>
      </c>
      <c r="F1619" s="7">
        <v>314305739</v>
      </c>
      <c r="G1619" s="42">
        <v>27721.21</v>
      </c>
    </row>
    <row r="1620" spans="1:7" ht="14.25" customHeight="1">
      <c r="A1620" s="41">
        <v>44708</v>
      </c>
      <c r="B1620" s="7">
        <v>16296.6</v>
      </c>
      <c r="C1620" s="7">
        <v>16370.6</v>
      </c>
      <c r="D1620" s="7">
        <v>16221.95</v>
      </c>
      <c r="E1620" s="7">
        <v>16352.45</v>
      </c>
      <c r="F1620" s="7">
        <v>274064956</v>
      </c>
      <c r="G1620" s="42">
        <v>21341.98</v>
      </c>
    </row>
    <row r="1621" spans="1:7" ht="14.25" customHeight="1">
      <c r="A1621" s="41">
        <v>44711</v>
      </c>
      <c r="B1621" s="7">
        <v>16527.900000000001</v>
      </c>
      <c r="C1621" s="7">
        <v>16695.5</v>
      </c>
      <c r="D1621" s="7">
        <v>16506.150000000001</v>
      </c>
      <c r="E1621" s="7">
        <v>16661.400000000001</v>
      </c>
      <c r="F1621" s="7">
        <v>251400757</v>
      </c>
      <c r="G1621" s="42">
        <v>21216.5</v>
      </c>
    </row>
    <row r="1622" spans="1:7" ht="14.25" customHeight="1">
      <c r="A1622" s="41">
        <v>44712</v>
      </c>
      <c r="B1622" s="7">
        <v>16578.45</v>
      </c>
      <c r="C1622" s="7">
        <v>16690.75</v>
      </c>
      <c r="D1622" s="7">
        <v>16521.900000000001</v>
      </c>
      <c r="E1622" s="7">
        <v>16584.55</v>
      </c>
      <c r="F1622" s="7">
        <v>651613610</v>
      </c>
      <c r="G1622" s="42">
        <v>52929.35</v>
      </c>
    </row>
    <row r="1623" spans="1:7" ht="14.25" customHeight="1">
      <c r="A1623" s="41">
        <v>44713</v>
      </c>
      <c r="B1623" s="7">
        <v>16594.400000000001</v>
      </c>
      <c r="C1623" s="7">
        <v>16649.2</v>
      </c>
      <c r="D1623" s="7">
        <v>16438.849999999999</v>
      </c>
      <c r="E1623" s="7">
        <v>16522.75</v>
      </c>
      <c r="F1623" s="7">
        <v>249619038</v>
      </c>
      <c r="G1623" s="42">
        <v>19350.330000000002</v>
      </c>
    </row>
    <row r="1624" spans="1:7" ht="14.25" customHeight="1">
      <c r="A1624" s="41">
        <v>44714</v>
      </c>
      <c r="B1624" s="7">
        <v>16481.650000000001</v>
      </c>
      <c r="C1624" s="7">
        <v>16646.400000000001</v>
      </c>
      <c r="D1624" s="7">
        <v>16443.05</v>
      </c>
      <c r="E1624" s="7">
        <v>16628</v>
      </c>
      <c r="F1624" s="7">
        <v>235958283</v>
      </c>
      <c r="G1624" s="42">
        <v>20055.84</v>
      </c>
    </row>
    <row r="1625" spans="1:7" ht="14.25" customHeight="1">
      <c r="A1625" s="41">
        <v>44715</v>
      </c>
      <c r="B1625" s="7">
        <v>16761.650000000001</v>
      </c>
      <c r="C1625" s="7">
        <v>16793.849999999999</v>
      </c>
      <c r="D1625" s="7">
        <v>16567.900000000001</v>
      </c>
      <c r="E1625" s="7">
        <v>16584.3</v>
      </c>
      <c r="F1625" s="7">
        <v>245514871</v>
      </c>
      <c r="G1625" s="42">
        <v>22249.29</v>
      </c>
    </row>
    <row r="1626" spans="1:7" ht="14.25" customHeight="1">
      <c r="A1626" s="41">
        <v>44718</v>
      </c>
      <c r="B1626" s="7">
        <v>16530.7</v>
      </c>
      <c r="C1626" s="7">
        <v>16610.95</v>
      </c>
      <c r="D1626" s="7">
        <v>16444.55</v>
      </c>
      <c r="E1626" s="7">
        <v>16569.55</v>
      </c>
      <c r="F1626" s="7">
        <v>233589132</v>
      </c>
      <c r="G1626" s="42">
        <v>17999.41</v>
      </c>
    </row>
    <row r="1627" spans="1:7" ht="14.25" customHeight="1">
      <c r="A1627" s="41">
        <v>44719</v>
      </c>
      <c r="B1627" s="7">
        <v>16469.599999999999</v>
      </c>
      <c r="C1627" s="7">
        <v>16487.25</v>
      </c>
      <c r="D1627" s="7">
        <v>16347.1</v>
      </c>
      <c r="E1627" s="7">
        <v>16416.349999999999</v>
      </c>
      <c r="F1627" s="7">
        <v>233814633</v>
      </c>
      <c r="G1627" s="42">
        <v>17921.95</v>
      </c>
    </row>
    <row r="1628" spans="1:7" ht="14.25" customHeight="1">
      <c r="A1628" s="41">
        <v>44720</v>
      </c>
      <c r="B1628" s="7">
        <v>16474.95</v>
      </c>
      <c r="C1628" s="7">
        <v>16514.3</v>
      </c>
      <c r="D1628" s="7">
        <v>16293.35</v>
      </c>
      <c r="E1628" s="7">
        <v>16356.25</v>
      </c>
      <c r="F1628" s="7">
        <v>243481044</v>
      </c>
      <c r="G1628" s="42">
        <v>18336.150000000001</v>
      </c>
    </row>
    <row r="1629" spans="1:7" ht="14.25" customHeight="1">
      <c r="A1629" s="41">
        <v>44721</v>
      </c>
      <c r="B1629" s="7">
        <v>16263.85</v>
      </c>
      <c r="C1629" s="7">
        <v>16492.8</v>
      </c>
      <c r="D1629" s="7">
        <v>16243.85</v>
      </c>
      <c r="E1629" s="7">
        <v>16478.099999999999</v>
      </c>
      <c r="F1629" s="7">
        <v>204954394</v>
      </c>
      <c r="G1629" s="42">
        <v>16721.68</v>
      </c>
    </row>
    <row r="1630" spans="1:7" ht="14.25" customHeight="1">
      <c r="A1630" s="41">
        <v>44722</v>
      </c>
      <c r="B1630" s="7">
        <v>16283.95</v>
      </c>
      <c r="C1630" s="7">
        <v>16324.7</v>
      </c>
      <c r="D1630" s="7">
        <v>16172.6</v>
      </c>
      <c r="E1630" s="7">
        <v>16201.8</v>
      </c>
      <c r="F1630" s="7">
        <v>189680523</v>
      </c>
      <c r="G1630" s="42">
        <v>18388.03</v>
      </c>
    </row>
    <row r="1631" spans="1:7" ht="14.25" customHeight="1">
      <c r="A1631" s="41">
        <v>44725</v>
      </c>
      <c r="B1631" s="7">
        <v>15877.55</v>
      </c>
      <c r="C1631" s="7">
        <v>15886.15</v>
      </c>
      <c r="D1631" s="7">
        <v>15684</v>
      </c>
      <c r="E1631" s="7">
        <v>15774.4</v>
      </c>
      <c r="F1631" s="7">
        <v>225534385</v>
      </c>
      <c r="G1631" s="42">
        <v>20002.64</v>
      </c>
    </row>
    <row r="1632" spans="1:7" ht="14.25" customHeight="1">
      <c r="A1632" s="41">
        <v>44726</v>
      </c>
      <c r="B1632" s="7">
        <v>15674.25</v>
      </c>
      <c r="C1632" s="7">
        <v>15858</v>
      </c>
      <c r="D1632" s="7">
        <v>15659.45</v>
      </c>
      <c r="E1632" s="7">
        <v>15732.1</v>
      </c>
      <c r="F1632" s="7">
        <v>225425862</v>
      </c>
      <c r="G1632" s="42">
        <v>19825.41</v>
      </c>
    </row>
    <row r="1633" spans="1:7" ht="14.25" customHeight="1">
      <c r="A1633" s="41">
        <v>44727</v>
      </c>
      <c r="B1633" s="7">
        <v>15729.25</v>
      </c>
      <c r="C1633" s="7">
        <v>15783.65</v>
      </c>
      <c r="D1633" s="7">
        <v>15678.9</v>
      </c>
      <c r="E1633" s="7">
        <v>15692.15</v>
      </c>
      <c r="F1633" s="7">
        <v>183011236</v>
      </c>
      <c r="G1633" s="42">
        <v>16063.24</v>
      </c>
    </row>
    <row r="1634" spans="1:7" ht="14.25" customHeight="1">
      <c r="A1634" s="41">
        <v>44728</v>
      </c>
      <c r="B1634" s="7">
        <v>15832.25</v>
      </c>
      <c r="C1634" s="7">
        <v>15863.15</v>
      </c>
      <c r="D1634" s="7">
        <v>15335.1</v>
      </c>
      <c r="E1634" s="7">
        <v>15360.6</v>
      </c>
      <c r="F1634" s="7">
        <v>264735957</v>
      </c>
      <c r="G1634" s="42">
        <v>21383.06</v>
      </c>
    </row>
    <row r="1635" spans="1:7" ht="14.25" customHeight="1">
      <c r="A1635" s="41">
        <v>44729</v>
      </c>
      <c r="B1635" s="7">
        <v>15272.65</v>
      </c>
      <c r="C1635" s="7">
        <v>15400.4</v>
      </c>
      <c r="D1635" s="7">
        <v>15183.4</v>
      </c>
      <c r="E1635" s="7">
        <v>15293.5</v>
      </c>
      <c r="F1635" s="7">
        <v>342629997</v>
      </c>
      <c r="G1635" s="42">
        <v>29074</v>
      </c>
    </row>
    <row r="1636" spans="1:7" ht="14.25" customHeight="1">
      <c r="A1636" s="41">
        <v>44732</v>
      </c>
      <c r="B1636" s="7">
        <v>15334.5</v>
      </c>
      <c r="C1636" s="7">
        <v>15382.5</v>
      </c>
      <c r="D1636" s="7">
        <v>15191.1</v>
      </c>
      <c r="E1636" s="7">
        <v>15350.15</v>
      </c>
      <c r="F1636" s="7">
        <v>260022438</v>
      </c>
      <c r="G1636" s="42">
        <v>18531.78</v>
      </c>
    </row>
    <row r="1637" spans="1:7" ht="14.25" customHeight="1">
      <c r="A1637" s="41">
        <v>44733</v>
      </c>
      <c r="B1637" s="7">
        <v>15455.95</v>
      </c>
      <c r="C1637" s="7">
        <v>15707.25</v>
      </c>
      <c r="D1637" s="7">
        <v>15419.85</v>
      </c>
      <c r="E1637" s="7">
        <v>15638.8</v>
      </c>
      <c r="F1637" s="7">
        <v>262794687</v>
      </c>
      <c r="G1637" s="42">
        <v>18934.27</v>
      </c>
    </row>
    <row r="1638" spans="1:7" ht="14.25" customHeight="1">
      <c r="A1638" s="41">
        <v>44734</v>
      </c>
      <c r="B1638" s="7">
        <v>15545.65</v>
      </c>
      <c r="C1638" s="7">
        <v>15565.4</v>
      </c>
      <c r="D1638" s="7">
        <v>15385.95</v>
      </c>
      <c r="E1638" s="7">
        <v>15413.3</v>
      </c>
      <c r="F1638" s="7">
        <v>220889589</v>
      </c>
      <c r="G1638" s="42">
        <v>16817.07</v>
      </c>
    </row>
    <row r="1639" spans="1:7" ht="14.25" customHeight="1">
      <c r="A1639" s="41">
        <v>44735</v>
      </c>
      <c r="B1639" s="7">
        <v>15451.55</v>
      </c>
      <c r="C1639" s="7">
        <v>15628.45</v>
      </c>
      <c r="D1639" s="7">
        <v>15367.5</v>
      </c>
      <c r="E1639" s="7">
        <v>15556.65</v>
      </c>
      <c r="F1639" s="7">
        <v>259171810</v>
      </c>
      <c r="G1639" s="42">
        <v>21722.06</v>
      </c>
    </row>
    <row r="1640" spans="1:7" ht="14.25" customHeight="1">
      <c r="A1640" s="41">
        <v>44736</v>
      </c>
      <c r="B1640" s="7">
        <v>15657.4</v>
      </c>
      <c r="C1640" s="7">
        <v>15749.25</v>
      </c>
      <c r="D1640" s="7">
        <v>15619.45</v>
      </c>
      <c r="E1640" s="7">
        <v>15699.25</v>
      </c>
      <c r="F1640" s="7">
        <v>219599372</v>
      </c>
      <c r="G1640" s="42">
        <v>18259.72</v>
      </c>
    </row>
    <row r="1641" spans="1:7" ht="14.25" customHeight="1">
      <c r="A1641" s="41">
        <v>44739</v>
      </c>
      <c r="B1641" s="7">
        <v>15926.2</v>
      </c>
      <c r="C1641" s="7">
        <v>15927.45</v>
      </c>
      <c r="D1641" s="7">
        <v>15815.5</v>
      </c>
      <c r="E1641" s="7">
        <v>15832.05</v>
      </c>
      <c r="F1641" s="7">
        <v>210932505</v>
      </c>
      <c r="G1641" s="42">
        <v>17770.419999999998</v>
      </c>
    </row>
    <row r="1642" spans="1:7" ht="14.25" customHeight="1">
      <c r="A1642" s="41">
        <v>44740</v>
      </c>
      <c r="B1642" s="7">
        <v>15757.45</v>
      </c>
      <c r="C1642" s="7">
        <v>15892.1</v>
      </c>
      <c r="D1642" s="7">
        <v>15710.15</v>
      </c>
      <c r="E1642" s="7">
        <v>15850.2</v>
      </c>
      <c r="F1642" s="7">
        <v>251865155</v>
      </c>
      <c r="G1642" s="42">
        <v>18419.75</v>
      </c>
    </row>
    <row r="1643" spans="1:7" ht="14.25" customHeight="1">
      <c r="A1643" s="41">
        <v>44741</v>
      </c>
      <c r="B1643" s="7">
        <v>15701.7</v>
      </c>
      <c r="C1643" s="7">
        <v>15861.6</v>
      </c>
      <c r="D1643" s="7">
        <v>15687.8</v>
      </c>
      <c r="E1643" s="7">
        <v>15799.1</v>
      </c>
      <c r="F1643" s="7">
        <v>444949551</v>
      </c>
      <c r="G1643" s="42">
        <v>22528.57</v>
      </c>
    </row>
    <row r="1644" spans="1:7" ht="14.25" customHeight="1">
      <c r="A1644" s="41">
        <v>44742</v>
      </c>
      <c r="B1644" s="7">
        <v>15774.5</v>
      </c>
      <c r="C1644" s="7">
        <v>15890</v>
      </c>
      <c r="D1644" s="7">
        <v>15728.85</v>
      </c>
      <c r="E1644" s="7">
        <v>15780.25</v>
      </c>
      <c r="F1644" s="7">
        <v>306027777</v>
      </c>
      <c r="G1644" s="42">
        <v>23970.65</v>
      </c>
    </row>
    <row r="1645" spans="1:7" ht="14.25" customHeight="1">
      <c r="A1645" s="41">
        <v>44743</v>
      </c>
      <c r="B1645" s="7">
        <v>15703.7</v>
      </c>
      <c r="C1645" s="7">
        <v>15793.95</v>
      </c>
      <c r="D1645" s="7">
        <v>15511.05</v>
      </c>
      <c r="E1645" s="7">
        <v>15752.05</v>
      </c>
      <c r="F1645" s="7">
        <v>364090131</v>
      </c>
      <c r="G1645" s="42">
        <v>25891.94</v>
      </c>
    </row>
    <row r="1646" spans="1:7" ht="14.25" customHeight="1">
      <c r="A1646" s="41">
        <v>44746</v>
      </c>
      <c r="B1646" s="7">
        <v>15710.5</v>
      </c>
      <c r="C1646" s="7">
        <v>15852.35</v>
      </c>
      <c r="D1646" s="7">
        <v>15661.8</v>
      </c>
      <c r="E1646" s="7">
        <v>15835.35</v>
      </c>
      <c r="F1646" s="7">
        <v>304328467</v>
      </c>
      <c r="G1646" s="42">
        <v>19875.22</v>
      </c>
    </row>
    <row r="1647" spans="1:7" ht="14.25" customHeight="1">
      <c r="A1647" s="41">
        <v>44747</v>
      </c>
      <c r="B1647" s="7">
        <v>15909.15</v>
      </c>
      <c r="C1647" s="7">
        <v>16025.75</v>
      </c>
      <c r="D1647" s="7">
        <v>15785.45</v>
      </c>
      <c r="E1647" s="7">
        <v>15810.85</v>
      </c>
      <c r="F1647" s="7">
        <v>254164463</v>
      </c>
      <c r="G1647" s="42">
        <v>19129.599999999999</v>
      </c>
    </row>
    <row r="1648" spans="1:7" ht="14.25" customHeight="1">
      <c r="A1648" s="41">
        <v>44748</v>
      </c>
      <c r="B1648" s="7">
        <v>15818.2</v>
      </c>
      <c r="C1648" s="7">
        <v>16011.35</v>
      </c>
      <c r="D1648" s="7">
        <v>15800.9</v>
      </c>
      <c r="E1648" s="7">
        <v>15989.8</v>
      </c>
      <c r="F1648" s="7">
        <v>288375300</v>
      </c>
      <c r="G1648" s="42">
        <v>22836.77</v>
      </c>
    </row>
    <row r="1649" spans="1:7" ht="14.25" customHeight="1">
      <c r="A1649" s="41">
        <v>44749</v>
      </c>
      <c r="B1649" s="7">
        <v>16113.75</v>
      </c>
      <c r="C1649" s="7">
        <v>16150.5</v>
      </c>
      <c r="D1649" s="7">
        <v>16045.95</v>
      </c>
      <c r="E1649" s="7">
        <v>16132.9</v>
      </c>
      <c r="F1649" s="7">
        <v>264615218</v>
      </c>
      <c r="G1649" s="42">
        <v>21465.33</v>
      </c>
    </row>
    <row r="1650" spans="1:7" ht="14.25" customHeight="1">
      <c r="A1650" s="41">
        <v>44750</v>
      </c>
      <c r="B1650" s="7">
        <v>16273.65</v>
      </c>
      <c r="C1650" s="7">
        <v>16275.5</v>
      </c>
      <c r="D1650" s="7">
        <v>16157.9</v>
      </c>
      <c r="E1650" s="7">
        <v>16220.6</v>
      </c>
      <c r="F1650" s="7">
        <v>281102369</v>
      </c>
      <c r="G1650" s="42">
        <v>20990.69</v>
      </c>
    </row>
    <row r="1651" spans="1:7" ht="14.25" customHeight="1">
      <c r="A1651" s="41">
        <v>44753</v>
      </c>
      <c r="B1651" s="7">
        <v>16136.15</v>
      </c>
      <c r="C1651" s="7">
        <v>16248.55</v>
      </c>
      <c r="D1651" s="7">
        <v>16115.5</v>
      </c>
      <c r="E1651" s="7">
        <v>16216</v>
      </c>
      <c r="F1651" s="7">
        <v>255915072</v>
      </c>
      <c r="G1651" s="42">
        <v>20240.689999999999</v>
      </c>
    </row>
    <row r="1652" spans="1:7" ht="14.25" customHeight="1">
      <c r="A1652" s="41">
        <v>44754</v>
      </c>
      <c r="B1652" s="7">
        <v>16126.2</v>
      </c>
      <c r="C1652" s="7">
        <v>16158.75</v>
      </c>
      <c r="D1652" s="7">
        <v>16031.15</v>
      </c>
      <c r="E1652" s="7">
        <v>16058.3</v>
      </c>
      <c r="F1652" s="7">
        <v>208648707</v>
      </c>
      <c r="G1652" s="42">
        <v>16042.52</v>
      </c>
    </row>
    <row r="1653" spans="1:7" ht="14.25" customHeight="1">
      <c r="A1653" s="41">
        <v>44755</v>
      </c>
      <c r="B1653" s="7">
        <v>16128.2</v>
      </c>
      <c r="C1653" s="7">
        <v>16140</v>
      </c>
      <c r="D1653" s="7">
        <v>15950.15</v>
      </c>
      <c r="E1653" s="7">
        <v>15966.65</v>
      </c>
      <c r="F1653" s="7">
        <v>233264100</v>
      </c>
      <c r="G1653" s="42">
        <v>19649.66</v>
      </c>
    </row>
    <row r="1654" spans="1:7" ht="14.25" customHeight="1">
      <c r="A1654" s="41">
        <v>44756</v>
      </c>
      <c r="B1654" s="7">
        <v>16018.85</v>
      </c>
      <c r="C1654" s="7">
        <v>16070.85</v>
      </c>
      <c r="D1654" s="7">
        <v>15858.2</v>
      </c>
      <c r="E1654" s="7">
        <v>15938.65</v>
      </c>
      <c r="F1654" s="7">
        <v>228603433</v>
      </c>
      <c r="G1654" s="42">
        <v>18858.830000000002</v>
      </c>
    </row>
    <row r="1655" spans="1:7" ht="14.25" customHeight="1">
      <c r="A1655" s="41">
        <v>44757</v>
      </c>
      <c r="B1655" s="7">
        <v>16010.8</v>
      </c>
      <c r="C1655" s="7">
        <v>16066.95</v>
      </c>
      <c r="D1655" s="7">
        <v>15927.3</v>
      </c>
      <c r="E1655" s="7">
        <v>16049.2</v>
      </c>
      <c r="F1655" s="7">
        <v>205768079</v>
      </c>
      <c r="G1655" s="42">
        <v>17031.43</v>
      </c>
    </row>
    <row r="1656" spans="1:7" ht="14.25" customHeight="1">
      <c r="A1656" s="41">
        <v>44760</v>
      </c>
      <c r="B1656" s="7">
        <v>16151.4</v>
      </c>
      <c r="C1656" s="7">
        <v>16287.95</v>
      </c>
      <c r="D1656" s="7">
        <v>16142.2</v>
      </c>
      <c r="E1656" s="7">
        <v>16278.5</v>
      </c>
      <c r="F1656" s="7">
        <v>227744850</v>
      </c>
      <c r="G1656" s="42">
        <v>19420.93</v>
      </c>
    </row>
    <row r="1657" spans="1:7" ht="14.25" customHeight="1">
      <c r="A1657" s="41">
        <v>44761</v>
      </c>
      <c r="B1657" s="7">
        <v>16187.05</v>
      </c>
      <c r="C1657" s="7">
        <v>16359.5</v>
      </c>
      <c r="D1657" s="7">
        <v>16187.05</v>
      </c>
      <c r="E1657" s="7">
        <v>16340.55</v>
      </c>
      <c r="F1657" s="7">
        <v>222630928</v>
      </c>
      <c r="G1657" s="42">
        <v>18068.59</v>
      </c>
    </row>
    <row r="1658" spans="1:7" ht="14.25" customHeight="1">
      <c r="A1658" s="41">
        <v>44762</v>
      </c>
      <c r="B1658" s="7">
        <v>16562.8</v>
      </c>
      <c r="C1658" s="7">
        <v>16588</v>
      </c>
      <c r="D1658" s="7">
        <v>16490.95</v>
      </c>
      <c r="E1658" s="7">
        <v>16520.849999999999</v>
      </c>
      <c r="F1658" s="7">
        <v>284359582</v>
      </c>
      <c r="G1658" s="42">
        <v>22061.81</v>
      </c>
    </row>
    <row r="1659" spans="1:7" ht="14.25" customHeight="1">
      <c r="A1659" s="41">
        <v>44763</v>
      </c>
      <c r="B1659" s="7">
        <v>16523.55</v>
      </c>
      <c r="C1659" s="7">
        <v>16626.95</v>
      </c>
      <c r="D1659" s="7">
        <v>16483.900000000001</v>
      </c>
      <c r="E1659" s="7">
        <v>16605.25</v>
      </c>
      <c r="F1659" s="7">
        <v>243625339</v>
      </c>
      <c r="G1659" s="42">
        <v>20603.169999999998</v>
      </c>
    </row>
    <row r="1660" spans="1:7" ht="14.25" customHeight="1">
      <c r="A1660" s="41">
        <v>44764</v>
      </c>
      <c r="B1660" s="7">
        <v>16661.25</v>
      </c>
      <c r="C1660" s="7">
        <v>16752.25</v>
      </c>
      <c r="D1660" s="7">
        <v>16610.900000000001</v>
      </c>
      <c r="E1660" s="7">
        <v>16719.45</v>
      </c>
      <c r="F1660" s="7">
        <v>190906776</v>
      </c>
      <c r="G1660" s="42">
        <v>18600.11</v>
      </c>
    </row>
    <row r="1661" spans="1:7" ht="14.25" customHeight="1">
      <c r="A1661" s="41">
        <v>44767</v>
      </c>
      <c r="B1661" s="7">
        <v>16662.55</v>
      </c>
      <c r="C1661" s="7">
        <v>16706.05</v>
      </c>
      <c r="D1661" s="7">
        <v>16564.25</v>
      </c>
      <c r="E1661" s="7">
        <v>16631</v>
      </c>
      <c r="F1661" s="7">
        <v>211392171</v>
      </c>
      <c r="G1661" s="42">
        <v>19384.43</v>
      </c>
    </row>
    <row r="1662" spans="1:7" ht="14.25" customHeight="1">
      <c r="A1662" s="41">
        <v>44768</v>
      </c>
      <c r="B1662" s="7">
        <v>16632.900000000001</v>
      </c>
      <c r="C1662" s="7">
        <v>16636.099999999999</v>
      </c>
      <c r="D1662" s="7">
        <v>16463.3</v>
      </c>
      <c r="E1662" s="7">
        <v>16483.849999999999</v>
      </c>
      <c r="F1662" s="7">
        <v>208208122</v>
      </c>
      <c r="G1662" s="42">
        <v>20087.54</v>
      </c>
    </row>
    <row r="1663" spans="1:7" ht="14.25" customHeight="1">
      <c r="A1663" s="41">
        <v>44769</v>
      </c>
      <c r="B1663" s="7">
        <v>16475.349999999999</v>
      </c>
      <c r="C1663" s="7">
        <v>16653.45</v>
      </c>
      <c r="D1663" s="7">
        <v>16438.75</v>
      </c>
      <c r="E1663" s="7">
        <v>16641.8</v>
      </c>
      <c r="F1663" s="7">
        <v>185210970</v>
      </c>
      <c r="G1663" s="42">
        <v>17608.03</v>
      </c>
    </row>
    <row r="1664" spans="1:7" ht="14.25" customHeight="1">
      <c r="A1664" s="41">
        <v>44770</v>
      </c>
      <c r="B1664" s="7">
        <v>16774.849999999999</v>
      </c>
      <c r="C1664" s="7">
        <v>16947.650000000001</v>
      </c>
      <c r="D1664" s="7">
        <v>16746.25</v>
      </c>
      <c r="E1664" s="7">
        <v>16929.599999999999</v>
      </c>
      <c r="F1664" s="7">
        <v>376256315</v>
      </c>
      <c r="G1664" s="42">
        <v>26674.28</v>
      </c>
    </row>
    <row r="1665" spans="1:7" ht="14.25" customHeight="1">
      <c r="A1665" s="41">
        <v>44771</v>
      </c>
      <c r="B1665" s="7">
        <v>17079.5</v>
      </c>
      <c r="C1665" s="7">
        <v>17172.8</v>
      </c>
      <c r="D1665" s="7">
        <v>17018.150000000001</v>
      </c>
      <c r="E1665" s="7">
        <v>17158.25</v>
      </c>
      <c r="F1665" s="7">
        <v>436059722</v>
      </c>
      <c r="G1665" s="42">
        <v>28241.29</v>
      </c>
    </row>
    <row r="1666" spans="1:7" ht="14.25" customHeight="1">
      <c r="A1666" s="41">
        <v>44774</v>
      </c>
      <c r="B1666" s="7">
        <v>17243.2</v>
      </c>
      <c r="C1666" s="7">
        <v>17356.25</v>
      </c>
      <c r="D1666" s="7">
        <v>17154.8</v>
      </c>
      <c r="E1666" s="7">
        <v>17340.05</v>
      </c>
      <c r="F1666" s="7">
        <v>381532671</v>
      </c>
      <c r="G1666" s="42">
        <v>23221.040000000001</v>
      </c>
    </row>
    <row r="1667" spans="1:7" ht="14.25" customHeight="1">
      <c r="A1667" s="41">
        <v>44775</v>
      </c>
      <c r="B1667" s="7">
        <v>17310.150000000001</v>
      </c>
      <c r="C1667" s="7">
        <v>17390.150000000001</v>
      </c>
      <c r="D1667" s="7">
        <v>17215.849999999999</v>
      </c>
      <c r="E1667" s="7">
        <v>17345.45</v>
      </c>
      <c r="F1667" s="7">
        <v>333639093</v>
      </c>
      <c r="G1667" s="42">
        <v>22576.94</v>
      </c>
    </row>
    <row r="1668" spans="1:7" ht="14.25" customHeight="1">
      <c r="A1668" s="41">
        <v>44776</v>
      </c>
      <c r="B1668" s="7">
        <v>17349.25</v>
      </c>
      <c r="C1668" s="7">
        <v>17407.5</v>
      </c>
      <c r="D1668" s="7">
        <v>17225.849999999999</v>
      </c>
      <c r="E1668" s="7">
        <v>17388.150000000001</v>
      </c>
      <c r="F1668" s="7">
        <v>285414666</v>
      </c>
      <c r="G1668" s="42">
        <v>20842.13</v>
      </c>
    </row>
    <row r="1669" spans="1:7" ht="14.25" customHeight="1">
      <c r="A1669" s="41">
        <v>44777</v>
      </c>
      <c r="B1669" s="7">
        <v>17463.099999999999</v>
      </c>
      <c r="C1669" s="7">
        <v>17490.7</v>
      </c>
      <c r="D1669" s="7">
        <v>17161.25</v>
      </c>
      <c r="E1669" s="7">
        <v>17382</v>
      </c>
      <c r="F1669" s="7">
        <v>324981426</v>
      </c>
      <c r="G1669" s="42">
        <v>21848.21</v>
      </c>
    </row>
    <row r="1670" spans="1:7" ht="14.25" customHeight="1">
      <c r="A1670" s="41">
        <v>44778</v>
      </c>
      <c r="B1670" s="7">
        <v>17423.650000000001</v>
      </c>
      <c r="C1670" s="7">
        <v>17474.400000000001</v>
      </c>
      <c r="D1670" s="7">
        <v>17348.75</v>
      </c>
      <c r="E1670" s="7">
        <v>17397.5</v>
      </c>
      <c r="F1670" s="7">
        <v>355310802</v>
      </c>
      <c r="G1670" s="42">
        <v>20013.14</v>
      </c>
    </row>
    <row r="1671" spans="1:7" ht="14.25" customHeight="1">
      <c r="A1671" s="41">
        <v>44781</v>
      </c>
      <c r="B1671" s="7">
        <v>17401.5</v>
      </c>
      <c r="C1671" s="7">
        <v>17548.8</v>
      </c>
      <c r="D1671" s="7">
        <v>17359.75</v>
      </c>
      <c r="E1671" s="7">
        <v>17525.099999999999</v>
      </c>
      <c r="F1671" s="7">
        <v>256994113</v>
      </c>
      <c r="G1671" s="42">
        <v>18475.21</v>
      </c>
    </row>
    <row r="1672" spans="1:7" ht="14.25" customHeight="1">
      <c r="A1672" s="41">
        <v>44783</v>
      </c>
      <c r="B1672" s="7">
        <v>17566.099999999999</v>
      </c>
      <c r="C1672" s="7">
        <v>17566.099999999999</v>
      </c>
      <c r="D1672" s="7">
        <v>17442.8</v>
      </c>
      <c r="E1672" s="7">
        <v>17534.75</v>
      </c>
      <c r="F1672" s="7">
        <v>312716544</v>
      </c>
      <c r="G1672" s="42">
        <v>21952.35</v>
      </c>
    </row>
    <row r="1673" spans="1:7" ht="14.25" customHeight="1">
      <c r="A1673" s="41">
        <v>44784</v>
      </c>
      <c r="B1673" s="7">
        <v>17711.650000000001</v>
      </c>
      <c r="C1673" s="7">
        <v>17719.3</v>
      </c>
      <c r="D1673" s="7">
        <v>17631.95</v>
      </c>
      <c r="E1673" s="7">
        <v>17659</v>
      </c>
      <c r="F1673" s="7">
        <v>311247237</v>
      </c>
      <c r="G1673" s="42">
        <v>20476.53</v>
      </c>
    </row>
    <row r="1674" spans="1:7" ht="14.25" customHeight="1">
      <c r="A1674" s="41">
        <v>44785</v>
      </c>
      <c r="B1674" s="7">
        <v>17659.650000000001</v>
      </c>
      <c r="C1674" s="7">
        <v>17724.650000000001</v>
      </c>
      <c r="D1674" s="7">
        <v>17597.849999999999</v>
      </c>
      <c r="E1674" s="7">
        <v>17698.150000000001</v>
      </c>
      <c r="F1674" s="7">
        <v>303872483</v>
      </c>
      <c r="G1674" s="42">
        <v>18422.47</v>
      </c>
    </row>
    <row r="1675" spans="1:7" ht="14.25" customHeight="1">
      <c r="A1675" s="41">
        <v>44789</v>
      </c>
      <c r="B1675" s="7">
        <v>17797.2</v>
      </c>
      <c r="C1675" s="7">
        <v>17839.099999999999</v>
      </c>
      <c r="D1675" s="7">
        <v>17764.05</v>
      </c>
      <c r="E1675" s="7">
        <v>17825.25</v>
      </c>
      <c r="F1675" s="7">
        <v>278042725</v>
      </c>
      <c r="G1675" s="42">
        <v>18495.27</v>
      </c>
    </row>
    <row r="1676" spans="1:7" ht="14.25" customHeight="1">
      <c r="A1676" s="41">
        <v>44790</v>
      </c>
      <c r="B1676" s="7">
        <v>17868.150000000001</v>
      </c>
      <c r="C1676" s="7">
        <v>17965.95</v>
      </c>
      <c r="D1676" s="7">
        <v>17833.349999999999</v>
      </c>
      <c r="E1676" s="7">
        <v>17944.25</v>
      </c>
      <c r="F1676" s="7">
        <v>262768582</v>
      </c>
      <c r="G1676" s="42">
        <v>21209.54</v>
      </c>
    </row>
    <row r="1677" spans="1:7" ht="14.25" customHeight="1">
      <c r="A1677" s="41">
        <v>44791</v>
      </c>
      <c r="B1677" s="7">
        <v>17898.650000000001</v>
      </c>
      <c r="C1677" s="7">
        <v>17968.45</v>
      </c>
      <c r="D1677" s="7">
        <v>17852.05</v>
      </c>
      <c r="E1677" s="7">
        <v>17956.5</v>
      </c>
      <c r="F1677" s="7">
        <v>263914197</v>
      </c>
      <c r="G1677" s="42">
        <v>18441.68</v>
      </c>
    </row>
    <row r="1678" spans="1:7" ht="14.25" customHeight="1">
      <c r="A1678" s="41">
        <v>44792</v>
      </c>
      <c r="B1678" s="7">
        <v>17966.55</v>
      </c>
      <c r="C1678" s="7">
        <v>17992.2</v>
      </c>
      <c r="D1678" s="7">
        <v>17710.75</v>
      </c>
      <c r="E1678" s="7">
        <v>17758.45</v>
      </c>
      <c r="F1678" s="7">
        <v>295627263</v>
      </c>
      <c r="G1678" s="42">
        <v>21531.99</v>
      </c>
    </row>
    <row r="1679" spans="1:7" ht="14.25" customHeight="1">
      <c r="A1679" s="41">
        <v>44795</v>
      </c>
      <c r="B1679" s="7">
        <v>17682.900000000001</v>
      </c>
      <c r="C1679" s="7">
        <v>17690.05</v>
      </c>
      <c r="D1679" s="7">
        <v>17467.349999999999</v>
      </c>
      <c r="E1679" s="7">
        <v>17490.7</v>
      </c>
      <c r="F1679" s="7">
        <v>287559133</v>
      </c>
      <c r="G1679" s="42">
        <v>19605.439999999999</v>
      </c>
    </row>
    <row r="1680" spans="1:7" ht="14.25" customHeight="1">
      <c r="A1680" s="41">
        <v>44796</v>
      </c>
      <c r="B1680" s="7">
        <v>17357.349999999999</v>
      </c>
      <c r="C1680" s="7">
        <v>17625.55</v>
      </c>
      <c r="D1680" s="7">
        <v>17345.2</v>
      </c>
      <c r="E1680" s="7">
        <v>17577.5</v>
      </c>
      <c r="F1680" s="7">
        <v>285616338</v>
      </c>
      <c r="G1680" s="42">
        <v>20365.8</v>
      </c>
    </row>
    <row r="1681" spans="1:7" ht="14.25" customHeight="1">
      <c r="A1681" s="41">
        <v>44797</v>
      </c>
      <c r="B1681" s="7">
        <v>17525.45</v>
      </c>
      <c r="C1681" s="7">
        <v>17623.650000000001</v>
      </c>
      <c r="D1681" s="7">
        <v>17499.25</v>
      </c>
      <c r="E1681" s="7">
        <v>17604.95</v>
      </c>
      <c r="F1681" s="7">
        <v>261953239</v>
      </c>
      <c r="G1681" s="42">
        <v>17819.88</v>
      </c>
    </row>
    <row r="1682" spans="1:7" ht="14.25" customHeight="1">
      <c r="A1682" s="41">
        <v>44798</v>
      </c>
      <c r="B1682" s="7">
        <v>17679</v>
      </c>
      <c r="C1682" s="7">
        <v>17726.5</v>
      </c>
      <c r="D1682" s="7">
        <v>17487.45</v>
      </c>
      <c r="E1682" s="7">
        <v>17522.45</v>
      </c>
      <c r="F1682" s="7">
        <v>230181848</v>
      </c>
      <c r="G1682" s="42">
        <v>17566.7</v>
      </c>
    </row>
    <row r="1683" spans="1:7" ht="14.25" customHeight="1">
      <c r="A1683" s="41">
        <v>44799</v>
      </c>
      <c r="B1683" s="7">
        <v>17619.3</v>
      </c>
      <c r="C1683" s="7">
        <v>17685.849999999999</v>
      </c>
      <c r="D1683" s="7">
        <v>17519.349999999999</v>
      </c>
      <c r="E1683" s="7">
        <v>17558.900000000001</v>
      </c>
      <c r="F1683" s="7">
        <v>266636238</v>
      </c>
      <c r="G1683" s="42">
        <v>17500.8</v>
      </c>
    </row>
    <row r="1684" spans="1:7" ht="14.25" customHeight="1">
      <c r="A1684" s="41">
        <v>44802</v>
      </c>
      <c r="B1684" s="7">
        <v>17188.650000000001</v>
      </c>
      <c r="C1684" s="7">
        <v>17380.150000000001</v>
      </c>
      <c r="D1684" s="7">
        <v>17166.2</v>
      </c>
      <c r="E1684" s="7">
        <v>17312.900000000001</v>
      </c>
      <c r="F1684" s="7">
        <v>244854637</v>
      </c>
      <c r="G1684" s="42">
        <v>19351.5</v>
      </c>
    </row>
    <row r="1685" spans="1:7" ht="14.25" customHeight="1">
      <c r="A1685" s="41">
        <v>44803</v>
      </c>
      <c r="B1685" s="7">
        <v>17414.95</v>
      </c>
      <c r="C1685" s="7">
        <v>17777.650000000001</v>
      </c>
      <c r="D1685" s="7">
        <v>17401.5</v>
      </c>
      <c r="E1685" s="7">
        <v>17759.3</v>
      </c>
      <c r="F1685" s="7">
        <v>324687477</v>
      </c>
      <c r="G1685" s="42">
        <v>26284.26</v>
      </c>
    </row>
    <row r="1686" spans="1:7" ht="14.25" customHeight="1">
      <c r="A1686" s="41">
        <v>44805</v>
      </c>
      <c r="B1686" s="7">
        <v>17485.7</v>
      </c>
      <c r="C1686" s="7">
        <v>17695.599999999999</v>
      </c>
      <c r="D1686" s="7">
        <v>17468.45</v>
      </c>
      <c r="E1686" s="7">
        <v>17542.8</v>
      </c>
      <c r="F1686" s="7">
        <v>308526598</v>
      </c>
      <c r="G1686" s="42">
        <v>26813.95</v>
      </c>
    </row>
    <row r="1687" spans="1:7" ht="14.25" customHeight="1">
      <c r="A1687" s="41">
        <v>44806</v>
      </c>
      <c r="B1687" s="7">
        <v>17598.400000000001</v>
      </c>
      <c r="C1687" s="7">
        <v>17643.849999999999</v>
      </c>
      <c r="D1687" s="7">
        <v>17476.45</v>
      </c>
      <c r="E1687" s="7">
        <v>17539.45</v>
      </c>
      <c r="F1687" s="7">
        <v>256268616</v>
      </c>
      <c r="G1687" s="42">
        <v>19548.88</v>
      </c>
    </row>
    <row r="1688" spans="1:7" ht="14.25" customHeight="1">
      <c r="A1688" s="41">
        <v>44809</v>
      </c>
      <c r="B1688" s="7">
        <v>17546.45</v>
      </c>
      <c r="C1688" s="7">
        <v>17683.150000000001</v>
      </c>
      <c r="D1688" s="7">
        <v>17540.349999999999</v>
      </c>
      <c r="E1688" s="7">
        <v>17665.8</v>
      </c>
      <c r="F1688" s="7">
        <v>230309013</v>
      </c>
      <c r="G1688" s="42">
        <v>17011.259999999998</v>
      </c>
    </row>
    <row r="1689" spans="1:7" ht="14.25" customHeight="1">
      <c r="A1689" s="41">
        <v>44810</v>
      </c>
      <c r="B1689" s="7">
        <v>17695.7</v>
      </c>
      <c r="C1689" s="7">
        <v>17764.650000000001</v>
      </c>
      <c r="D1689" s="7">
        <v>17587.650000000001</v>
      </c>
      <c r="E1689" s="7">
        <v>17655.599999999999</v>
      </c>
      <c r="F1689" s="7">
        <v>251204527</v>
      </c>
      <c r="G1689" s="42">
        <v>17521.09</v>
      </c>
    </row>
    <row r="1690" spans="1:7" ht="14.25" customHeight="1">
      <c r="A1690" s="41">
        <v>44811</v>
      </c>
      <c r="B1690" s="7">
        <v>17519.400000000001</v>
      </c>
      <c r="C1690" s="7">
        <v>17650.75</v>
      </c>
      <c r="D1690" s="7">
        <v>17484.3</v>
      </c>
      <c r="E1690" s="7">
        <v>17624.400000000001</v>
      </c>
      <c r="F1690" s="7">
        <v>354137885</v>
      </c>
      <c r="G1690" s="42">
        <v>25419.5</v>
      </c>
    </row>
    <row r="1691" spans="1:7" ht="14.25" customHeight="1">
      <c r="A1691" s="41">
        <v>44812</v>
      </c>
      <c r="B1691" s="7">
        <v>17748.150000000001</v>
      </c>
      <c r="C1691" s="7">
        <v>17807.650000000001</v>
      </c>
      <c r="D1691" s="7">
        <v>17691.95</v>
      </c>
      <c r="E1691" s="7">
        <v>17798.75</v>
      </c>
      <c r="F1691" s="7">
        <v>279845682</v>
      </c>
      <c r="G1691" s="42">
        <v>19925.25</v>
      </c>
    </row>
    <row r="1692" spans="1:7" ht="14.25" customHeight="1">
      <c r="A1692" s="41">
        <v>44813</v>
      </c>
      <c r="B1692" s="7">
        <v>17923.349999999999</v>
      </c>
      <c r="C1692" s="7">
        <v>17925.95</v>
      </c>
      <c r="D1692" s="7">
        <v>17786</v>
      </c>
      <c r="E1692" s="7">
        <v>17833.349999999999</v>
      </c>
      <c r="F1692" s="7">
        <v>270299618</v>
      </c>
      <c r="G1692" s="42">
        <v>20564.060000000001</v>
      </c>
    </row>
    <row r="1693" spans="1:7" ht="14.25" customHeight="1">
      <c r="A1693" s="41">
        <v>44816</v>
      </c>
      <c r="B1693" s="7">
        <v>17890.849999999999</v>
      </c>
      <c r="C1693" s="7">
        <v>17980.55</v>
      </c>
      <c r="D1693" s="7">
        <v>17889.150000000001</v>
      </c>
      <c r="E1693" s="7">
        <v>17936.349999999999</v>
      </c>
      <c r="F1693" s="7">
        <v>228242025</v>
      </c>
      <c r="G1693" s="42">
        <v>17648.169999999998</v>
      </c>
    </row>
    <row r="1694" spans="1:7" ht="14.25" customHeight="1">
      <c r="A1694" s="41">
        <v>44817</v>
      </c>
      <c r="B1694" s="7">
        <v>18044.45</v>
      </c>
      <c r="C1694" s="7">
        <v>18088.3</v>
      </c>
      <c r="D1694" s="7">
        <v>18015.45</v>
      </c>
      <c r="E1694" s="7">
        <v>18070.05</v>
      </c>
      <c r="F1694" s="7">
        <v>259922741</v>
      </c>
      <c r="G1694" s="42">
        <v>21039.08</v>
      </c>
    </row>
    <row r="1695" spans="1:7" ht="14.25" customHeight="1">
      <c r="A1695" s="41">
        <v>44818</v>
      </c>
      <c r="B1695" s="7">
        <v>17771.150000000001</v>
      </c>
      <c r="C1695" s="7">
        <v>18091.55</v>
      </c>
      <c r="D1695" s="7">
        <v>17771.150000000001</v>
      </c>
      <c r="E1695" s="7">
        <v>18003.75</v>
      </c>
      <c r="F1695" s="7">
        <v>365866933</v>
      </c>
      <c r="G1695" s="42">
        <v>26611.96</v>
      </c>
    </row>
    <row r="1696" spans="1:7" ht="14.25" customHeight="1">
      <c r="A1696" s="41">
        <v>44819</v>
      </c>
      <c r="B1696" s="7">
        <v>18046.349999999999</v>
      </c>
      <c r="C1696" s="7">
        <v>18096.150000000001</v>
      </c>
      <c r="D1696" s="7">
        <v>17861.5</v>
      </c>
      <c r="E1696" s="7">
        <v>17877.400000000001</v>
      </c>
      <c r="F1696" s="7">
        <v>289637528</v>
      </c>
      <c r="G1696" s="42">
        <v>22007.78</v>
      </c>
    </row>
    <row r="1697" spans="1:7" ht="14.25" customHeight="1">
      <c r="A1697" s="41">
        <v>44820</v>
      </c>
      <c r="B1697" s="7">
        <v>17796.8</v>
      </c>
      <c r="C1697" s="7">
        <v>17820.05</v>
      </c>
      <c r="D1697" s="7">
        <v>17497.25</v>
      </c>
      <c r="E1697" s="7">
        <v>17530.849999999999</v>
      </c>
      <c r="F1697" s="7">
        <v>468464263</v>
      </c>
      <c r="G1697" s="42">
        <v>36013.89</v>
      </c>
    </row>
    <row r="1698" spans="1:7" ht="14.25" customHeight="1">
      <c r="A1698" s="41">
        <v>44823</v>
      </c>
      <c r="B1698" s="7">
        <v>17540.650000000001</v>
      </c>
      <c r="C1698" s="7">
        <v>17667.2</v>
      </c>
      <c r="D1698" s="7">
        <v>17429.7</v>
      </c>
      <c r="E1698" s="7">
        <v>17622.25</v>
      </c>
      <c r="F1698" s="7">
        <v>258329581</v>
      </c>
      <c r="G1698" s="42">
        <v>19548.990000000002</v>
      </c>
    </row>
    <row r="1699" spans="1:7" ht="14.25" customHeight="1">
      <c r="A1699" s="41">
        <v>44824</v>
      </c>
      <c r="B1699" s="7">
        <v>17770.400000000001</v>
      </c>
      <c r="C1699" s="7">
        <v>17919.3</v>
      </c>
      <c r="D1699" s="7">
        <v>17744.400000000001</v>
      </c>
      <c r="E1699" s="7">
        <v>17816.25</v>
      </c>
      <c r="F1699" s="7">
        <v>263100874</v>
      </c>
      <c r="G1699" s="42">
        <v>20456.689999999999</v>
      </c>
    </row>
    <row r="1700" spans="1:7" ht="14.25" customHeight="1">
      <c r="A1700" s="41">
        <v>44825</v>
      </c>
      <c r="B1700" s="7">
        <v>17766.349999999999</v>
      </c>
      <c r="C1700" s="7">
        <v>17838.7</v>
      </c>
      <c r="D1700" s="7">
        <v>17663.599999999999</v>
      </c>
      <c r="E1700" s="7">
        <v>17718.349999999999</v>
      </c>
      <c r="F1700" s="7">
        <v>245532498</v>
      </c>
      <c r="G1700" s="42">
        <v>19816.78</v>
      </c>
    </row>
    <row r="1701" spans="1:7" ht="14.25" customHeight="1">
      <c r="A1701" s="41">
        <v>44826</v>
      </c>
      <c r="B1701" s="7">
        <v>17609.650000000001</v>
      </c>
      <c r="C1701" s="7">
        <v>17722.75</v>
      </c>
      <c r="D1701" s="7">
        <v>17532.45</v>
      </c>
      <c r="E1701" s="7">
        <v>17629.8</v>
      </c>
      <c r="F1701" s="7">
        <v>284094023</v>
      </c>
      <c r="G1701" s="42">
        <v>21303.96</v>
      </c>
    </row>
    <row r="1702" spans="1:7" ht="14.25" customHeight="1">
      <c r="A1702" s="41">
        <v>44827</v>
      </c>
      <c r="B1702" s="7">
        <v>17593.849999999999</v>
      </c>
      <c r="C1702" s="7">
        <v>17642.150000000001</v>
      </c>
      <c r="D1702" s="7">
        <v>17291.650000000001</v>
      </c>
      <c r="E1702" s="7">
        <v>17327.349999999999</v>
      </c>
      <c r="F1702" s="7">
        <v>390754862</v>
      </c>
      <c r="G1702" s="42">
        <v>23750.53</v>
      </c>
    </row>
    <row r="1703" spans="1:7" ht="14.25" customHeight="1">
      <c r="A1703" s="41">
        <v>44830</v>
      </c>
      <c r="B1703" s="7">
        <v>17156.3</v>
      </c>
      <c r="C1703" s="7">
        <v>17196.400000000001</v>
      </c>
      <c r="D1703" s="7">
        <v>16978.3</v>
      </c>
      <c r="E1703" s="7">
        <v>17016.3</v>
      </c>
      <c r="F1703" s="7">
        <v>492002942</v>
      </c>
      <c r="G1703" s="42">
        <v>27533.01</v>
      </c>
    </row>
    <row r="1704" spans="1:7" ht="14.25" customHeight="1">
      <c r="A1704" s="41">
        <v>44831</v>
      </c>
      <c r="B1704" s="7">
        <v>17110.900000000001</v>
      </c>
      <c r="C1704" s="7">
        <v>17176.45</v>
      </c>
      <c r="D1704" s="7">
        <v>16942.349999999999</v>
      </c>
      <c r="E1704" s="7">
        <v>17007.400000000001</v>
      </c>
      <c r="F1704" s="7">
        <v>359895458</v>
      </c>
      <c r="G1704" s="42">
        <v>22712.799999999999</v>
      </c>
    </row>
    <row r="1705" spans="1:7" ht="14.25" customHeight="1">
      <c r="A1705" s="41">
        <v>44832</v>
      </c>
      <c r="B1705" s="7">
        <v>16870.55</v>
      </c>
      <c r="C1705" s="7">
        <v>17037.599999999999</v>
      </c>
      <c r="D1705" s="7">
        <v>16820.400000000001</v>
      </c>
      <c r="E1705" s="7">
        <v>16858.599999999999</v>
      </c>
      <c r="F1705" s="7">
        <v>323922457</v>
      </c>
      <c r="G1705" s="42">
        <v>21400.93</v>
      </c>
    </row>
    <row r="1706" spans="1:7" ht="14.25" customHeight="1">
      <c r="A1706" s="41">
        <v>44833</v>
      </c>
      <c r="B1706" s="7">
        <v>16993.599999999999</v>
      </c>
      <c r="C1706" s="7">
        <v>17026.05</v>
      </c>
      <c r="D1706" s="7">
        <v>16788.599999999999</v>
      </c>
      <c r="E1706" s="7">
        <v>16818.099999999999</v>
      </c>
      <c r="F1706" s="7">
        <v>340034380</v>
      </c>
      <c r="G1706" s="42">
        <v>24758.63</v>
      </c>
    </row>
    <row r="1707" spans="1:7" ht="14.25" customHeight="1">
      <c r="A1707" s="41">
        <v>44834</v>
      </c>
      <c r="B1707" s="7">
        <v>16798.05</v>
      </c>
      <c r="C1707" s="7">
        <v>17187.099999999999</v>
      </c>
      <c r="D1707" s="7">
        <v>16747.7</v>
      </c>
      <c r="E1707" s="7">
        <v>17094.349999999999</v>
      </c>
      <c r="F1707" s="7">
        <v>380204763</v>
      </c>
      <c r="G1707" s="42">
        <v>26205.63</v>
      </c>
    </row>
    <row r="1708" spans="1:7" ht="14.25" customHeight="1">
      <c r="A1708" s="41">
        <v>44837</v>
      </c>
      <c r="B1708" s="7">
        <v>17102.099999999999</v>
      </c>
      <c r="C1708" s="7">
        <v>17114.650000000001</v>
      </c>
      <c r="D1708" s="7">
        <v>16855.55</v>
      </c>
      <c r="E1708" s="7">
        <v>16887.349999999999</v>
      </c>
      <c r="F1708" s="7">
        <v>285850587</v>
      </c>
      <c r="G1708" s="42">
        <v>21860.54</v>
      </c>
    </row>
    <row r="1709" spans="1:7" ht="14.25" customHeight="1">
      <c r="A1709" s="41">
        <v>44838</v>
      </c>
      <c r="B1709" s="7">
        <v>17147.45</v>
      </c>
      <c r="C1709" s="7">
        <v>17287.3</v>
      </c>
      <c r="D1709" s="7">
        <v>17117.3</v>
      </c>
      <c r="E1709" s="7">
        <v>17274.3</v>
      </c>
      <c r="F1709" s="7">
        <v>231601639</v>
      </c>
      <c r="G1709" s="42">
        <v>18480.43</v>
      </c>
    </row>
    <row r="1710" spans="1:7" ht="14.25" customHeight="1">
      <c r="A1710" s="41">
        <v>44840</v>
      </c>
      <c r="B1710" s="7">
        <v>17379.25</v>
      </c>
      <c r="C1710" s="7">
        <v>17428.8</v>
      </c>
      <c r="D1710" s="7">
        <v>17315.650000000001</v>
      </c>
      <c r="E1710" s="7">
        <v>17331.8</v>
      </c>
      <c r="F1710" s="7">
        <v>268239320</v>
      </c>
      <c r="G1710" s="42">
        <v>20404.46</v>
      </c>
    </row>
    <row r="1711" spans="1:7" ht="14.25" customHeight="1">
      <c r="A1711" s="41">
        <v>44841</v>
      </c>
      <c r="B1711" s="7">
        <v>17287.2</v>
      </c>
      <c r="C1711" s="7">
        <v>17337.349999999999</v>
      </c>
      <c r="D1711" s="7">
        <v>17216.95</v>
      </c>
      <c r="E1711" s="7">
        <v>17314.650000000001</v>
      </c>
      <c r="F1711" s="7">
        <v>216273136</v>
      </c>
      <c r="G1711" s="42">
        <v>17043.259999999998</v>
      </c>
    </row>
    <row r="1712" spans="1:7" ht="14.25" customHeight="1">
      <c r="A1712" s="41">
        <v>44844</v>
      </c>
      <c r="B1712" s="7">
        <v>17094.349999999999</v>
      </c>
      <c r="C1712" s="7">
        <v>17280.150000000001</v>
      </c>
      <c r="D1712" s="7">
        <v>17064.7</v>
      </c>
      <c r="E1712" s="7">
        <v>17241</v>
      </c>
      <c r="F1712" s="7">
        <v>234005512</v>
      </c>
      <c r="G1712" s="42">
        <v>16220.67</v>
      </c>
    </row>
    <row r="1713" spans="1:7" ht="14.25" customHeight="1">
      <c r="A1713" s="41">
        <v>44845</v>
      </c>
      <c r="B1713" s="7">
        <v>17256.05</v>
      </c>
      <c r="C1713" s="7">
        <v>17261.8</v>
      </c>
      <c r="D1713" s="7">
        <v>16950.3</v>
      </c>
      <c r="E1713" s="7">
        <v>16983.55</v>
      </c>
      <c r="F1713" s="7">
        <v>282617982</v>
      </c>
      <c r="G1713" s="42">
        <v>22178.37</v>
      </c>
    </row>
    <row r="1714" spans="1:7" ht="14.25" customHeight="1">
      <c r="A1714" s="41">
        <v>44846</v>
      </c>
      <c r="B1714" s="7">
        <v>17025.55</v>
      </c>
      <c r="C1714" s="7">
        <v>17142.349999999999</v>
      </c>
      <c r="D1714" s="7">
        <v>16960.05</v>
      </c>
      <c r="E1714" s="7">
        <v>17123.599999999999</v>
      </c>
      <c r="F1714" s="7">
        <v>256037322</v>
      </c>
      <c r="G1714" s="42">
        <v>18098.41</v>
      </c>
    </row>
    <row r="1715" spans="1:7" ht="14.25" customHeight="1">
      <c r="A1715" s="41">
        <v>44847</v>
      </c>
      <c r="B1715" s="7">
        <v>17087.349999999999</v>
      </c>
      <c r="C1715" s="7">
        <v>17112.349999999999</v>
      </c>
      <c r="D1715" s="7">
        <v>16956.95</v>
      </c>
      <c r="E1715" s="7">
        <v>17014.349999999999</v>
      </c>
      <c r="F1715" s="7">
        <v>266438674</v>
      </c>
      <c r="G1715" s="42">
        <v>18189.64</v>
      </c>
    </row>
    <row r="1716" spans="1:7" ht="14.25" customHeight="1">
      <c r="A1716" s="41">
        <v>44848</v>
      </c>
      <c r="B1716" s="7">
        <v>17322.3</v>
      </c>
      <c r="C1716" s="7">
        <v>17348.55</v>
      </c>
      <c r="D1716" s="7">
        <v>17169.75</v>
      </c>
      <c r="E1716" s="7">
        <v>17185.7</v>
      </c>
      <c r="F1716" s="7">
        <v>226997138</v>
      </c>
      <c r="G1716" s="42">
        <v>17813.47</v>
      </c>
    </row>
    <row r="1717" spans="1:7" ht="14.25" customHeight="1">
      <c r="A1717" s="41">
        <v>44851</v>
      </c>
      <c r="B1717" s="7">
        <v>17144.8</v>
      </c>
      <c r="C1717" s="7">
        <v>17328.55</v>
      </c>
      <c r="D1717" s="7">
        <v>17098.55</v>
      </c>
      <c r="E1717" s="7">
        <v>17311.8</v>
      </c>
      <c r="F1717" s="7">
        <v>212223419</v>
      </c>
      <c r="G1717" s="42">
        <v>16887.830000000002</v>
      </c>
    </row>
    <row r="1718" spans="1:7" ht="14.25" customHeight="1">
      <c r="A1718" s="41">
        <v>44852</v>
      </c>
      <c r="B1718" s="7">
        <v>17438.75</v>
      </c>
      <c r="C1718" s="7">
        <v>17527.8</v>
      </c>
      <c r="D1718" s="7">
        <v>17434.05</v>
      </c>
      <c r="E1718" s="7">
        <v>17486.95</v>
      </c>
      <c r="F1718" s="7">
        <v>239493630</v>
      </c>
      <c r="G1718" s="42">
        <v>18224.95</v>
      </c>
    </row>
    <row r="1719" spans="1:7" ht="14.25" customHeight="1">
      <c r="A1719" s="41">
        <v>44853</v>
      </c>
      <c r="B1719" s="7">
        <v>17568.150000000001</v>
      </c>
      <c r="C1719" s="7">
        <v>17607.599999999999</v>
      </c>
      <c r="D1719" s="7">
        <v>17472.849999999999</v>
      </c>
      <c r="E1719" s="7">
        <v>17512.25</v>
      </c>
      <c r="F1719" s="7">
        <v>210480869</v>
      </c>
      <c r="G1719" s="42">
        <v>17200.79</v>
      </c>
    </row>
    <row r="1720" spans="1:7" ht="14.25" customHeight="1">
      <c r="A1720" s="41">
        <v>44854</v>
      </c>
      <c r="B1720" s="7">
        <v>17423.099999999999</v>
      </c>
      <c r="C1720" s="7">
        <v>17584.150000000001</v>
      </c>
      <c r="D1720" s="7">
        <v>17421</v>
      </c>
      <c r="E1720" s="7">
        <v>17563.95</v>
      </c>
      <c r="F1720" s="7">
        <v>249604832</v>
      </c>
      <c r="G1720" s="42">
        <v>18345.599999999999</v>
      </c>
    </row>
    <row r="1721" spans="1:7" ht="14.25" customHeight="1">
      <c r="A1721" s="41">
        <v>44855</v>
      </c>
      <c r="B1721" s="7">
        <v>17622.849999999999</v>
      </c>
      <c r="C1721" s="7">
        <v>17670.150000000001</v>
      </c>
      <c r="D1721" s="7">
        <v>17520.75</v>
      </c>
      <c r="E1721" s="7">
        <v>17576.3</v>
      </c>
      <c r="F1721" s="7">
        <v>277702680</v>
      </c>
      <c r="G1721" s="42">
        <v>23547.38</v>
      </c>
    </row>
    <row r="1722" spans="1:7" ht="14.25" customHeight="1">
      <c r="A1722" s="41">
        <v>44858</v>
      </c>
      <c r="B1722" s="7">
        <v>17736.349999999999</v>
      </c>
      <c r="C1722" s="7">
        <v>17777.55</v>
      </c>
      <c r="D1722" s="7">
        <v>17707.400000000001</v>
      </c>
      <c r="E1722" s="7">
        <v>17730.75</v>
      </c>
      <c r="F1722" s="7">
        <v>45029477</v>
      </c>
      <c r="G1722" s="42">
        <v>3772.49</v>
      </c>
    </row>
    <row r="1723" spans="1:7" ht="14.25" customHeight="1">
      <c r="A1723" s="41">
        <v>44859</v>
      </c>
      <c r="B1723" s="7">
        <v>17808.3</v>
      </c>
      <c r="C1723" s="7">
        <v>17811.5</v>
      </c>
      <c r="D1723" s="7">
        <v>17637</v>
      </c>
      <c r="E1723" s="7">
        <v>17656.349999999999</v>
      </c>
      <c r="F1723" s="7">
        <v>251358203</v>
      </c>
      <c r="G1723" s="42">
        <v>20338.32</v>
      </c>
    </row>
    <row r="1724" spans="1:7" ht="14.25" customHeight="1">
      <c r="A1724" s="41">
        <v>44861</v>
      </c>
      <c r="B1724" s="7">
        <v>17771.400000000001</v>
      </c>
      <c r="C1724" s="7">
        <v>17783.900000000001</v>
      </c>
      <c r="D1724" s="7">
        <v>17654.5</v>
      </c>
      <c r="E1724" s="7">
        <v>17736.95</v>
      </c>
      <c r="F1724" s="7">
        <v>324649088</v>
      </c>
      <c r="G1724" s="42">
        <v>24166.3</v>
      </c>
    </row>
    <row r="1725" spans="1:7" ht="14.25" customHeight="1">
      <c r="A1725" s="41">
        <v>44862</v>
      </c>
      <c r="B1725" s="7">
        <v>17756.400000000001</v>
      </c>
      <c r="C1725" s="7">
        <v>17838.900000000001</v>
      </c>
      <c r="D1725" s="7">
        <v>17723.7</v>
      </c>
      <c r="E1725" s="7">
        <v>17786.8</v>
      </c>
      <c r="F1725" s="7">
        <v>250030113</v>
      </c>
      <c r="G1725" s="42">
        <v>19099.59</v>
      </c>
    </row>
    <row r="1726" spans="1:7" ht="14.25" customHeight="1">
      <c r="A1726" s="41">
        <v>44865</v>
      </c>
      <c r="B1726" s="7">
        <v>17910.2</v>
      </c>
      <c r="C1726" s="7">
        <v>18022.8</v>
      </c>
      <c r="D1726" s="7">
        <v>17899.900000000001</v>
      </c>
      <c r="E1726" s="7">
        <v>18012.2</v>
      </c>
      <c r="F1726" s="7">
        <v>227174539</v>
      </c>
      <c r="G1726" s="42">
        <v>19846.47</v>
      </c>
    </row>
    <row r="1727" spans="1:7" ht="14.25" customHeight="1">
      <c r="A1727" s="41">
        <v>44866</v>
      </c>
      <c r="B1727" s="7">
        <v>18130.7</v>
      </c>
      <c r="C1727" s="7">
        <v>18175.8</v>
      </c>
      <c r="D1727" s="7">
        <v>18060.150000000001</v>
      </c>
      <c r="E1727" s="7">
        <v>18145.400000000001</v>
      </c>
      <c r="F1727" s="7">
        <v>349924808</v>
      </c>
      <c r="G1727" s="42">
        <v>26796.59</v>
      </c>
    </row>
    <row r="1728" spans="1:7" ht="14.25" customHeight="1">
      <c r="A1728" s="41">
        <v>44867</v>
      </c>
      <c r="B1728" s="7">
        <v>18177.900000000001</v>
      </c>
      <c r="C1728" s="7">
        <v>18178.75</v>
      </c>
      <c r="D1728" s="7">
        <v>18048.650000000001</v>
      </c>
      <c r="E1728" s="7">
        <v>18082.849999999999</v>
      </c>
      <c r="F1728" s="7">
        <v>270878019</v>
      </c>
      <c r="G1728" s="42">
        <v>20072.62</v>
      </c>
    </row>
    <row r="1729" spans="1:7" ht="14.25" customHeight="1">
      <c r="A1729" s="41">
        <v>44868</v>
      </c>
      <c r="B1729" s="7">
        <v>17968.349999999999</v>
      </c>
      <c r="C1729" s="7">
        <v>18106.3</v>
      </c>
      <c r="D1729" s="7">
        <v>17959.2</v>
      </c>
      <c r="E1729" s="7">
        <v>18052.7</v>
      </c>
      <c r="F1729" s="7">
        <v>212968291</v>
      </c>
      <c r="G1729" s="42">
        <v>16037.78</v>
      </c>
    </row>
    <row r="1730" spans="1:7" ht="14.25" customHeight="1">
      <c r="A1730" s="41">
        <v>44869</v>
      </c>
      <c r="B1730" s="7">
        <v>18053.400000000001</v>
      </c>
      <c r="C1730" s="7">
        <v>18135.099999999999</v>
      </c>
      <c r="D1730" s="7">
        <v>18017.150000000001</v>
      </c>
      <c r="E1730" s="7">
        <v>18117.150000000001</v>
      </c>
      <c r="F1730" s="7">
        <v>267941526</v>
      </c>
      <c r="G1730" s="42">
        <v>21062.54</v>
      </c>
    </row>
    <row r="1731" spans="1:7" ht="14.25" customHeight="1">
      <c r="A1731" s="41">
        <v>44872</v>
      </c>
      <c r="B1731" s="7">
        <v>18211.75</v>
      </c>
      <c r="C1731" s="7">
        <v>18255.5</v>
      </c>
      <c r="D1731" s="7">
        <v>18064.75</v>
      </c>
      <c r="E1731" s="7">
        <v>18202.8</v>
      </c>
      <c r="F1731" s="7">
        <v>314758398</v>
      </c>
      <c r="G1731" s="42">
        <v>25124.84</v>
      </c>
    </row>
    <row r="1732" spans="1:7" ht="14.25" customHeight="1">
      <c r="A1732" s="41">
        <v>44874</v>
      </c>
      <c r="B1732" s="7">
        <v>18288.25</v>
      </c>
      <c r="C1732" s="7">
        <v>18296.400000000001</v>
      </c>
      <c r="D1732" s="7">
        <v>18117.5</v>
      </c>
      <c r="E1732" s="7">
        <v>18157</v>
      </c>
      <c r="F1732" s="7">
        <v>307155149</v>
      </c>
      <c r="G1732" s="42">
        <v>23344.58</v>
      </c>
    </row>
    <row r="1733" spans="1:7" ht="14.25" customHeight="1">
      <c r="A1733" s="41">
        <v>44875</v>
      </c>
      <c r="B1733" s="7">
        <v>18044.349999999999</v>
      </c>
      <c r="C1733" s="7">
        <v>18103.099999999999</v>
      </c>
      <c r="D1733" s="7">
        <v>17969.400000000001</v>
      </c>
      <c r="E1733" s="7">
        <v>18028.2</v>
      </c>
      <c r="F1733" s="7">
        <v>256451785</v>
      </c>
      <c r="G1733" s="42">
        <v>19848.060000000001</v>
      </c>
    </row>
    <row r="1734" spans="1:7" ht="14.25" customHeight="1">
      <c r="A1734" s="41">
        <v>44876</v>
      </c>
      <c r="B1734" s="7">
        <v>18272.349999999999</v>
      </c>
      <c r="C1734" s="7">
        <v>18362.3</v>
      </c>
      <c r="D1734" s="7">
        <v>18259.349999999999</v>
      </c>
      <c r="E1734" s="7">
        <v>18349.7</v>
      </c>
      <c r="F1734" s="7">
        <v>378469072</v>
      </c>
      <c r="G1734" s="42">
        <v>30732.11</v>
      </c>
    </row>
    <row r="1735" spans="1:7" ht="14.25" customHeight="1">
      <c r="A1735" s="41">
        <v>44879</v>
      </c>
      <c r="B1735" s="7">
        <v>18376.400000000001</v>
      </c>
      <c r="C1735" s="7">
        <v>18399.45</v>
      </c>
      <c r="D1735" s="7">
        <v>18311.400000000001</v>
      </c>
      <c r="E1735" s="7">
        <v>18329.150000000001</v>
      </c>
      <c r="F1735" s="7">
        <v>301401961</v>
      </c>
      <c r="G1735" s="42">
        <v>21697.66</v>
      </c>
    </row>
    <row r="1736" spans="1:7" ht="14.25" customHeight="1">
      <c r="A1736" s="41">
        <v>44880</v>
      </c>
      <c r="B1736" s="7">
        <v>18362.75</v>
      </c>
      <c r="C1736" s="7">
        <v>18427.95</v>
      </c>
      <c r="D1736" s="7">
        <v>18282</v>
      </c>
      <c r="E1736" s="7">
        <v>18403.400000000001</v>
      </c>
      <c r="F1736" s="7">
        <v>250926391</v>
      </c>
      <c r="G1736" s="42">
        <v>17836.189999999999</v>
      </c>
    </row>
    <row r="1737" spans="1:7" ht="14.25" customHeight="1">
      <c r="A1737" s="41">
        <v>44881</v>
      </c>
      <c r="B1737" s="7">
        <v>18398.25</v>
      </c>
      <c r="C1737" s="7">
        <v>18442.150000000001</v>
      </c>
      <c r="D1737" s="7">
        <v>18344.150000000001</v>
      </c>
      <c r="E1737" s="7">
        <v>18409.650000000001</v>
      </c>
      <c r="F1737" s="7">
        <v>219268992</v>
      </c>
      <c r="G1737" s="42">
        <v>19732.87</v>
      </c>
    </row>
    <row r="1738" spans="1:7" ht="14.25" customHeight="1">
      <c r="A1738" s="41">
        <v>44882</v>
      </c>
      <c r="B1738" s="7">
        <v>18358.7</v>
      </c>
      <c r="C1738" s="7">
        <v>18417.599999999999</v>
      </c>
      <c r="D1738" s="7">
        <v>18312.95</v>
      </c>
      <c r="E1738" s="7">
        <v>18343.900000000001</v>
      </c>
      <c r="F1738" s="7">
        <v>200512910</v>
      </c>
      <c r="G1738" s="42">
        <v>16410.36</v>
      </c>
    </row>
    <row r="1739" spans="1:7" ht="14.25" customHeight="1">
      <c r="A1739" s="41">
        <v>44883</v>
      </c>
      <c r="B1739" s="7">
        <v>18382.95</v>
      </c>
      <c r="C1739" s="7">
        <v>18394.599999999999</v>
      </c>
      <c r="D1739" s="7">
        <v>18209.8</v>
      </c>
      <c r="E1739" s="7">
        <v>18307.650000000001</v>
      </c>
      <c r="F1739" s="7">
        <v>198794846</v>
      </c>
      <c r="G1739" s="42">
        <v>16553.689999999999</v>
      </c>
    </row>
    <row r="1740" spans="1:7" ht="14.25" customHeight="1">
      <c r="A1740" s="41">
        <v>44886</v>
      </c>
      <c r="B1740" s="7">
        <v>18246.400000000001</v>
      </c>
      <c r="C1740" s="7">
        <v>18262.3</v>
      </c>
      <c r="D1740" s="7">
        <v>18133.349999999999</v>
      </c>
      <c r="E1740" s="7">
        <v>18159.95</v>
      </c>
      <c r="F1740" s="7">
        <v>213794598</v>
      </c>
      <c r="G1740" s="42">
        <v>15037.5</v>
      </c>
    </row>
    <row r="1741" spans="1:7" ht="14.25" customHeight="1">
      <c r="A1741" s="41">
        <v>44887</v>
      </c>
      <c r="B1741" s="7">
        <v>18179.150000000001</v>
      </c>
      <c r="C1741" s="7">
        <v>18261.849999999999</v>
      </c>
      <c r="D1741" s="7">
        <v>18137.7</v>
      </c>
      <c r="E1741" s="7">
        <v>18244.2</v>
      </c>
      <c r="F1741" s="7">
        <v>177681099</v>
      </c>
      <c r="G1741" s="42">
        <v>14750.98</v>
      </c>
    </row>
    <row r="1742" spans="1:7" ht="14.25" customHeight="1">
      <c r="A1742" s="41">
        <v>44888</v>
      </c>
      <c r="B1742" s="7">
        <v>18325.2</v>
      </c>
      <c r="C1742" s="7">
        <v>18325.400000000001</v>
      </c>
      <c r="D1742" s="7">
        <v>18246</v>
      </c>
      <c r="E1742" s="7">
        <v>18267.25</v>
      </c>
      <c r="F1742" s="7">
        <v>178791087</v>
      </c>
      <c r="G1742" s="42">
        <v>15674.45</v>
      </c>
    </row>
    <row r="1743" spans="1:7" ht="14.25" customHeight="1">
      <c r="A1743" s="41">
        <v>44889</v>
      </c>
      <c r="B1743" s="7">
        <v>18326.099999999999</v>
      </c>
      <c r="C1743" s="7">
        <v>18529.7</v>
      </c>
      <c r="D1743" s="7">
        <v>18294.25</v>
      </c>
      <c r="E1743" s="7">
        <v>18484.099999999999</v>
      </c>
      <c r="F1743" s="7">
        <v>204044559</v>
      </c>
      <c r="G1743" s="42">
        <v>18218.349999999999</v>
      </c>
    </row>
    <row r="1744" spans="1:7" ht="14.25" customHeight="1">
      <c r="A1744" s="41">
        <v>44890</v>
      </c>
      <c r="B1744" s="7">
        <v>18528.45</v>
      </c>
      <c r="C1744" s="7">
        <v>18534.900000000001</v>
      </c>
      <c r="D1744" s="7">
        <v>18445.099999999999</v>
      </c>
      <c r="E1744" s="7">
        <v>18512.75</v>
      </c>
      <c r="F1744" s="7">
        <v>205876043</v>
      </c>
      <c r="G1744" s="42">
        <v>17112.8</v>
      </c>
    </row>
    <row r="1745" spans="1:7" ht="14.25" customHeight="1">
      <c r="A1745" s="41">
        <v>44893</v>
      </c>
      <c r="B1745" s="7">
        <v>18430.55</v>
      </c>
      <c r="C1745" s="7">
        <v>18614.25</v>
      </c>
      <c r="D1745" s="7">
        <v>18365.599999999999</v>
      </c>
      <c r="E1745" s="7">
        <v>18562.75</v>
      </c>
      <c r="F1745" s="7">
        <v>206468884</v>
      </c>
      <c r="G1745" s="42">
        <v>19006.919999999998</v>
      </c>
    </row>
    <row r="1746" spans="1:7" ht="14.25" customHeight="1">
      <c r="A1746" s="41">
        <v>44894</v>
      </c>
      <c r="B1746" s="7">
        <v>18552.45</v>
      </c>
      <c r="C1746" s="7">
        <v>18678.099999999999</v>
      </c>
      <c r="D1746" s="7">
        <v>18552.150000000001</v>
      </c>
      <c r="E1746" s="7">
        <v>18618.05</v>
      </c>
      <c r="F1746" s="7">
        <v>195255179</v>
      </c>
      <c r="G1746" s="42">
        <v>16568.169999999998</v>
      </c>
    </row>
    <row r="1747" spans="1:7" ht="14.25" customHeight="1">
      <c r="A1747" s="41">
        <v>44895</v>
      </c>
      <c r="B1747" s="7">
        <v>18625.7</v>
      </c>
      <c r="C1747" s="7">
        <v>18816.05</v>
      </c>
      <c r="D1747" s="7">
        <v>18616.55</v>
      </c>
      <c r="E1747" s="7">
        <v>18758.349999999999</v>
      </c>
      <c r="F1747" s="7">
        <v>345636288</v>
      </c>
      <c r="G1747" s="42">
        <v>32757.21</v>
      </c>
    </row>
    <row r="1748" spans="1:7" ht="14.25" customHeight="1">
      <c r="A1748" s="41">
        <v>44896</v>
      </c>
      <c r="B1748" s="7">
        <v>18871.95</v>
      </c>
      <c r="C1748" s="7">
        <v>18887.599999999999</v>
      </c>
      <c r="D1748" s="7">
        <v>18778.2</v>
      </c>
      <c r="E1748" s="7">
        <v>18812.5</v>
      </c>
      <c r="F1748" s="7">
        <v>324955829</v>
      </c>
      <c r="G1748" s="42">
        <v>22216.65</v>
      </c>
    </row>
    <row r="1749" spans="1:7" ht="14.25" customHeight="1">
      <c r="A1749" s="41">
        <v>44897</v>
      </c>
      <c r="B1749" s="7">
        <v>18752.400000000001</v>
      </c>
      <c r="C1749" s="7">
        <v>18781.95</v>
      </c>
      <c r="D1749" s="7">
        <v>18639.2</v>
      </c>
      <c r="E1749" s="7">
        <v>18696.099999999999</v>
      </c>
      <c r="F1749" s="7">
        <v>254401004</v>
      </c>
      <c r="G1749" s="42">
        <v>20233.759999999998</v>
      </c>
    </row>
    <row r="1750" spans="1:7" ht="14.25" customHeight="1">
      <c r="A1750" s="41">
        <v>44900</v>
      </c>
      <c r="B1750" s="7">
        <v>18719.55</v>
      </c>
      <c r="C1750" s="7">
        <v>18728.599999999999</v>
      </c>
      <c r="D1750" s="7">
        <v>18591.349999999999</v>
      </c>
      <c r="E1750" s="7">
        <v>18701.05</v>
      </c>
      <c r="F1750" s="7">
        <v>288393766</v>
      </c>
      <c r="G1750" s="42">
        <v>19471.830000000002</v>
      </c>
    </row>
    <row r="1751" spans="1:7" ht="14.25" customHeight="1">
      <c r="A1751" s="41">
        <v>44901</v>
      </c>
      <c r="B1751" s="7">
        <v>18600.650000000001</v>
      </c>
      <c r="C1751" s="7">
        <v>18654.900000000001</v>
      </c>
      <c r="D1751" s="7">
        <v>18577.900000000001</v>
      </c>
      <c r="E1751" s="7">
        <v>18642.75</v>
      </c>
      <c r="F1751" s="7">
        <v>217777090</v>
      </c>
      <c r="G1751" s="42">
        <v>17772.27</v>
      </c>
    </row>
    <row r="1752" spans="1:7" ht="14.25" customHeight="1">
      <c r="A1752" s="41">
        <v>44902</v>
      </c>
      <c r="B1752" s="7">
        <v>18638.849999999999</v>
      </c>
      <c r="C1752" s="7">
        <v>18668.3</v>
      </c>
      <c r="D1752" s="7">
        <v>18528.400000000001</v>
      </c>
      <c r="E1752" s="7">
        <v>18560.5</v>
      </c>
      <c r="F1752" s="7">
        <v>200501720</v>
      </c>
      <c r="G1752" s="42">
        <v>17496.8</v>
      </c>
    </row>
    <row r="1753" spans="1:7" ht="14.25" customHeight="1">
      <c r="A1753" s="41">
        <v>44903</v>
      </c>
      <c r="B1753" s="7">
        <v>18570.849999999999</v>
      </c>
      <c r="C1753" s="7">
        <v>18625</v>
      </c>
      <c r="D1753" s="7">
        <v>18536.95</v>
      </c>
      <c r="E1753" s="7">
        <v>18609.349999999999</v>
      </c>
      <c r="F1753" s="7">
        <v>202811256</v>
      </c>
      <c r="G1753" s="42">
        <v>19277.650000000001</v>
      </c>
    </row>
    <row r="1754" spans="1:7" ht="14.25" customHeight="1">
      <c r="A1754" s="41">
        <v>44904</v>
      </c>
      <c r="B1754" s="7">
        <v>18662.400000000001</v>
      </c>
      <c r="C1754" s="7">
        <v>18664.7</v>
      </c>
      <c r="D1754" s="7">
        <v>18410.099999999999</v>
      </c>
      <c r="E1754" s="7">
        <v>18496.599999999999</v>
      </c>
      <c r="F1754" s="7">
        <v>215839572</v>
      </c>
      <c r="G1754" s="42">
        <v>20317.78</v>
      </c>
    </row>
    <row r="1755" spans="1:7" ht="14.25" customHeight="1">
      <c r="A1755" s="41">
        <v>44907</v>
      </c>
      <c r="B1755" s="7">
        <v>18402.150000000001</v>
      </c>
      <c r="C1755" s="7">
        <v>18521.55</v>
      </c>
      <c r="D1755" s="7">
        <v>18345.7</v>
      </c>
      <c r="E1755" s="7">
        <v>18497.150000000001</v>
      </c>
      <c r="F1755" s="7">
        <v>193883468</v>
      </c>
      <c r="G1755" s="42">
        <v>16688.2</v>
      </c>
    </row>
    <row r="1756" spans="1:7" ht="14.25" customHeight="1">
      <c r="A1756" s="41">
        <v>44908</v>
      </c>
      <c r="B1756" s="7">
        <v>18524.400000000001</v>
      </c>
      <c r="C1756" s="7">
        <v>18617.25</v>
      </c>
      <c r="D1756" s="7">
        <v>18490.2</v>
      </c>
      <c r="E1756" s="7">
        <v>18608</v>
      </c>
      <c r="F1756" s="7">
        <v>187585567</v>
      </c>
      <c r="G1756" s="42">
        <v>16536.169999999998</v>
      </c>
    </row>
    <row r="1757" spans="1:7" ht="14.25" customHeight="1">
      <c r="A1757" s="41">
        <v>44909</v>
      </c>
      <c r="B1757" s="7">
        <v>18671.25</v>
      </c>
      <c r="C1757" s="7">
        <v>18696.099999999999</v>
      </c>
      <c r="D1757" s="7">
        <v>18632.900000000001</v>
      </c>
      <c r="E1757" s="7">
        <v>18660.3</v>
      </c>
      <c r="F1757" s="7">
        <v>208030337</v>
      </c>
      <c r="G1757" s="42">
        <v>16626</v>
      </c>
    </row>
    <row r="1758" spans="1:7" ht="14.25" customHeight="1">
      <c r="A1758" s="41">
        <v>44910</v>
      </c>
      <c r="B1758" s="7">
        <v>18614.400000000001</v>
      </c>
      <c r="C1758" s="7">
        <v>18652.900000000001</v>
      </c>
      <c r="D1758" s="7">
        <v>18387.7</v>
      </c>
      <c r="E1758" s="7">
        <v>18414.900000000001</v>
      </c>
      <c r="F1758" s="7">
        <v>183127544</v>
      </c>
      <c r="G1758" s="42">
        <v>15618.55</v>
      </c>
    </row>
    <row r="1759" spans="1:7" ht="14.25" customHeight="1">
      <c r="A1759" s="41">
        <v>44911</v>
      </c>
      <c r="B1759" s="7">
        <v>18319.099999999999</v>
      </c>
      <c r="C1759" s="7">
        <v>18440.95</v>
      </c>
      <c r="D1759" s="7">
        <v>18255.150000000001</v>
      </c>
      <c r="E1759" s="7">
        <v>18269</v>
      </c>
      <c r="F1759" s="7">
        <v>277650193</v>
      </c>
      <c r="G1759" s="42">
        <v>23292.95</v>
      </c>
    </row>
    <row r="1760" spans="1:7" ht="14.25" customHeight="1">
      <c r="A1760" s="41">
        <v>44914</v>
      </c>
      <c r="B1760" s="7">
        <v>18288.099999999999</v>
      </c>
      <c r="C1760" s="7">
        <v>18431.650000000001</v>
      </c>
      <c r="D1760" s="7">
        <v>18244.55</v>
      </c>
      <c r="E1760" s="7">
        <v>18420.45</v>
      </c>
      <c r="F1760" s="7">
        <v>154847475</v>
      </c>
      <c r="G1760" s="42">
        <v>14455.23</v>
      </c>
    </row>
    <row r="1761" spans="1:7" ht="14.25" customHeight="1">
      <c r="A1761" s="41">
        <v>44915</v>
      </c>
      <c r="B1761" s="7">
        <v>18340.3</v>
      </c>
      <c r="C1761" s="7">
        <v>18404.900000000001</v>
      </c>
      <c r="D1761" s="7">
        <v>18202.650000000001</v>
      </c>
      <c r="E1761" s="7">
        <v>18385.3</v>
      </c>
      <c r="F1761" s="7">
        <v>169041783</v>
      </c>
      <c r="G1761" s="42">
        <v>15038.56</v>
      </c>
    </row>
    <row r="1762" spans="1:7" ht="14.25" customHeight="1">
      <c r="A1762" s="41">
        <v>44916</v>
      </c>
      <c r="B1762" s="7">
        <v>18435.150000000001</v>
      </c>
      <c r="C1762" s="7">
        <v>18473.349999999999</v>
      </c>
      <c r="D1762" s="7">
        <v>18162.75</v>
      </c>
      <c r="E1762" s="7">
        <v>18199.099999999999</v>
      </c>
      <c r="F1762" s="7">
        <v>187594274</v>
      </c>
      <c r="G1762" s="42">
        <v>17223.439999999999</v>
      </c>
    </row>
    <row r="1763" spans="1:7" ht="14.25" customHeight="1">
      <c r="A1763" s="41">
        <v>44917</v>
      </c>
      <c r="B1763" s="7">
        <v>18288.8</v>
      </c>
      <c r="C1763" s="7">
        <v>18318.75</v>
      </c>
      <c r="D1763" s="7">
        <v>18068.599999999999</v>
      </c>
      <c r="E1763" s="7">
        <v>18127.349999999999</v>
      </c>
      <c r="F1763" s="7">
        <v>195699650</v>
      </c>
      <c r="G1763" s="42">
        <v>16725.23</v>
      </c>
    </row>
    <row r="1764" spans="1:7" ht="14.25" customHeight="1">
      <c r="A1764" s="41">
        <v>44918</v>
      </c>
      <c r="B1764" s="7">
        <v>17977.650000000001</v>
      </c>
      <c r="C1764" s="7">
        <v>18050.45</v>
      </c>
      <c r="D1764" s="7">
        <v>17779.5</v>
      </c>
      <c r="E1764" s="7">
        <v>17806.8</v>
      </c>
      <c r="F1764" s="7">
        <v>221454773</v>
      </c>
      <c r="G1764" s="42">
        <v>18486.939999999999</v>
      </c>
    </row>
    <row r="1765" spans="1:7" ht="14.25" customHeight="1">
      <c r="A1765" s="41">
        <v>44921</v>
      </c>
      <c r="B1765" s="7">
        <v>17830.400000000001</v>
      </c>
      <c r="C1765" s="7">
        <v>18084.099999999999</v>
      </c>
      <c r="D1765" s="7">
        <v>17774.25</v>
      </c>
      <c r="E1765" s="7">
        <v>18014.599999999999</v>
      </c>
      <c r="F1765" s="7">
        <v>176652342</v>
      </c>
      <c r="G1765" s="42">
        <v>13708.21</v>
      </c>
    </row>
    <row r="1766" spans="1:7" ht="14.25" customHeight="1">
      <c r="A1766" s="41">
        <v>44922</v>
      </c>
      <c r="B1766" s="7">
        <v>18089.8</v>
      </c>
      <c r="C1766" s="7">
        <v>18149.25</v>
      </c>
      <c r="D1766" s="7">
        <v>17967.45</v>
      </c>
      <c r="E1766" s="7">
        <v>18132.3</v>
      </c>
      <c r="F1766" s="7">
        <v>214257094</v>
      </c>
      <c r="G1766" s="42">
        <v>13000.64</v>
      </c>
    </row>
    <row r="1767" spans="1:7" ht="14.25" customHeight="1">
      <c r="A1767" s="41">
        <v>44923</v>
      </c>
      <c r="B1767" s="7">
        <v>18084.75</v>
      </c>
      <c r="C1767" s="7">
        <v>18173.099999999999</v>
      </c>
      <c r="D1767" s="7">
        <v>18068.349999999999</v>
      </c>
      <c r="E1767" s="7">
        <v>18122.5</v>
      </c>
      <c r="F1767" s="7">
        <v>193873167</v>
      </c>
      <c r="G1767" s="42">
        <v>13997.59</v>
      </c>
    </row>
    <row r="1768" spans="1:7" ht="14.25" customHeight="1">
      <c r="A1768" s="41">
        <v>44924</v>
      </c>
      <c r="B1768" s="7">
        <v>18045.7</v>
      </c>
      <c r="C1768" s="7">
        <v>18229.7</v>
      </c>
      <c r="D1768" s="7">
        <v>17992.8</v>
      </c>
      <c r="E1768" s="7">
        <v>18191</v>
      </c>
      <c r="F1768" s="7">
        <v>281052828</v>
      </c>
      <c r="G1768" s="42">
        <v>18466.05</v>
      </c>
    </row>
    <row r="1769" spans="1:7" ht="14.25" customHeight="1">
      <c r="A1769" s="41">
        <v>44925</v>
      </c>
      <c r="B1769" s="7">
        <v>18259.099999999999</v>
      </c>
      <c r="C1769" s="7">
        <v>18265.25</v>
      </c>
      <c r="D1769" s="7">
        <v>18080.3</v>
      </c>
      <c r="E1769" s="7">
        <v>18105.3</v>
      </c>
      <c r="F1769" s="7">
        <v>192005563</v>
      </c>
      <c r="G1769" s="42">
        <v>14475.22</v>
      </c>
    </row>
    <row r="1770" spans="1:7" ht="14.25" customHeight="1">
      <c r="A1770" s="41">
        <v>44928</v>
      </c>
      <c r="B1770" s="7">
        <v>18131.7</v>
      </c>
      <c r="C1770" s="7">
        <v>18215.150000000001</v>
      </c>
      <c r="D1770" s="7">
        <v>18086.5</v>
      </c>
      <c r="E1770" s="7">
        <v>18197.45</v>
      </c>
      <c r="F1770" s="7">
        <v>256073979</v>
      </c>
      <c r="G1770" s="42">
        <v>11793.06</v>
      </c>
    </row>
    <row r="1771" spans="1:7" ht="14.25" customHeight="1">
      <c r="A1771" s="41">
        <v>44929</v>
      </c>
      <c r="B1771" s="7">
        <v>18163.2</v>
      </c>
      <c r="C1771" s="7">
        <v>18251.95</v>
      </c>
      <c r="D1771" s="7">
        <v>18149.8</v>
      </c>
      <c r="E1771" s="7">
        <v>18232.55</v>
      </c>
      <c r="F1771" s="7">
        <v>208699772</v>
      </c>
      <c r="G1771" s="42">
        <v>13680.91</v>
      </c>
    </row>
    <row r="1772" spans="1:7" ht="14.25" customHeight="1">
      <c r="A1772" s="41">
        <v>44930</v>
      </c>
      <c r="B1772" s="7">
        <v>18230.650000000001</v>
      </c>
      <c r="C1772" s="7">
        <v>18243</v>
      </c>
      <c r="D1772" s="7">
        <v>18020.599999999999</v>
      </c>
      <c r="E1772" s="7">
        <v>18042.95</v>
      </c>
      <c r="F1772" s="7">
        <v>235162202</v>
      </c>
      <c r="G1772" s="42">
        <v>16687.71</v>
      </c>
    </row>
    <row r="1773" spans="1:7" ht="14.25" customHeight="1">
      <c r="A1773" s="41">
        <v>44931</v>
      </c>
      <c r="B1773" s="7">
        <v>18101.95</v>
      </c>
      <c r="C1773" s="7">
        <v>18120.3</v>
      </c>
      <c r="D1773" s="7">
        <v>17892.599999999999</v>
      </c>
      <c r="E1773" s="7">
        <v>17992.150000000001</v>
      </c>
      <c r="F1773" s="7">
        <v>269949738</v>
      </c>
      <c r="G1773" s="42">
        <v>22108.53</v>
      </c>
    </row>
    <row r="1774" spans="1:7" ht="14.25" customHeight="1">
      <c r="A1774" s="41">
        <v>44932</v>
      </c>
      <c r="B1774" s="7">
        <v>18008.05</v>
      </c>
      <c r="C1774" s="7">
        <v>18047.400000000001</v>
      </c>
      <c r="D1774" s="7">
        <v>17795.55</v>
      </c>
      <c r="E1774" s="7">
        <v>17859.45</v>
      </c>
      <c r="F1774" s="7">
        <v>238220578</v>
      </c>
      <c r="G1774" s="42">
        <v>17495.25</v>
      </c>
    </row>
    <row r="1775" spans="1:7" ht="14.25" customHeight="1">
      <c r="A1775" s="41">
        <v>44935</v>
      </c>
      <c r="B1775" s="7">
        <v>17952.55</v>
      </c>
      <c r="C1775" s="7">
        <v>18141.400000000001</v>
      </c>
      <c r="D1775" s="7">
        <v>17936.150000000001</v>
      </c>
      <c r="E1775" s="7">
        <v>18101.2</v>
      </c>
      <c r="F1775" s="7">
        <v>257237669</v>
      </c>
      <c r="G1775" s="42">
        <v>19916.16</v>
      </c>
    </row>
    <row r="1776" spans="1:7" ht="14.25" customHeight="1">
      <c r="A1776" s="41">
        <v>44936</v>
      </c>
      <c r="B1776" s="7">
        <v>18121.3</v>
      </c>
      <c r="C1776" s="7">
        <v>18127.599999999999</v>
      </c>
      <c r="D1776" s="7">
        <v>17856</v>
      </c>
      <c r="E1776" s="7">
        <v>17914.150000000001</v>
      </c>
      <c r="F1776" s="7">
        <v>283277918</v>
      </c>
      <c r="G1776" s="42">
        <v>20570.3</v>
      </c>
    </row>
    <row r="1777" spans="1:7" ht="14.25" customHeight="1">
      <c r="A1777" s="41">
        <v>44937</v>
      </c>
      <c r="B1777" s="7">
        <v>17924.25</v>
      </c>
      <c r="C1777" s="7">
        <v>17976.349999999999</v>
      </c>
      <c r="D1777" s="7">
        <v>17824.349999999999</v>
      </c>
      <c r="E1777" s="7">
        <v>17895.7</v>
      </c>
      <c r="F1777" s="7">
        <v>259853294</v>
      </c>
      <c r="G1777" s="42">
        <v>20204.330000000002</v>
      </c>
    </row>
    <row r="1778" spans="1:7" ht="14.25" customHeight="1">
      <c r="A1778" s="41">
        <v>44938</v>
      </c>
      <c r="B1778" s="7">
        <v>17920.849999999999</v>
      </c>
      <c r="C1778" s="7">
        <v>17945.8</v>
      </c>
      <c r="D1778" s="7">
        <v>17761.650000000001</v>
      </c>
      <c r="E1778" s="7">
        <v>17858.2</v>
      </c>
      <c r="F1778" s="7">
        <v>227769060</v>
      </c>
      <c r="G1778" s="42">
        <v>19762.43</v>
      </c>
    </row>
    <row r="1779" spans="1:7" ht="14.25" customHeight="1">
      <c r="A1779" s="41">
        <v>44939</v>
      </c>
      <c r="B1779" s="7">
        <v>17867.5</v>
      </c>
      <c r="C1779" s="7">
        <v>17999.349999999999</v>
      </c>
      <c r="D1779" s="7">
        <v>17774.25</v>
      </c>
      <c r="E1779" s="7">
        <v>17956.599999999999</v>
      </c>
      <c r="F1779" s="7">
        <v>256700729</v>
      </c>
      <c r="G1779" s="42">
        <v>21341.7</v>
      </c>
    </row>
    <row r="1780" spans="1:7" ht="14.25" customHeight="1">
      <c r="A1780" s="41">
        <v>44942</v>
      </c>
      <c r="B1780" s="7">
        <v>18033.150000000001</v>
      </c>
      <c r="C1780" s="7">
        <v>18049.650000000001</v>
      </c>
      <c r="D1780" s="7">
        <v>17853.650000000001</v>
      </c>
      <c r="E1780" s="7">
        <v>17894.849999999999</v>
      </c>
      <c r="F1780" s="7">
        <v>206195816</v>
      </c>
      <c r="G1780" s="42">
        <v>16728.37</v>
      </c>
    </row>
    <row r="1781" spans="1:7" ht="14.25" customHeight="1">
      <c r="A1781" s="41">
        <v>44943</v>
      </c>
      <c r="B1781" s="7">
        <v>17922.8</v>
      </c>
      <c r="C1781" s="7">
        <v>18072.05</v>
      </c>
      <c r="D1781" s="7">
        <v>17886.95</v>
      </c>
      <c r="E1781" s="7">
        <v>18053.3</v>
      </c>
      <c r="F1781" s="7">
        <v>219055125</v>
      </c>
      <c r="G1781" s="42">
        <v>17461.09</v>
      </c>
    </row>
    <row r="1782" spans="1:7" ht="14.25" customHeight="1">
      <c r="A1782" s="41">
        <v>44944</v>
      </c>
      <c r="B1782" s="7">
        <v>18074.3</v>
      </c>
      <c r="C1782" s="7">
        <v>18183.75</v>
      </c>
      <c r="D1782" s="7">
        <v>18032.45</v>
      </c>
      <c r="E1782" s="7">
        <v>18165.349999999999</v>
      </c>
      <c r="F1782" s="7">
        <v>255840928</v>
      </c>
      <c r="G1782" s="42">
        <v>20500.07</v>
      </c>
    </row>
    <row r="1783" spans="1:7" ht="14.25" customHeight="1">
      <c r="A1783" s="41">
        <v>44945</v>
      </c>
      <c r="B1783" s="7">
        <v>18119.8</v>
      </c>
      <c r="C1783" s="7">
        <v>18155.2</v>
      </c>
      <c r="D1783" s="7">
        <v>18063.75</v>
      </c>
      <c r="E1783" s="7">
        <v>18107.849999999999</v>
      </c>
      <c r="F1783" s="7">
        <v>237833991</v>
      </c>
      <c r="G1783" s="42">
        <v>18413.13</v>
      </c>
    </row>
    <row r="1784" spans="1:7" ht="14.25" customHeight="1">
      <c r="A1784" s="41">
        <v>44946</v>
      </c>
      <c r="B1784" s="7">
        <v>18115.599999999999</v>
      </c>
      <c r="C1784" s="7">
        <v>18145.45</v>
      </c>
      <c r="D1784" s="7">
        <v>18016.2</v>
      </c>
      <c r="E1784" s="7">
        <v>18027.650000000001</v>
      </c>
      <c r="F1784" s="7">
        <v>237225269</v>
      </c>
      <c r="G1784" s="42">
        <v>19519.96</v>
      </c>
    </row>
    <row r="1785" spans="1:7" ht="14.25" customHeight="1">
      <c r="A1785" s="41">
        <v>44949</v>
      </c>
      <c r="B1785" s="7">
        <v>18118.45</v>
      </c>
      <c r="C1785" s="7">
        <v>18162.599999999999</v>
      </c>
      <c r="D1785" s="7">
        <v>18063.45</v>
      </c>
      <c r="E1785" s="7">
        <v>18118.55</v>
      </c>
      <c r="F1785" s="7">
        <v>202460434</v>
      </c>
      <c r="G1785" s="42">
        <v>17060.12</v>
      </c>
    </row>
    <row r="1786" spans="1:7" ht="14.25" customHeight="1">
      <c r="A1786" s="41">
        <v>44950</v>
      </c>
      <c r="B1786" s="7">
        <v>18183.95</v>
      </c>
      <c r="C1786" s="7">
        <v>18201.25</v>
      </c>
      <c r="D1786" s="7">
        <v>18078.650000000001</v>
      </c>
      <c r="E1786" s="7">
        <v>18118.3</v>
      </c>
      <c r="F1786" s="7">
        <v>216910302</v>
      </c>
      <c r="G1786" s="42">
        <v>19705.91</v>
      </c>
    </row>
    <row r="1787" spans="1:7" ht="14.25" customHeight="1">
      <c r="A1787" s="41">
        <v>44951</v>
      </c>
      <c r="B1787" s="7">
        <v>18093.349999999999</v>
      </c>
      <c r="C1787" s="7">
        <v>18100.599999999999</v>
      </c>
      <c r="D1787" s="7">
        <v>17846.150000000001</v>
      </c>
      <c r="E1787" s="7">
        <v>17891.95</v>
      </c>
      <c r="F1787" s="7">
        <v>257227052</v>
      </c>
      <c r="G1787" s="42">
        <v>20890.560000000001</v>
      </c>
    </row>
    <row r="1788" spans="1:7" ht="14.25" customHeight="1">
      <c r="A1788" s="41">
        <v>44953</v>
      </c>
      <c r="B1788" s="7">
        <v>17877.2</v>
      </c>
      <c r="C1788" s="7">
        <v>17884.75</v>
      </c>
      <c r="D1788" s="7">
        <v>17493.55</v>
      </c>
      <c r="E1788" s="7">
        <v>17604.349999999999</v>
      </c>
      <c r="F1788" s="7">
        <v>476342611</v>
      </c>
      <c r="G1788" s="42">
        <v>40104.83</v>
      </c>
    </row>
    <row r="1789" spans="1:7" ht="14.25" customHeight="1">
      <c r="A1789" s="41">
        <v>44956</v>
      </c>
      <c r="B1789" s="7">
        <v>17541.95</v>
      </c>
      <c r="C1789" s="7">
        <v>17709.150000000001</v>
      </c>
      <c r="D1789" s="7">
        <v>17405.55</v>
      </c>
      <c r="E1789" s="7">
        <v>17648.95</v>
      </c>
      <c r="F1789" s="7">
        <v>432434028</v>
      </c>
      <c r="G1789" s="42">
        <v>38159.879999999997</v>
      </c>
    </row>
    <row r="1790" spans="1:7" ht="14.25" customHeight="1">
      <c r="A1790" s="41">
        <v>44957</v>
      </c>
      <c r="B1790" s="7">
        <v>17731.45</v>
      </c>
      <c r="C1790" s="7">
        <v>17735.7</v>
      </c>
      <c r="D1790" s="7">
        <v>17537.55</v>
      </c>
      <c r="E1790" s="7">
        <v>17662.150000000001</v>
      </c>
      <c r="F1790" s="7">
        <v>398338541</v>
      </c>
      <c r="G1790" s="42">
        <v>35023.699999999997</v>
      </c>
    </row>
    <row r="1791" spans="1:7" ht="14.25" customHeight="1">
      <c r="A1791" s="41">
        <v>44958</v>
      </c>
      <c r="B1791" s="7">
        <v>17811.599999999999</v>
      </c>
      <c r="C1791" s="7">
        <v>17972.2</v>
      </c>
      <c r="D1791" s="7">
        <v>17353.400000000001</v>
      </c>
      <c r="E1791" s="7">
        <v>17616.3</v>
      </c>
      <c r="F1791" s="7">
        <v>512870802</v>
      </c>
      <c r="G1791" s="42">
        <v>38486.19</v>
      </c>
    </row>
    <row r="1792" spans="1:7" ht="14.25" customHeight="1">
      <c r="A1792" s="41">
        <v>44959</v>
      </c>
      <c r="B1792" s="7">
        <v>17517.099999999999</v>
      </c>
      <c r="C1792" s="7">
        <v>17653.900000000001</v>
      </c>
      <c r="D1792" s="7">
        <v>17445.95</v>
      </c>
      <c r="E1792" s="7">
        <v>17610.400000000001</v>
      </c>
      <c r="F1792" s="7">
        <v>490113567</v>
      </c>
      <c r="G1792" s="42">
        <v>37639.96</v>
      </c>
    </row>
    <row r="1793" spans="1:7" ht="14.25" customHeight="1">
      <c r="A1793" s="41">
        <v>44960</v>
      </c>
      <c r="B1793" s="7">
        <v>17721.75</v>
      </c>
      <c r="C1793" s="7">
        <v>17870.3</v>
      </c>
      <c r="D1793" s="7">
        <v>17584.2</v>
      </c>
      <c r="E1793" s="7">
        <v>17854.05</v>
      </c>
      <c r="F1793" s="7">
        <v>424123037</v>
      </c>
      <c r="G1793" s="42">
        <v>34503.67</v>
      </c>
    </row>
    <row r="1794" spans="1:7" ht="14.25" customHeight="1">
      <c r="A1794" s="41">
        <v>44963</v>
      </c>
      <c r="B1794" s="7">
        <v>17818.55</v>
      </c>
      <c r="C1794" s="7">
        <v>17823.7</v>
      </c>
      <c r="D1794" s="7">
        <v>17698.349999999999</v>
      </c>
      <c r="E1794" s="7">
        <v>17764.599999999999</v>
      </c>
      <c r="F1794" s="7">
        <v>282544790</v>
      </c>
      <c r="G1794" s="42">
        <v>21864.880000000001</v>
      </c>
    </row>
    <row r="1795" spans="1:7" ht="14.25" customHeight="1">
      <c r="A1795" s="41">
        <v>44964</v>
      </c>
      <c r="B1795" s="7">
        <v>17790.099999999999</v>
      </c>
      <c r="C1795" s="7">
        <v>17811.150000000001</v>
      </c>
      <c r="D1795" s="7">
        <v>17652.55</v>
      </c>
      <c r="E1795" s="7">
        <v>17721.5</v>
      </c>
      <c r="F1795" s="7">
        <v>354395693</v>
      </c>
      <c r="G1795" s="42">
        <v>23611.08</v>
      </c>
    </row>
    <row r="1796" spans="1:7" ht="14.25" customHeight="1">
      <c r="A1796" s="41">
        <v>44965</v>
      </c>
      <c r="B1796" s="7">
        <v>17750.3</v>
      </c>
      <c r="C1796" s="7">
        <v>17898.7</v>
      </c>
      <c r="D1796" s="7">
        <v>17744.150000000001</v>
      </c>
      <c r="E1796" s="7">
        <v>17871.7</v>
      </c>
      <c r="F1796" s="7">
        <v>290994265</v>
      </c>
      <c r="G1796" s="42">
        <v>23733.4</v>
      </c>
    </row>
    <row r="1797" spans="1:7" ht="14.25" customHeight="1">
      <c r="A1797" s="41">
        <v>44966</v>
      </c>
      <c r="B1797" s="7">
        <v>17885.5</v>
      </c>
      <c r="C1797" s="7">
        <v>17916.900000000001</v>
      </c>
      <c r="D1797" s="7">
        <v>17779.8</v>
      </c>
      <c r="E1797" s="7">
        <v>17893.45</v>
      </c>
      <c r="F1797" s="7">
        <v>260854055</v>
      </c>
      <c r="G1797" s="42">
        <v>21529.97</v>
      </c>
    </row>
    <row r="1798" spans="1:7" ht="14.25" customHeight="1">
      <c r="A1798" s="41">
        <v>44967</v>
      </c>
      <c r="B1798" s="7">
        <v>17847.55</v>
      </c>
      <c r="C1798" s="7">
        <v>17876.95</v>
      </c>
      <c r="D1798" s="7">
        <v>17801</v>
      </c>
      <c r="E1798" s="7">
        <v>17856.5</v>
      </c>
      <c r="F1798" s="7">
        <v>231991834</v>
      </c>
      <c r="G1798" s="42">
        <v>17063.990000000002</v>
      </c>
    </row>
    <row r="1799" spans="1:7" ht="14.25" customHeight="1">
      <c r="A1799" s="41">
        <v>44970</v>
      </c>
      <c r="B1799" s="7">
        <v>17859.099999999999</v>
      </c>
      <c r="C1799" s="7">
        <v>17880.7</v>
      </c>
      <c r="D1799" s="7">
        <v>17719.75</v>
      </c>
      <c r="E1799" s="7">
        <v>17770.900000000001</v>
      </c>
      <c r="F1799" s="7">
        <v>231276483</v>
      </c>
      <c r="G1799" s="42">
        <v>17406.310000000001</v>
      </c>
    </row>
    <row r="1800" spans="1:7" ht="14.25" customHeight="1">
      <c r="A1800" s="41">
        <v>44971</v>
      </c>
      <c r="B1800" s="7">
        <v>17840.349999999999</v>
      </c>
      <c r="C1800" s="7">
        <v>17954.55</v>
      </c>
      <c r="D1800" s="7">
        <v>17800.05</v>
      </c>
      <c r="E1800" s="7">
        <v>17929.849999999999</v>
      </c>
      <c r="F1800" s="7">
        <v>244512944</v>
      </c>
      <c r="G1800" s="42">
        <v>20579.8</v>
      </c>
    </row>
    <row r="1801" spans="1:7" ht="14.25" customHeight="1">
      <c r="A1801" s="41">
        <v>44972</v>
      </c>
      <c r="B1801" s="7">
        <v>17896.599999999999</v>
      </c>
      <c r="C1801" s="7">
        <v>18034.099999999999</v>
      </c>
      <c r="D1801" s="7">
        <v>17853.8</v>
      </c>
      <c r="E1801" s="7">
        <v>18015.849999999999</v>
      </c>
      <c r="F1801" s="7">
        <v>229273800</v>
      </c>
      <c r="G1801" s="42">
        <v>21457.34</v>
      </c>
    </row>
    <row r="1802" spans="1:7" ht="14.25" customHeight="1">
      <c r="A1802" s="41">
        <v>44973</v>
      </c>
      <c r="B1802" s="7">
        <v>18094.75</v>
      </c>
      <c r="C1802" s="7">
        <v>18134.75</v>
      </c>
      <c r="D1802" s="7">
        <v>18000.650000000001</v>
      </c>
      <c r="E1802" s="7">
        <v>18035.849999999999</v>
      </c>
      <c r="F1802" s="7">
        <v>230246175</v>
      </c>
      <c r="G1802" s="42">
        <v>18891.55</v>
      </c>
    </row>
    <row r="1803" spans="1:7" ht="14.25" customHeight="1">
      <c r="A1803" s="41">
        <v>44974</v>
      </c>
      <c r="B1803" s="7">
        <v>17974.849999999999</v>
      </c>
      <c r="C1803" s="7">
        <v>18034.25</v>
      </c>
      <c r="D1803" s="7">
        <v>17884.599999999999</v>
      </c>
      <c r="E1803" s="7">
        <v>17944.2</v>
      </c>
      <c r="F1803" s="7">
        <v>208053929</v>
      </c>
      <c r="G1803" s="42">
        <v>16998.330000000002</v>
      </c>
    </row>
    <row r="1804" spans="1:7" ht="14.25" customHeight="1">
      <c r="A1804" s="41">
        <v>44977</v>
      </c>
      <c r="B1804" s="7">
        <v>17965.55</v>
      </c>
      <c r="C1804" s="7">
        <v>18004.349999999999</v>
      </c>
      <c r="D1804" s="7">
        <v>17818.400000000001</v>
      </c>
      <c r="E1804" s="7">
        <v>17844.599999999999</v>
      </c>
      <c r="F1804" s="7">
        <v>174563233</v>
      </c>
      <c r="G1804" s="42">
        <v>14729.07</v>
      </c>
    </row>
    <row r="1805" spans="1:7" ht="14.25" customHeight="1">
      <c r="A1805" s="41">
        <v>44978</v>
      </c>
      <c r="B1805" s="7">
        <v>17905.8</v>
      </c>
      <c r="C1805" s="7">
        <v>17924.900000000001</v>
      </c>
      <c r="D1805" s="7">
        <v>17800.3</v>
      </c>
      <c r="E1805" s="7">
        <v>17826.7</v>
      </c>
      <c r="F1805" s="7">
        <v>198248205</v>
      </c>
      <c r="G1805" s="42">
        <v>15593.09</v>
      </c>
    </row>
    <row r="1806" spans="1:7" ht="14.25" customHeight="1">
      <c r="A1806" s="41">
        <v>44979</v>
      </c>
      <c r="B1806" s="7">
        <v>17755.349999999999</v>
      </c>
      <c r="C1806" s="7">
        <v>17772.5</v>
      </c>
      <c r="D1806" s="7">
        <v>17529.45</v>
      </c>
      <c r="E1806" s="7">
        <v>17554.3</v>
      </c>
      <c r="F1806" s="7">
        <v>204021979</v>
      </c>
      <c r="G1806" s="42">
        <v>17162.09</v>
      </c>
    </row>
    <row r="1807" spans="1:7" ht="14.25" customHeight="1">
      <c r="A1807" s="41">
        <v>44980</v>
      </c>
      <c r="B1807" s="7">
        <v>17574.650000000001</v>
      </c>
      <c r="C1807" s="7">
        <v>17620.05</v>
      </c>
      <c r="D1807" s="7">
        <v>17455.400000000001</v>
      </c>
      <c r="E1807" s="7">
        <v>17511.25</v>
      </c>
      <c r="F1807" s="7">
        <v>240807918</v>
      </c>
      <c r="G1807" s="42">
        <v>19313.68</v>
      </c>
    </row>
    <row r="1808" spans="1:7" ht="14.25" customHeight="1">
      <c r="A1808" s="41">
        <v>44981</v>
      </c>
      <c r="B1808" s="7">
        <v>17591.349999999999</v>
      </c>
      <c r="C1808" s="7">
        <v>17599.75</v>
      </c>
      <c r="D1808" s="7">
        <v>17421.8</v>
      </c>
      <c r="E1808" s="7">
        <v>17465.8</v>
      </c>
      <c r="F1808" s="7">
        <v>209406363</v>
      </c>
      <c r="G1808" s="42">
        <v>16100.18</v>
      </c>
    </row>
    <row r="1809" spans="1:7" ht="14.25" customHeight="1">
      <c r="A1809" s="41">
        <v>44984</v>
      </c>
      <c r="B1809" s="7">
        <v>17428.599999999999</v>
      </c>
      <c r="C1809" s="7">
        <v>17451.599999999999</v>
      </c>
      <c r="D1809" s="7">
        <v>17299</v>
      </c>
      <c r="E1809" s="7">
        <v>17392.7</v>
      </c>
      <c r="F1809" s="7">
        <v>246448847</v>
      </c>
      <c r="G1809" s="42">
        <v>16638.41</v>
      </c>
    </row>
    <row r="1810" spans="1:7" ht="14.25" customHeight="1">
      <c r="A1810" s="41">
        <v>44985</v>
      </c>
      <c r="B1810" s="7">
        <v>17383.25</v>
      </c>
      <c r="C1810" s="7">
        <v>17440.45</v>
      </c>
      <c r="D1810" s="7">
        <v>17255.2</v>
      </c>
      <c r="E1810" s="7">
        <v>17303.95</v>
      </c>
      <c r="F1810" s="7">
        <v>420881259</v>
      </c>
      <c r="G1810" s="42">
        <v>32959.769999999997</v>
      </c>
    </row>
    <row r="1811" spans="1:7" ht="14.25" customHeight="1">
      <c r="A1811" s="41">
        <v>44986</v>
      </c>
      <c r="B1811" s="7">
        <v>17360.099999999999</v>
      </c>
      <c r="C1811" s="7">
        <v>17467.75</v>
      </c>
      <c r="D1811" s="7">
        <v>17345.25</v>
      </c>
      <c r="E1811" s="7">
        <v>17450.900000000001</v>
      </c>
      <c r="F1811" s="7">
        <v>272881409</v>
      </c>
      <c r="G1811" s="42">
        <v>19784.53</v>
      </c>
    </row>
    <row r="1812" spans="1:7" ht="14.25" customHeight="1">
      <c r="A1812" s="41">
        <v>44987</v>
      </c>
      <c r="B1812" s="7">
        <v>17421.5</v>
      </c>
      <c r="C1812" s="7">
        <v>17445.8</v>
      </c>
      <c r="D1812" s="7">
        <v>17306</v>
      </c>
      <c r="E1812" s="7">
        <v>17321.900000000001</v>
      </c>
      <c r="F1812" s="7">
        <v>310669094</v>
      </c>
      <c r="G1812" s="42">
        <v>22068.68</v>
      </c>
    </row>
    <row r="1813" spans="1:7" ht="14.25" customHeight="1">
      <c r="A1813" s="41">
        <v>44988</v>
      </c>
      <c r="B1813" s="7">
        <v>17451.25</v>
      </c>
      <c r="C1813" s="7">
        <v>17644.75</v>
      </c>
      <c r="D1813" s="7">
        <v>17427.7</v>
      </c>
      <c r="E1813" s="7">
        <v>17594.349999999999</v>
      </c>
      <c r="F1813" s="7">
        <v>356169518</v>
      </c>
      <c r="G1813" s="42">
        <v>24143.96</v>
      </c>
    </row>
    <row r="1814" spans="1:7" ht="14.25" customHeight="1">
      <c r="A1814" s="41">
        <v>44991</v>
      </c>
      <c r="B1814" s="7">
        <v>17680.349999999999</v>
      </c>
      <c r="C1814" s="7">
        <v>17799.95</v>
      </c>
      <c r="D1814" s="7">
        <v>17671.95</v>
      </c>
      <c r="E1814" s="7">
        <v>17711.45</v>
      </c>
      <c r="F1814" s="7">
        <v>362801096</v>
      </c>
      <c r="G1814" s="42">
        <v>26959.41</v>
      </c>
    </row>
    <row r="1815" spans="1:7" ht="14.25" customHeight="1">
      <c r="A1815" s="41">
        <v>44993</v>
      </c>
      <c r="B1815" s="7">
        <v>17665.75</v>
      </c>
      <c r="C1815" s="7">
        <v>17766.5</v>
      </c>
      <c r="D1815" s="7">
        <v>17602.25</v>
      </c>
      <c r="E1815" s="7">
        <v>17754.400000000001</v>
      </c>
      <c r="F1815" s="7">
        <v>267041402</v>
      </c>
      <c r="G1815" s="42">
        <v>23155.56</v>
      </c>
    </row>
    <row r="1816" spans="1:7" ht="14.25" customHeight="1">
      <c r="A1816" s="41">
        <v>44994</v>
      </c>
      <c r="B1816" s="7">
        <v>17772.05</v>
      </c>
      <c r="C1816" s="7">
        <v>17772.349999999999</v>
      </c>
      <c r="D1816" s="7">
        <v>17573.599999999999</v>
      </c>
      <c r="E1816" s="7">
        <v>17589.599999999999</v>
      </c>
      <c r="F1816" s="7">
        <v>262352056</v>
      </c>
      <c r="G1816" s="42">
        <v>21964.17</v>
      </c>
    </row>
    <row r="1817" spans="1:7" ht="14.25" customHeight="1">
      <c r="A1817" s="41">
        <v>44995</v>
      </c>
      <c r="B1817" s="7">
        <v>17443.8</v>
      </c>
      <c r="C1817" s="7">
        <v>17451.5</v>
      </c>
      <c r="D1817" s="7">
        <v>17324.349999999999</v>
      </c>
      <c r="E1817" s="7">
        <v>17412.900000000001</v>
      </c>
      <c r="F1817" s="7">
        <v>235927570</v>
      </c>
      <c r="G1817" s="42">
        <v>19794.73</v>
      </c>
    </row>
    <row r="1818" spans="1:7" ht="14.25" customHeight="1">
      <c r="A1818" s="41">
        <v>44998</v>
      </c>
      <c r="B1818" s="7">
        <v>17421.900000000001</v>
      </c>
      <c r="C1818" s="7">
        <v>17529.900000000001</v>
      </c>
      <c r="D1818" s="7">
        <v>17113.45</v>
      </c>
      <c r="E1818" s="7">
        <v>17154.3</v>
      </c>
      <c r="F1818" s="7">
        <v>254914657</v>
      </c>
      <c r="G1818" s="42">
        <v>22860.67</v>
      </c>
    </row>
    <row r="1819" spans="1:7" ht="14.25" customHeight="1">
      <c r="A1819" s="41">
        <v>44999</v>
      </c>
      <c r="B1819" s="7">
        <v>17160.55</v>
      </c>
      <c r="C1819" s="7">
        <v>17224.650000000001</v>
      </c>
      <c r="D1819" s="7">
        <v>16987.099999999999</v>
      </c>
      <c r="E1819" s="7">
        <v>17043.3</v>
      </c>
      <c r="F1819" s="7">
        <v>290604200</v>
      </c>
      <c r="G1819" s="42">
        <v>26057.599999999999</v>
      </c>
    </row>
    <row r="1820" spans="1:7" ht="14.25" customHeight="1">
      <c r="A1820" s="41">
        <v>45000</v>
      </c>
      <c r="B1820" s="7">
        <v>17166.45</v>
      </c>
      <c r="C1820" s="7">
        <v>17211.349999999999</v>
      </c>
      <c r="D1820" s="7">
        <v>16938.900000000001</v>
      </c>
      <c r="E1820" s="7">
        <v>16972.150000000001</v>
      </c>
      <c r="F1820" s="7">
        <v>248188970</v>
      </c>
      <c r="G1820" s="42">
        <v>22659.09</v>
      </c>
    </row>
    <row r="1821" spans="1:7" ht="14.25" customHeight="1">
      <c r="A1821" s="41">
        <v>45001</v>
      </c>
      <c r="B1821" s="7">
        <v>16994.650000000001</v>
      </c>
      <c r="C1821" s="7">
        <v>17062.45</v>
      </c>
      <c r="D1821" s="7">
        <v>16850.150000000001</v>
      </c>
      <c r="E1821" s="7">
        <v>16985.599999999999</v>
      </c>
      <c r="F1821" s="7">
        <v>349820607</v>
      </c>
      <c r="G1821" s="42">
        <v>24198.71</v>
      </c>
    </row>
    <row r="1822" spans="1:7" ht="14.25" customHeight="1">
      <c r="A1822" s="41">
        <v>45002</v>
      </c>
      <c r="B1822" s="7">
        <v>17111.8</v>
      </c>
      <c r="C1822" s="7">
        <v>17145.8</v>
      </c>
      <c r="D1822" s="7">
        <v>16958.150000000001</v>
      </c>
      <c r="E1822" s="7">
        <v>17100.05</v>
      </c>
      <c r="F1822" s="7">
        <v>408121255</v>
      </c>
      <c r="G1822" s="42">
        <v>30478.42</v>
      </c>
    </row>
    <row r="1823" spans="1:7" ht="14.25" customHeight="1">
      <c r="A1823" s="41">
        <v>45005</v>
      </c>
      <c r="B1823" s="7">
        <v>17066.599999999999</v>
      </c>
      <c r="C1823" s="7">
        <v>17066.599999999999</v>
      </c>
      <c r="D1823" s="7">
        <v>16828.349999999999</v>
      </c>
      <c r="E1823" s="7">
        <v>16988.400000000001</v>
      </c>
      <c r="F1823" s="7">
        <v>241777405</v>
      </c>
      <c r="G1823" s="42">
        <v>21454.09</v>
      </c>
    </row>
    <row r="1824" spans="1:7" ht="14.25" customHeight="1">
      <c r="A1824" s="41">
        <v>45006</v>
      </c>
      <c r="B1824" s="7">
        <v>17060.400000000001</v>
      </c>
      <c r="C1824" s="7">
        <v>17127.7</v>
      </c>
      <c r="D1824" s="7">
        <v>17016</v>
      </c>
      <c r="E1824" s="7">
        <v>17107.5</v>
      </c>
      <c r="F1824" s="7">
        <v>246737873</v>
      </c>
      <c r="G1824" s="42">
        <v>22039.11</v>
      </c>
    </row>
    <row r="1825" spans="1:7" ht="14.25" customHeight="1">
      <c r="A1825" s="41">
        <v>45007</v>
      </c>
      <c r="B1825" s="7">
        <v>17177.45</v>
      </c>
      <c r="C1825" s="7">
        <v>17207.25</v>
      </c>
      <c r="D1825" s="7">
        <v>17107.849999999999</v>
      </c>
      <c r="E1825" s="7">
        <v>17151.900000000001</v>
      </c>
      <c r="F1825" s="7">
        <v>185700457</v>
      </c>
      <c r="G1825" s="42">
        <v>15712</v>
      </c>
    </row>
    <row r="1826" spans="1:7" ht="14.25" customHeight="1">
      <c r="A1826" s="41">
        <v>45008</v>
      </c>
      <c r="B1826" s="7">
        <v>17097.400000000001</v>
      </c>
      <c r="C1826" s="7">
        <v>17205.400000000001</v>
      </c>
      <c r="D1826" s="7">
        <v>17045.3</v>
      </c>
      <c r="E1826" s="7">
        <v>17076.900000000001</v>
      </c>
      <c r="F1826" s="7">
        <v>219171517</v>
      </c>
      <c r="G1826" s="42">
        <v>19676.97</v>
      </c>
    </row>
    <row r="1827" spans="1:7" ht="14.25" customHeight="1">
      <c r="A1827" s="41">
        <v>45009</v>
      </c>
      <c r="B1827" s="7">
        <v>17076.2</v>
      </c>
      <c r="C1827" s="7">
        <v>17109.45</v>
      </c>
      <c r="D1827" s="7">
        <v>16917.349999999999</v>
      </c>
      <c r="E1827" s="7">
        <v>16945.05</v>
      </c>
      <c r="F1827" s="7">
        <v>228038299</v>
      </c>
      <c r="G1827" s="42">
        <v>19019.88</v>
      </c>
    </row>
    <row r="1828" spans="1:7" ht="14.25" customHeight="1">
      <c r="A1828" s="41">
        <v>45012</v>
      </c>
      <c r="B1828" s="7">
        <v>16984.3</v>
      </c>
      <c r="C1828" s="7">
        <v>17091</v>
      </c>
      <c r="D1828" s="7">
        <v>16918.55</v>
      </c>
      <c r="E1828" s="7">
        <v>16985.7</v>
      </c>
      <c r="F1828" s="7">
        <v>218418670</v>
      </c>
      <c r="G1828" s="42">
        <v>18466.560000000001</v>
      </c>
    </row>
    <row r="1829" spans="1:7" ht="14.25" customHeight="1">
      <c r="A1829" s="41">
        <v>45013</v>
      </c>
      <c r="B1829" s="7">
        <v>17031.75</v>
      </c>
      <c r="C1829" s="7">
        <v>17061.75</v>
      </c>
      <c r="D1829" s="7">
        <v>16913.75</v>
      </c>
      <c r="E1829" s="7">
        <v>16951.7</v>
      </c>
      <c r="F1829" s="7">
        <v>238840919</v>
      </c>
      <c r="G1829" s="42">
        <v>20942.5</v>
      </c>
    </row>
    <row r="1830" spans="1:7" ht="14.25" customHeight="1">
      <c r="A1830" s="41">
        <v>45014</v>
      </c>
      <c r="B1830" s="7">
        <v>16977.3</v>
      </c>
      <c r="C1830" s="7">
        <v>17126.150000000001</v>
      </c>
      <c r="D1830" s="7">
        <v>16940.599999999999</v>
      </c>
      <c r="E1830" s="7">
        <v>17080.7</v>
      </c>
      <c r="F1830" s="7">
        <v>345911087</v>
      </c>
      <c r="G1830" s="42">
        <v>27261.74</v>
      </c>
    </row>
    <row r="1831" spans="1:7" ht="14.25" customHeight="1">
      <c r="A1831" s="41">
        <v>45016</v>
      </c>
      <c r="B1831" s="7">
        <v>17210.349999999999</v>
      </c>
      <c r="C1831" s="7">
        <v>17381.599999999999</v>
      </c>
      <c r="D1831" s="7">
        <v>17204.650000000001</v>
      </c>
      <c r="E1831" s="7">
        <v>17359.75</v>
      </c>
      <c r="F1831" s="7">
        <v>263889033</v>
      </c>
      <c r="G1831" s="42">
        <v>24970.98</v>
      </c>
    </row>
    <row r="1832" spans="1:7" ht="14.25" customHeight="1">
      <c r="A1832" s="41">
        <v>45019</v>
      </c>
      <c r="B1832" s="7">
        <v>17427.95</v>
      </c>
      <c r="C1832" s="7">
        <v>17428.05</v>
      </c>
      <c r="D1832" s="7">
        <v>17312.75</v>
      </c>
      <c r="E1832" s="7">
        <v>17398.05</v>
      </c>
      <c r="F1832" s="7">
        <v>230170687</v>
      </c>
      <c r="G1832" s="42">
        <v>20359.580000000002</v>
      </c>
    </row>
    <row r="1833" spans="1:7" ht="14.25" customHeight="1">
      <c r="A1833" s="41">
        <v>45021</v>
      </c>
      <c r="B1833" s="7">
        <v>17422.3</v>
      </c>
      <c r="C1833" s="7">
        <v>17570.55</v>
      </c>
      <c r="D1833" s="7">
        <v>17402.7</v>
      </c>
      <c r="E1833" s="7">
        <v>17557.05</v>
      </c>
      <c r="F1833" s="7">
        <v>248345193</v>
      </c>
      <c r="G1833" s="42">
        <v>23911.75</v>
      </c>
    </row>
    <row r="1834" spans="1:7" ht="14.25" customHeight="1">
      <c r="A1834" s="41">
        <v>45022</v>
      </c>
      <c r="B1834" s="7">
        <v>17533.849999999999</v>
      </c>
      <c r="C1834" s="7">
        <v>17638.7</v>
      </c>
      <c r="D1834" s="7">
        <v>17502.849999999999</v>
      </c>
      <c r="E1834" s="7">
        <v>17599.150000000001</v>
      </c>
      <c r="F1834" s="7">
        <v>242708337</v>
      </c>
      <c r="G1834" s="42">
        <v>23543.21</v>
      </c>
    </row>
    <row r="1835" spans="1:7" ht="14.25" customHeight="1">
      <c r="A1835" s="41">
        <v>45026</v>
      </c>
      <c r="B1835" s="7">
        <v>17634.900000000001</v>
      </c>
      <c r="C1835" s="7">
        <v>17694.099999999999</v>
      </c>
      <c r="D1835" s="7">
        <v>17597.95</v>
      </c>
      <c r="E1835" s="7">
        <v>17624.05</v>
      </c>
      <c r="F1835" s="7">
        <v>254819382</v>
      </c>
      <c r="G1835" s="42">
        <v>21092.06</v>
      </c>
    </row>
    <row r="1836" spans="1:7" ht="14.25" customHeight="1">
      <c r="A1836" s="41">
        <v>45027</v>
      </c>
      <c r="B1836" s="7">
        <v>17704.8</v>
      </c>
      <c r="C1836" s="7">
        <v>17748.75</v>
      </c>
      <c r="D1836" s="7">
        <v>17655.150000000001</v>
      </c>
      <c r="E1836" s="7">
        <v>17722.3</v>
      </c>
      <c r="F1836" s="7">
        <v>304263454</v>
      </c>
      <c r="G1836" s="42">
        <v>25841.64</v>
      </c>
    </row>
    <row r="1837" spans="1:7" ht="14.25" customHeight="1">
      <c r="A1837" s="41">
        <v>45028</v>
      </c>
      <c r="B1837" s="7">
        <v>17759.55</v>
      </c>
      <c r="C1837" s="7">
        <v>17825.75</v>
      </c>
      <c r="D1837" s="7">
        <v>17717.25</v>
      </c>
      <c r="E1837" s="7">
        <v>17812.400000000001</v>
      </c>
      <c r="F1837" s="7">
        <v>232816318</v>
      </c>
      <c r="G1837" s="42">
        <v>22851.93</v>
      </c>
    </row>
    <row r="1838" spans="1:7" ht="14.25" customHeight="1">
      <c r="A1838" s="41">
        <v>45029</v>
      </c>
      <c r="B1838" s="7">
        <v>17807.3</v>
      </c>
      <c r="C1838" s="7">
        <v>17842.150000000001</v>
      </c>
      <c r="D1838" s="7">
        <v>17729.650000000001</v>
      </c>
      <c r="E1838" s="7">
        <v>17828</v>
      </c>
      <c r="F1838" s="7">
        <v>285764798</v>
      </c>
      <c r="G1838" s="42">
        <v>26460.2</v>
      </c>
    </row>
    <row r="1839" spans="1:7" ht="14.25" customHeight="1">
      <c r="A1839" s="41">
        <v>45033</v>
      </c>
      <c r="B1839" s="7">
        <v>17863</v>
      </c>
      <c r="C1839" s="7">
        <v>17863</v>
      </c>
      <c r="D1839" s="7">
        <v>17574.05</v>
      </c>
      <c r="E1839" s="7">
        <v>17706.849999999999</v>
      </c>
      <c r="F1839" s="7">
        <v>357401212</v>
      </c>
      <c r="G1839" s="42">
        <v>35118.57</v>
      </c>
    </row>
    <row r="1840" spans="1:7" ht="14.25" customHeight="1">
      <c r="A1840" s="41">
        <v>45034</v>
      </c>
      <c r="B1840" s="7">
        <v>17766.599999999999</v>
      </c>
      <c r="C1840" s="7">
        <v>17766.599999999999</v>
      </c>
      <c r="D1840" s="7">
        <v>17610.2</v>
      </c>
      <c r="E1840" s="7">
        <v>17660.150000000001</v>
      </c>
      <c r="F1840" s="7">
        <v>258856690</v>
      </c>
      <c r="G1840" s="42">
        <v>23032.99</v>
      </c>
    </row>
    <row r="1841" spans="1:7" ht="14.25" customHeight="1">
      <c r="A1841" s="41">
        <v>45035</v>
      </c>
      <c r="B1841" s="7">
        <v>17653.349999999999</v>
      </c>
      <c r="C1841" s="7">
        <v>17666.150000000001</v>
      </c>
      <c r="D1841" s="7">
        <v>17579.849999999999</v>
      </c>
      <c r="E1841" s="7">
        <v>17618.75</v>
      </c>
      <c r="F1841" s="7">
        <v>281463379</v>
      </c>
      <c r="G1841" s="42">
        <v>21562.080000000002</v>
      </c>
    </row>
    <row r="1842" spans="1:7" ht="14.25" customHeight="1">
      <c r="A1842" s="41">
        <v>45036</v>
      </c>
      <c r="B1842" s="7">
        <v>17638.599999999999</v>
      </c>
      <c r="C1842" s="7">
        <v>17684.45</v>
      </c>
      <c r="D1842" s="7">
        <v>17584.349999999999</v>
      </c>
      <c r="E1842" s="7">
        <v>17624.45</v>
      </c>
      <c r="F1842" s="7">
        <v>215103396</v>
      </c>
      <c r="G1842" s="42">
        <v>19457.45</v>
      </c>
    </row>
    <row r="1843" spans="1:7" ht="14.25" customHeight="1">
      <c r="A1843" s="41">
        <v>45037</v>
      </c>
      <c r="B1843" s="7">
        <v>17639.75</v>
      </c>
      <c r="C1843" s="7">
        <v>17663.2</v>
      </c>
      <c r="D1843" s="7">
        <v>17553.95</v>
      </c>
      <c r="E1843" s="7">
        <v>17624.05</v>
      </c>
      <c r="F1843" s="7">
        <v>230156645</v>
      </c>
      <c r="G1843" s="42">
        <v>19091.439999999999</v>
      </c>
    </row>
    <row r="1844" spans="1:7" ht="14.25" customHeight="1">
      <c r="A1844" s="41">
        <v>45040</v>
      </c>
      <c r="B1844" s="7">
        <v>17707.55</v>
      </c>
      <c r="C1844" s="7">
        <v>17754.5</v>
      </c>
      <c r="D1844" s="7">
        <v>17612.5</v>
      </c>
      <c r="E1844" s="7">
        <v>17743.400000000001</v>
      </c>
      <c r="F1844" s="7">
        <v>255740393</v>
      </c>
      <c r="G1844" s="42">
        <v>23142.94</v>
      </c>
    </row>
    <row r="1845" spans="1:7" ht="14.25" customHeight="1">
      <c r="A1845" s="41">
        <v>45041</v>
      </c>
      <c r="B1845" s="7">
        <v>17761.55</v>
      </c>
      <c r="C1845" s="7">
        <v>17807.45</v>
      </c>
      <c r="D1845" s="7">
        <v>17716.849999999999</v>
      </c>
      <c r="E1845" s="7">
        <v>17769.25</v>
      </c>
      <c r="F1845" s="7">
        <v>297445999</v>
      </c>
      <c r="G1845" s="42">
        <v>28819.53</v>
      </c>
    </row>
    <row r="1846" spans="1:7" ht="14.25" customHeight="1">
      <c r="A1846" s="41">
        <v>45042</v>
      </c>
      <c r="B1846" s="7">
        <v>17767.3</v>
      </c>
      <c r="C1846" s="7">
        <v>17827.75</v>
      </c>
      <c r="D1846" s="7">
        <v>17711.2</v>
      </c>
      <c r="E1846" s="7">
        <v>17813.599999999999</v>
      </c>
      <c r="F1846" s="7">
        <v>233008677</v>
      </c>
      <c r="G1846" s="42">
        <v>21295.14</v>
      </c>
    </row>
    <row r="1847" spans="1:7" ht="14.25" customHeight="1">
      <c r="A1847" s="41">
        <v>45043</v>
      </c>
      <c r="B1847" s="7">
        <v>17813.099999999999</v>
      </c>
      <c r="C1847" s="7">
        <v>17931.599999999999</v>
      </c>
      <c r="D1847" s="7">
        <v>17797.900000000001</v>
      </c>
      <c r="E1847" s="7">
        <v>17915.05</v>
      </c>
      <c r="F1847" s="7">
        <v>241434660</v>
      </c>
      <c r="G1847" s="42">
        <v>24454.15</v>
      </c>
    </row>
    <row r="1848" spans="1:7" ht="14.25" customHeight="1">
      <c r="A1848" s="41">
        <v>45044</v>
      </c>
      <c r="B1848" s="7">
        <v>17950.400000000001</v>
      </c>
      <c r="C1848" s="7">
        <v>18089.150000000001</v>
      </c>
      <c r="D1848" s="7">
        <v>17885.3</v>
      </c>
      <c r="E1848" s="7">
        <v>18065</v>
      </c>
      <c r="F1848" s="7">
        <v>290263674</v>
      </c>
      <c r="G1848" s="42">
        <v>27026.12</v>
      </c>
    </row>
    <row r="1849" spans="1:7" ht="14.25" customHeight="1">
      <c r="A1849" s="41">
        <v>45048</v>
      </c>
      <c r="B1849" s="7">
        <v>18124.8</v>
      </c>
      <c r="C1849" s="7">
        <v>18180.25</v>
      </c>
      <c r="D1849" s="7">
        <v>18101.75</v>
      </c>
      <c r="E1849" s="7">
        <v>18147.650000000001</v>
      </c>
      <c r="F1849" s="7">
        <v>265216308</v>
      </c>
      <c r="G1849" s="42">
        <v>23615.47</v>
      </c>
    </row>
    <row r="1850" spans="1:7" ht="14.25" customHeight="1">
      <c r="A1850" s="41">
        <v>45049</v>
      </c>
      <c r="B1850" s="7">
        <v>18113.8</v>
      </c>
      <c r="C1850" s="7">
        <v>18116.349999999999</v>
      </c>
      <c r="D1850" s="7">
        <v>18042.400000000001</v>
      </c>
      <c r="E1850" s="7">
        <v>18089.849999999999</v>
      </c>
      <c r="F1850" s="7">
        <v>226171254</v>
      </c>
      <c r="G1850" s="42">
        <v>19079.79</v>
      </c>
    </row>
    <row r="1851" spans="1:7" ht="14.25" customHeight="1">
      <c r="A1851" s="41">
        <v>45050</v>
      </c>
      <c r="B1851" s="7">
        <v>18081</v>
      </c>
      <c r="C1851" s="7">
        <v>18267.45</v>
      </c>
      <c r="D1851" s="7">
        <v>18066.7</v>
      </c>
      <c r="E1851" s="7">
        <v>18255.8</v>
      </c>
      <c r="F1851" s="7">
        <v>226643581</v>
      </c>
      <c r="G1851" s="42">
        <v>21889.48</v>
      </c>
    </row>
    <row r="1852" spans="1:7" ht="14.25" customHeight="1">
      <c r="A1852" s="41">
        <v>45051</v>
      </c>
      <c r="B1852" s="7">
        <v>18117.3</v>
      </c>
      <c r="C1852" s="7">
        <v>18216.95</v>
      </c>
      <c r="D1852" s="7">
        <v>18055.45</v>
      </c>
      <c r="E1852" s="7">
        <v>18069</v>
      </c>
      <c r="F1852" s="7">
        <v>239702311</v>
      </c>
      <c r="G1852" s="42">
        <v>26152.880000000001</v>
      </c>
    </row>
    <row r="1853" spans="1:7" ht="14.25" customHeight="1">
      <c r="A1853" s="41">
        <v>45054</v>
      </c>
      <c r="B1853" s="7">
        <v>18120.599999999999</v>
      </c>
      <c r="C1853" s="7">
        <v>18286.95</v>
      </c>
      <c r="D1853" s="7">
        <v>18100.3</v>
      </c>
      <c r="E1853" s="7">
        <v>18264.400000000001</v>
      </c>
      <c r="F1853" s="7">
        <v>228399379</v>
      </c>
      <c r="G1853" s="42">
        <v>22687.94</v>
      </c>
    </row>
    <row r="1854" spans="1:7" ht="14.25" customHeight="1">
      <c r="A1854" s="41">
        <v>45055</v>
      </c>
      <c r="B1854" s="7">
        <v>18303.400000000001</v>
      </c>
      <c r="C1854" s="7">
        <v>18344.2</v>
      </c>
      <c r="D1854" s="7">
        <v>18229.650000000001</v>
      </c>
      <c r="E1854" s="7">
        <v>18265.95</v>
      </c>
      <c r="F1854" s="7">
        <v>245368649</v>
      </c>
      <c r="G1854" s="42">
        <v>23478.06</v>
      </c>
    </row>
    <row r="1855" spans="1:7" ht="14.25" customHeight="1">
      <c r="A1855" s="41">
        <v>45056</v>
      </c>
      <c r="B1855" s="7">
        <v>18313.599999999999</v>
      </c>
      <c r="C1855" s="7">
        <v>18326.75</v>
      </c>
      <c r="D1855" s="7">
        <v>18211.95</v>
      </c>
      <c r="E1855" s="7">
        <v>18315.099999999999</v>
      </c>
      <c r="F1855" s="7">
        <v>220450874</v>
      </c>
      <c r="G1855" s="42">
        <v>21416.41</v>
      </c>
    </row>
    <row r="1856" spans="1:7" ht="14.25" customHeight="1">
      <c r="A1856" s="41">
        <v>45057</v>
      </c>
      <c r="B1856" s="7">
        <v>18357.8</v>
      </c>
      <c r="C1856" s="7">
        <v>18389.7</v>
      </c>
      <c r="D1856" s="7">
        <v>18270.400000000001</v>
      </c>
      <c r="E1856" s="7">
        <v>18297</v>
      </c>
      <c r="F1856" s="7">
        <v>248932544</v>
      </c>
      <c r="G1856" s="42">
        <v>26440.1</v>
      </c>
    </row>
    <row r="1857" spans="1:7" ht="14.25" customHeight="1">
      <c r="A1857" s="41">
        <v>45058</v>
      </c>
      <c r="B1857" s="7">
        <v>18273.75</v>
      </c>
      <c r="C1857" s="7">
        <v>18342.75</v>
      </c>
      <c r="D1857" s="7">
        <v>18194.55</v>
      </c>
      <c r="E1857" s="7">
        <v>18314.8</v>
      </c>
      <c r="F1857" s="7">
        <v>241702589</v>
      </c>
      <c r="G1857" s="42">
        <v>22046.04</v>
      </c>
    </row>
    <row r="1858" spans="1:7" ht="14.25" customHeight="1">
      <c r="A1858" s="41">
        <v>45061</v>
      </c>
      <c r="B1858" s="7">
        <v>18339.3</v>
      </c>
      <c r="C1858" s="7">
        <v>18458.900000000001</v>
      </c>
      <c r="D1858" s="7">
        <v>18287.900000000001</v>
      </c>
      <c r="E1858" s="7">
        <v>18398.849999999999</v>
      </c>
      <c r="F1858" s="7">
        <v>216088535</v>
      </c>
      <c r="G1858" s="42">
        <v>19329.75</v>
      </c>
    </row>
    <row r="1859" spans="1:7" ht="14.25" customHeight="1">
      <c r="A1859" s="41">
        <v>45062</v>
      </c>
      <c r="B1859" s="7">
        <v>18432.349999999999</v>
      </c>
      <c r="C1859" s="7">
        <v>18432.349999999999</v>
      </c>
      <c r="D1859" s="7">
        <v>18264.349999999999</v>
      </c>
      <c r="E1859" s="7">
        <v>18286.5</v>
      </c>
      <c r="F1859" s="7">
        <v>219490491</v>
      </c>
      <c r="G1859" s="42">
        <v>21063.78</v>
      </c>
    </row>
    <row r="1860" spans="1:7" ht="14.25" customHeight="1">
      <c r="A1860" s="41">
        <v>45063</v>
      </c>
      <c r="B1860" s="7">
        <v>18300.45</v>
      </c>
      <c r="C1860" s="7">
        <v>18309</v>
      </c>
      <c r="D1860" s="7">
        <v>18115.349999999999</v>
      </c>
      <c r="E1860" s="7">
        <v>18181.75</v>
      </c>
      <c r="F1860" s="7">
        <v>229898510</v>
      </c>
      <c r="G1860" s="42">
        <v>20903.12</v>
      </c>
    </row>
    <row r="1861" spans="1:7" ht="14.25" customHeight="1">
      <c r="A1861" s="41">
        <v>45064</v>
      </c>
      <c r="B1861" s="7">
        <v>18287.5</v>
      </c>
      <c r="C1861" s="7">
        <v>18297.2</v>
      </c>
      <c r="D1861" s="7">
        <v>18104.849999999999</v>
      </c>
      <c r="E1861" s="7">
        <v>18129.95</v>
      </c>
      <c r="F1861" s="7">
        <v>272103515</v>
      </c>
      <c r="G1861" s="42">
        <v>24172.44</v>
      </c>
    </row>
    <row r="1862" spans="1:7" ht="14.25" customHeight="1">
      <c r="A1862" s="41">
        <v>45065</v>
      </c>
      <c r="B1862" s="7">
        <v>18186.150000000001</v>
      </c>
      <c r="C1862" s="7">
        <v>18218.099999999999</v>
      </c>
      <c r="D1862" s="7">
        <v>18060.400000000001</v>
      </c>
      <c r="E1862" s="7">
        <v>18203.400000000001</v>
      </c>
      <c r="F1862" s="7">
        <v>260898407</v>
      </c>
      <c r="G1862" s="42">
        <v>22105.67</v>
      </c>
    </row>
    <row r="1863" spans="1:7" ht="14.25" customHeight="1">
      <c r="A1863" s="41">
        <v>45068</v>
      </c>
      <c r="B1863" s="7">
        <v>18201.099999999999</v>
      </c>
      <c r="C1863" s="7">
        <v>18335.25</v>
      </c>
      <c r="D1863" s="7">
        <v>18178.849999999999</v>
      </c>
      <c r="E1863" s="7">
        <v>18314.400000000001</v>
      </c>
      <c r="F1863" s="7">
        <v>262560942</v>
      </c>
      <c r="G1863" s="42">
        <v>25147.58</v>
      </c>
    </row>
    <row r="1864" spans="1:7" ht="14.25" customHeight="1">
      <c r="A1864" s="41">
        <v>45069</v>
      </c>
      <c r="B1864" s="7">
        <v>18362.900000000001</v>
      </c>
      <c r="C1864" s="7">
        <v>18419.75</v>
      </c>
      <c r="D1864" s="7">
        <v>18324.2</v>
      </c>
      <c r="E1864" s="7">
        <v>18348</v>
      </c>
      <c r="F1864" s="7">
        <v>270354216</v>
      </c>
      <c r="G1864" s="42">
        <v>28648.15</v>
      </c>
    </row>
    <row r="1865" spans="1:7" ht="14.25" customHeight="1">
      <c r="A1865" s="41">
        <v>45070</v>
      </c>
      <c r="B1865" s="7">
        <v>18294.8</v>
      </c>
      <c r="C1865" s="7">
        <v>18392.599999999999</v>
      </c>
      <c r="D1865" s="7">
        <v>18262.95</v>
      </c>
      <c r="E1865" s="7">
        <v>18285.400000000001</v>
      </c>
      <c r="F1865" s="7">
        <v>232621507</v>
      </c>
      <c r="G1865" s="42">
        <v>24273.17</v>
      </c>
    </row>
    <row r="1866" spans="1:7" ht="14.25" customHeight="1">
      <c r="A1866" s="41">
        <v>45071</v>
      </c>
      <c r="B1866" s="7">
        <v>18268.900000000001</v>
      </c>
      <c r="C1866" s="7">
        <v>18338.099999999999</v>
      </c>
      <c r="D1866" s="7">
        <v>18202.400000000001</v>
      </c>
      <c r="E1866" s="7">
        <v>18321.150000000001</v>
      </c>
      <c r="F1866" s="7">
        <v>235915651</v>
      </c>
      <c r="G1866" s="42">
        <v>22411.41</v>
      </c>
    </row>
    <row r="1867" spans="1:7" ht="14.25" customHeight="1">
      <c r="A1867" s="41">
        <v>45072</v>
      </c>
      <c r="B1867" s="7">
        <v>18368.349999999999</v>
      </c>
      <c r="C1867" s="7">
        <v>18508.55</v>
      </c>
      <c r="D1867" s="7">
        <v>18333.150000000001</v>
      </c>
      <c r="E1867" s="7">
        <v>18499.349999999999</v>
      </c>
      <c r="F1867" s="7">
        <v>198668359</v>
      </c>
      <c r="G1867" s="42">
        <v>19094.080000000002</v>
      </c>
    </row>
    <row r="1868" spans="1:7" ht="14.25" customHeight="1">
      <c r="A1868" s="41">
        <v>45075</v>
      </c>
      <c r="B1868" s="7">
        <v>18619.150000000001</v>
      </c>
      <c r="C1868" s="7">
        <v>18641.2</v>
      </c>
      <c r="D1868" s="7">
        <v>18581.25</v>
      </c>
      <c r="E1868" s="7">
        <v>18598.650000000001</v>
      </c>
      <c r="F1868" s="7">
        <v>265323978</v>
      </c>
      <c r="G1868" s="42">
        <v>19237.57</v>
      </c>
    </row>
    <row r="1869" spans="1:7" ht="14.25" customHeight="1">
      <c r="A1869" s="41">
        <v>45076</v>
      </c>
      <c r="B1869" s="7">
        <v>18606.650000000001</v>
      </c>
      <c r="C1869" s="7">
        <v>18662.45</v>
      </c>
      <c r="D1869" s="7">
        <v>18575.5</v>
      </c>
      <c r="E1869" s="7">
        <v>18633.849999999999</v>
      </c>
      <c r="F1869" s="7">
        <v>234391323</v>
      </c>
      <c r="G1869" s="42">
        <v>21660.69</v>
      </c>
    </row>
    <row r="1870" spans="1:7" ht="14.25" customHeight="1">
      <c r="A1870" s="41">
        <v>45077</v>
      </c>
      <c r="B1870" s="7">
        <v>18594.2</v>
      </c>
      <c r="C1870" s="7">
        <v>18603.900000000001</v>
      </c>
      <c r="D1870" s="7">
        <v>18483.849999999999</v>
      </c>
      <c r="E1870" s="7">
        <v>18534.400000000001</v>
      </c>
      <c r="F1870" s="7">
        <v>696495765</v>
      </c>
      <c r="G1870" s="42">
        <v>70755.08</v>
      </c>
    </row>
    <row r="1871" spans="1:7" ht="14.25" customHeight="1">
      <c r="A1871" s="41">
        <v>45078</v>
      </c>
      <c r="B1871" s="7">
        <v>18579.400000000001</v>
      </c>
      <c r="C1871" s="7">
        <v>18580.3</v>
      </c>
      <c r="D1871" s="7">
        <v>18464.55</v>
      </c>
      <c r="E1871" s="7">
        <v>18487.75</v>
      </c>
      <c r="F1871" s="7">
        <v>265630759</v>
      </c>
      <c r="G1871" s="42">
        <v>24056.99</v>
      </c>
    </row>
    <row r="1872" spans="1:7" ht="14.25" customHeight="1">
      <c r="A1872" s="41">
        <v>45079</v>
      </c>
      <c r="B1872" s="7">
        <v>18550.849999999999</v>
      </c>
      <c r="C1872" s="7">
        <v>18573.7</v>
      </c>
      <c r="D1872" s="7">
        <v>18478.400000000001</v>
      </c>
      <c r="E1872" s="7">
        <v>18534.099999999999</v>
      </c>
      <c r="F1872" s="7">
        <v>270923679</v>
      </c>
      <c r="G1872" s="42">
        <v>23171.88</v>
      </c>
    </row>
    <row r="1873" spans="1:7" ht="14.25" customHeight="1">
      <c r="A1873" s="41">
        <v>45082</v>
      </c>
      <c r="B1873" s="7">
        <v>18612</v>
      </c>
      <c r="C1873" s="7">
        <v>18640.150000000001</v>
      </c>
      <c r="D1873" s="7">
        <v>18582.8</v>
      </c>
      <c r="E1873" s="7">
        <v>18593.849999999999</v>
      </c>
      <c r="F1873" s="7">
        <v>256111496</v>
      </c>
      <c r="G1873" s="42">
        <v>20369.16</v>
      </c>
    </row>
    <row r="1874" spans="1:7" ht="14.25" customHeight="1">
      <c r="A1874" s="41">
        <v>45083</v>
      </c>
      <c r="B1874" s="7">
        <v>18600.8</v>
      </c>
      <c r="C1874" s="7">
        <v>18622.75</v>
      </c>
      <c r="D1874" s="7">
        <v>18531.599999999999</v>
      </c>
      <c r="E1874" s="7">
        <v>18599</v>
      </c>
      <c r="F1874" s="7">
        <v>220789926</v>
      </c>
      <c r="G1874" s="42">
        <v>21957.47</v>
      </c>
    </row>
    <row r="1875" spans="1:7" ht="14.25" customHeight="1">
      <c r="A1875" s="41">
        <v>45084</v>
      </c>
      <c r="B1875" s="7">
        <v>18665.599999999999</v>
      </c>
      <c r="C1875" s="7">
        <v>18738.95</v>
      </c>
      <c r="D1875" s="7">
        <v>18636</v>
      </c>
      <c r="E1875" s="7">
        <v>18726.400000000001</v>
      </c>
      <c r="F1875" s="7">
        <v>260109671</v>
      </c>
      <c r="G1875" s="42">
        <v>21482.77</v>
      </c>
    </row>
    <row r="1876" spans="1:7" ht="14.25" customHeight="1">
      <c r="A1876" s="41">
        <v>45085</v>
      </c>
      <c r="B1876" s="7">
        <v>18725.349999999999</v>
      </c>
      <c r="C1876" s="7">
        <v>18777.900000000001</v>
      </c>
      <c r="D1876" s="7">
        <v>18615.599999999999</v>
      </c>
      <c r="E1876" s="7">
        <v>18634.55</v>
      </c>
      <c r="F1876" s="7">
        <v>286468927</v>
      </c>
      <c r="G1876" s="42">
        <v>22762.3</v>
      </c>
    </row>
    <row r="1877" spans="1:7" ht="14.25" customHeight="1">
      <c r="A1877" s="41">
        <v>45086</v>
      </c>
      <c r="B1877" s="7">
        <v>18655.900000000001</v>
      </c>
      <c r="C1877" s="7">
        <v>18676.650000000001</v>
      </c>
      <c r="D1877" s="7">
        <v>18555.400000000001</v>
      </c>
      <c r="E1877" s="7">
        <v>18563.400000000001</v>
      </c>
      <c r="F1877" s="7">
        <v>221760885</v>
      </c>
      <c r="G1877" s="42">
        <v>20181.419999999998</v>
      </c>
    </row>
    <row r="1878" spans="1:7" ht="14.25" customHeight="1">
      <c r="A1878" s="41">
        <v>45089</v>
      </c>
      <c r="B1878" s="7">
        <v>18595.05</v>
      </c>
      <c r="C1878" s="7">
        <v>18633.599999999999</v>
      </c>
      <c r="D1878" s="7">
        <v>18559.75</v>
      </c>
      <c r="E1878" s="7">
        <v>18601.5</v>
      </c>
      <c r="F1878" s="7">
        <v>179463966</v>
      </c>
      <c r="G1878" s="42">
        <v>15386.04</v>
      </c>
    </row>
    <row r="1879" spans="1:7" ht="14.25" customHeight="1">
      <c r="A1879" s="41">
        <v>45090</v>
      </c>
      <c r="B1879" s="7">
        <v>18631.8</v>
      </c>
      <c r="C1879" s="7">
        <v>18728.900000000001</v>
      </c>
      <c r="D1879" s="7">
        <v>18631.8</v>
      </c>
      <c r="E1879" s="7">
        <v>18716.150000000001</v>
      </c>
      <c r="F1879" s="7">
        <v>233167883</v>
      </c>
      <c r="G1879" s="42">
        <v>22612.62</v>
      </c>
    </row>
    <row r="1880" spans="1:7" ht="14.25" customHeight="1">
      <c r="A1880" s="41">
        <v>45091</v>
      </c>
      <c r="B1880" s="7">
        <v>18744.599999999999</v>
      </c>
      <c r="C1880" s="7">
        <v>18769.7</v>
      </c>
      <c r="D1880" s="7">
        <v>18690</v>
      </c>
      <c r="E1880" s="7">
        <v>18755.900000000001</v>
      </c>
      <c r="F1880" s="7">
        <v>261354575</v>
      </c>
      <c r="G1880" s="42">
        <v>19520.080000000002</v>
      </c>
    </row>
    <row r="1881" spans="1:7" ht="14.25" customHeight="1">
      <c r="A1881" s="41">
        <v>45092</v>
      </c>
      <c r="B1881" s="7">
        <v>18774.45</v>
      </c>
      <c r="C1881" s="7">
        <v>18794.099999999999</v>
      </c>
      <c r="D1881" s="7">
        <v>18669.05</v>
      </c>
      <c r="E1881" s="7">
        <v>18688.099999999999</v>
      </c>
      <c r="F1881" s="7">
        <v>263004991</v>
      </c>
      <c r="G1881" s="42">
        <v>24820.77</v>
      </c>
    </row>
    <row r="1882" spans="1:7" ht="14.25" customHeight="1">
      <c r="A1882" s="41">
        <v>45093</v>
      </c>
      <c r="B1882" s="7">
        <v>18723.3</v>
      </c>
      <c r="C1882" s="7">
        <v>18864.7</v>
      </c>
      <c r="D1882" s="7">
        <v>18710.5</v>
      </c>
      <c r="E1882" s="7">
        <v>18826</v>
      </c>
      <c r="F1882" s="7">
        <v>272771256</v>
      </c>
      <c r="G1882" s="42">
        <v>28877.67</v>
      </c>
    </row>
    <row r="1883" spans="1:7" ht="14.25" customHeight="1">
      <c r="A1883" s="41">
        <v>45096</v>
      </c>
      <c r="B1883" s="7">
        <v>18873.3</v>
      </c>
      <c r="C1883" s="7">
        <v>18881.45</v>
      </c>
      <c r="D1883" s="7">
        <v>18719.150000000001</v>
      </c>
      <c r="E1883" s="7">
        <v>18755.45</v>
      </c>
      <c r="F1883" s="7">
        <v>219815214</v>
      </c>
      <c r="G1883" s="42">
        <v>22699.84</v>
      </c>
    </row>
    <row r="1884" spans="1:7" ht="14.25" customHeight="1">
      <c r="A1884" s="41">
        <v>45097</v>
      </c>
      <c r="B1884" s="7">
        <v>18752.349999999999</v>
      </c>
      <c r="C1884" s="7">
        <v>18839.7</v>
      </c>
      <c r="D1884" s="7">
        <v>18660.650000000001</v>
      </c>
      <c r="E1884" s="7">
        <v>18816.7</v>
      </c>
      <c r="F1884" s="7">
        <v>211649257</v>
      </c>
      <c r="G1884" s="42">
        <v>19687.080000000002</v>
      </c>
    </row>
    <row r="1885" spans="1:7" ht="14.25" customHeight="1">
      <c r="A1885" s="41">
        <v>45098</v>
      </c>
      <c r="B1885" s="7">
        <v>18849.400000000001</v>
      </c>
      <c r="C1885" s="7">
        <v>18875.900000000001</v>
      </c>
      <c r="D1885" s="7">
        <v>18794.849999999999</v>
      </c>
      <c r="E1885" s="7">
        <v>18856.849999999999</v>
      </c>
      <c r="F1885" s="7">
        <v>217481345</v>
      </c>
      <c r="G1885" s="42">
        <v>19102.48</v>
      </c>
    </row>
    <row r="1886" spans="1:7" ht="14.25" customHeight="1">
      <c r="A1886" s="41">
        <v>45099</v>
      </c>
      <c r="B1886" s="7">
        <v>18853.599999999999</v>
      </c>
      <c r="C1886" s="7">
        <v>18886.599999999999</v>
      </c>
      <c r="D1886" s="7">
        <v>18759.5</v>
      </c>
      <c r="E1886" s="7">
        <v>18771.25</v>
      </c>
      <c r="F1886" s="7">
        <v>252697871</v>
      </c>
      <c r="G1886" s="42">
        <v>24990.87</v>
      </c>
    </row>
    <row r="1887" spans="1:7" ht="14.25" customHeight="1">
      <c r="A1887" s="41">
        <v>45100</v>
      </c>
      <c r="B1887" s="7">
        <v>18741.849999999999</v>
      </c>
      <c r="C1887" s="7">
        <v>18756.400000000001</v>
      </c>
      <c r="D1887" s="7">
        <v>18647.099999999999</v>
      </c>
      <c r="E1887" s="7">
        <v>18665.5</v>
      </c>
      <c r="F1887" s="7">
        <v>210562119</v>
      </c>
      <c r="G1887" s="42">
        <v>20619.599999999999</v>
      </c>
    </row>
    <row r="1888" spans="1:7" ht="14.25" customHeight="1">
      <c r="A1888" s="41">
        <v>45103</v>
      </c>
      <c r="B1888" s="7">
        <v>18682.349999999999</v>
      </c>
      <c r="C1888" s="7">
        <v>18722.05</v>
      </c>
      <c r="D1888" s="7">
        <v>18646.7</v>
      </c>
      <c r="E1888" s="7">
        <v>18691.2</v>
      </c>
      <c r="F1888" s="7">
        <v>171271325</v>
      </c>
      <c r="G1888" s="42">
        <v>17355.14</v>
      </c>
    </row>
    <row r="1889" spans="1:7" ht="14.25" customHeight="1">
      <c r="A1889" s="41">
        <v>45104</v>
      </c>
      <c r="B1889" s="7">
        <v>18748.55</v>
      </c>
      <c r="C1889" s="7">
        <v>18829.25</v>
      </c>
      <c r="D1889" s="7">
        <v>18714.25</v>
      </c>
      <c r="E1889" s="7">
        <v>18817.400000000001</v>
      </c>
      <c r="F1889" s="7">
        <v>222464605</v>
      </c>
      <c r="G1889" s="42">
        <v>21415.89</v>
      </c>
    </row>
    <row r="1890" spans="1:7" ht="14.25" customHeight="1">
      <c r="A1890" s="41">
        <v>45105</v>
      </c>
      <c r="B1890" s="7">
        <v>18908.150000000001</v>
      </c>
      <c r="C1890" s="7">
        <v>19011.25</v>
      </c>
      <c r="D1890" s="7">
        <v>18861.349999999999</v>
      </c>
      <c r="E1890" s="7">
        <v>18972.099999999999</v>
      </c>
      <c r="F1890" s="7">
        <v>398782019</v>
      </c>
      <c r="G1890" s="42">
        <v>37356.94</v>
      </c>
    </row>
    <row r="1891" spans="1:7" ht="14.25" customHeight="1">
      <c r="A1891" s="41">
        <v>45107</v>
      </c>
      <c r="B1891" s="7">
        <v>19076.849999999999</v>
      </c>
      <c r="C1891" s="7">
        <v>19201.7</v>
      </c>
      <c r="D1891" s="7">
        <v>19024.599999999999</v>
      </c>
      <c r="E1891" s="7">
        <v>19189.05</v>
      </c>
      <c r="F1891" s="7">
        <v>247906587</v>
      </c>
      <c r="G1891" s="42">
        <v>26376.62</v>
      </c>
    </row>
    <row r="1892" spans="1:7" ht="14.25" customHeight="1">
      <c r="A1892" s="41">
        <v>45110</v>
      </c>
      <c r="B1892" s="7">
        <v>19246.5</v>
      </c>
      <c r="C1892" s="7">
        <v>19345.099999999999</v>
      </c>
      <c r="D1892" s="7">
        <v>19234.400000000001</v>
      </c>
      <c r="E1892" s="7">
        <v>19322.55</v>
      </c>
      <c r="F1892" s="7">
        <v>226050219</v>
      </c>
      <c r="G1892" s="42">
        <v>22681.54</v>
      </c>
    </row>
    <row r="1893" spans="1:7" ht="14.25" customHeight="1">
      <c r="A1893" s="41">
        <v>45111</v>
      </c>
      <c r="B1893" s="7">
        <v>19406.599999999999</v>
      </c>
      <c r="C1893" s="7">
        <v>19434.150000000001</v>
      </c>
      <c r="D1893" s="7">
        <v>19300</v>
      </c>
      <c r="E1893" s="7">
        <v>19389</v>
      </c>
      <c r="F1893" s="7">
        <v>226916635</v>
      </c>
      <c r="G1893" s="42">
        <v>26634.06</v>
      </c>
    </row>
    <row r="1894" spans="1:7" ht="14.25" customHeight="1">
      <c r="A1894" s="41">
        <v>45112</v>
      </c>
      <c r="B1894" s="7">
        <v>19405.95</v>
      </c>
      <c r="C1894" s="7">
        <v>19421.599999999999</v>
      </c>
      <c r="D1894" s="7">
        <v>19339.599999999999</v>
      </c>
      <c r="E1894" s="7">
        <v>19398.5</v>
      </c>
      <c r="F1894" s="7">
        <v>224418797</v>
      </c>
      <c r="G1894" s="42">
        <v>24699.24</v>
      </c>
    </row>
    <row r="1895" spans="1:7" ht="14.25" customHeight="1">
      <c r="A1895" s="41">
        <v>45113</v>
      </c>
      <c r="B1895" s="7">
        <v>19385.7</v>
      </c>
      <c r="C1895" s="7">
        <v>19512.2</v>
      </c>
      <c r="D1895" s="7">
        <v>19373</v>
      </c>
      <c r="E1895" s="7">
        <v>19497.3</v>
      </c>
      <c r="F1895" s="7">
        <v>268261285</v>
      </c>
      <c r="G1895" s="42">
        <v>28540.18</v>
      </c>
    </row>
    <row r="1896" spans="1:7" ht="14.25" customHeight="1">
      <c r="A1896" s="41">
        <v>45114</v>
      </c>
      <c r="B1896" s="7">
        <v>19422.8</v>
      </c>
      <c r="C1896" s="7">
        <v>19523.599999999999</v>
      </c>
      <c r="D1896" s="7">
        <v>19303.599999999999</v>
      </c>
      <c r="E1896" s="7">
        <v>19331.8</v>
      </c>
      <c r="F1896" s="7">
        <v>237102566</v>
      </c>
      <c r="G1896" s="42">
        <v>23089.25</v>
      </c>
    </row>
    <row r="1897" spans="1:7" ht="14.25" customHeight="1">
      <c r="A1897" s="41">
        <v>45117</v>
      </c>
      <c r="B1897" s="7">
        <v>19400.349999999999</v>
      </c>
      <c r="C1897" s="7">
        <v>19435.849999999999</v>
      </c>
      <c r="D1897" s="7">
        <v>19327.099999999999</v>
      </c>
      <c r="E1897" s="7">
        <v>19355.900000000001</v>
      </c>
      <c r="F1897" s="7">
        <v>268246132</v>
      </c>
      <c r="G1897" s="42">
        <v>25991.55</v>
      </c>
    </row>
    <row r="1898" spans="1:7" ht="14.25" customHeight="1">
      <c r="A1898" s="41">
        <v>45118</v>
      </c>
      <c r="B1898" s="7">
        <v>19427.099999999999</v>
      </c>
      <c r="C1898" s="7">
        <v>19515.099999999999</v>
      </c>
      <c r="D1898" s="7">
        <v>19406.45</v>
      </c>
      <c r="E1898" s="7">
        <v>19439.400000000001</v>
      </c>
      <c r="F1898" s="7">
        <v>251263638</v>
      </c>
      <c r="G1898" s="42">
        <v>26883.78</v>
      </c>
    </row>
    <row r="1899" spans="1:7" ht="14.25" customHeight="1">
      <c r="A1899" s="41">
        <v>45119</v>
      </c>
      <c r="B1899" s="7">
        <v>19497.45</v>
      </c>
      <c r="C1899" s="7">
        <v>19507.7</v>
      </c>
      <c r="D1899" s="7">
        <v>19361.75</v>
      </c>
      <c r="E1899" s="7">
        <v>19384.3</v>
      </c>
      <c r="F1899" s="7">
        <v>327941559</v>
      </c>
      <c r="G1899" s="42">
        <v>40163.14</v>
      </c>
    </row>
    <row r="1900" spans="1:7" ht="14.25" customHeight="1">
      <c r="A1900" s="41">
        <v>45120</v>
      </c>
      <c r="B1900" s="7">
        <v>19495.2</v>
      </c>
      <c r="C1900" s="7">
        <v>19567</v>
      </c>
      <c r="D1900" s="7">
        <v>19385.8</v>
      </c>
      <c r="E1900" s="7">
        <v>19413.75</v>
      </c>
      <c r="F1900" s="7">
        <v>310442517</v>
      </c>
      <c r="G1900" s="42">
        <v>27244.560000000001</v>
      </c>
    </row>
    <row r="1901" spans="1:7" ht="14.25" customHeight="1">
      <c r="A1901" s="41">
        <v>45121</v>
      </c>
      <c r="B1901" s="7">
        <v>19493.45</v>
      </c>
      <c r="C1901" s="7">
        <v>19595.349999999999</v>
      </c>
      <c r="D1901" s="7">
        <v>19433.5</v>
      </c>
      <c r="E1901" s="7">
        <v>19564.5</v>
      </c>
      <c r="F1901" s="7">
        <v>291165841</v>
      </c>
      <c r="G1901" s="42">
        <v>25484.44</v>
      </c>
    </row>
    <row r="1902" spans="1:7" ht="14.25" customHeight="1">
      <c r="A1902" s="41">
        <v>45124</v>
      </c>
      <c r="B1902" s="7">
        <v>19612.150000000001</v>
      </c>
      <c r="C1902" s="7">
        <v>19731.849999999999</v>
      </c>
      <c r="D1902" s="7">
        <v>19562.95</v>
      </c>
      <c r="E1902" s="7">
        <v>19711.45</v>
      </c>
      <c r="F1902" s="7">
        <v>268707894</v>
      </c>
      <c r="G1902" s="42">
        <v>25975.57</v>
      </c>
    </row>
    <row r="1903" spans="1:7" ht="14.25" customHeight="1">
      <c r="A1903" s="41">
        <v>45125</v>
      </c>
      <c r="B1903" s="7">
        <v>19787.5</v>
      </c>
      <c r="C1903" s="7">
        <v>19819.45</v>
      </c>
      <c r="D1903" s="7">
        <v>19690.2</v>
      </c>
      <c r="E1903" s="7">
        <v>19749.25</v>
      </c>
      <c r="F1903" s="7">
        <v>286353897</v>
      </c>
      <c r="G1903" s="42">
        <v>33269.08</v>
      </c>
    </row>
    <row r="1904" spans="1:7" ht="14.25" customHeight="1">
      <c r="A1904" s="41">
        <v>45126</v>
      </c>
      <c r="B1904" s="7">
        <v>19802.95</v>
      </c>
      <c r="C1904" s="7">
        <v>19851.7</v>
      </c>
      <c r="D1904" s="7">
        <v>19727.45</v>
      </c>
      <c r="E1904" s="7">
        <v>19833.150000000001</v>
      </c>
      <c r="F1904" s="7">
        <v>259660464</v>
      </c>
      <c r="G1904" s="42">
        <v>26447.9</v>
      </c>
    </row>
    <row r="1905" spans="1:7" ht="14.25" customHeight="1">
      <c r="A1905" s="41">
        <v>45127</v>
      </c>
      <c r="B1905" s="7">
        <v>19831.7</v>
      </c>
      <c r="C1905" s="7">
        <v>19991.849999999999</v>
      </c>
      <c r="D1905" s="7">
        <v>19758.400000000001</v>
      </c>
      <c r="E1905" s="7">
        <v>19979.150000000001</v>
      </c>
      <c r="F1905" s="7">
        <v>274698867</v>
      </c>
      <c r="G1905" s="42">
        <v>30622.66</v>
      </c>
    </row>
    <row r="1906" spans="1:7" ht="14.25" customHeight="1">
      <c r="A1906" s="41">
        <v>45128</v>
      </c>
      <c r="B1906" s="7">
        <v>19800.45</v>
      </c>
      <c r="C1906" s="7">
        <v>19887.400000000001</v>
      </c>
      <c r="D1906" s="7">
        <v>19700</v>
      </c>
      <c r="E1906" s="7">
        <v>19745</v>
      </c>
      <c r="F1906" s="7">
        <v>312461795</v>
      </c>
      <c r="G1906" s="42">
        <v>33802.14</v>
      </c>
    </row>
    <row r="1907" spans="1:7" ht="14.25" customHeight="1">
      <c r="A1907" s="41">
        <v>45131</v>
      </c>
      <c r="B1907" s="7">
        <v>19748.45</v>
      </c>
      <c r="C1907" s="7">
        <v>19782.75</v>
      </c>
      <c r="D1907" s="7">
        <v>19658.3</v>
      </c>
      <c r="E1907" s="7">
        <v>19672.349999999999</v>
      </c>
      <c r="F1907" s="7">
        <v>265562151</v>
      </c>
      <c r="G1907" s="42">
        <v>24522.29</v>
      </c>
    </row>
    <row r="1908" spans="1:7" ht="14.25" customHeight="1">
      <c r="A1908" s="41">
        <v>45132</v>
      </c>
      <c r="B1908" s="7">
        <v>19729.349999999999</v>
      </c>
      <c r="C1908" s="7">
        <v>19729.349999999999</v>
      </c>
      <c r="D1908" s="7">
        <v>19615.95</v>
      </c>
      <c r="E1908" s="7">
        <v>19680.599999999999</v>
      </c>
      <c r="F1908" s="7">
        <v>369653496</v>
      </c>
      <c r="G1908" s="42">
        <v>29665.67</v>
      </c>
    </row>
    <row r="1909" spans="1:7" ht="14.25" customHeight="1">
      <c r="A1909" s="41">
        <v>45133</v>
      </c>
      <c r="B1909" s="7">
        <v>19733.349999999999</v>
      </c>
      <c r="C1909" s="7">
        <v>19825.599999999999</v>
      </c>
      <c r="D1909" s="7">
        <v>19716.7</v>
      </c>
      <c r="E1909" s="7">
        <v>19778.3</v>
      </c>
      <c r="F1909" s="7">
        <v>244747425</v>
      </c>
      <c r="G1909" s="42">
        <v>23023.86</v>
      </c>
    </row>
    <row r="1910" spans="1:7" ht="14.25" customHeight="1">
      <c r="A1910" s="41">
        <v>45134</v>
      </c>
      <c r="B1910" s="7">
        <v>19850.900000000001</v>
      </c>
      <c r="C1910" s="7">
        <v>19867.55</v>
      </c>
      <c r="D1910" s="7">
        <v>19603.55</v>
      </c>
      <c r="E1910" s="7">
        <v>19659.900000000001</v>
      </c>
      <c r="F1910" s="7">
        <v>334891351</v>
      </c>
      <c r="G1910" s="42">
        <v>35019.129999999997</v>
      </c>
    </row>
    <row r="1911" spans="1:7" ht="14.25" customHeight="1">
      <c r="A1911" s="41">
        <v>45135</v>
      </c>
      <c r="B1911" s="7">
        <v>19659.75</v>
      </c>
      <c r="C1911" s="7">
        <v>19695.900000000001</v>
      </c>
      <c r="D1911" s="7">
        <v>19563.099999999999</v>
      </c>
      <c r="E1911" s="7">
        <v>19646.05</v>
      </c>
      <c r="F1911" s="7">
        <v>258671382</v>
      </c>
      <c r="G1911" s="42">
        <v>22995.98</v>
      </c>
    </row>
    <row r="1912" spans="1:7" ht="14.25" customHeight="1">
      <c r="A1912" s="41">
        <v>45138</v>
      </c>
      <c r="B1912" s="7">
        <v>19666.349999999999</v>
      </c>
      <c r="C1912" s="7">
        <v>19772.75</v>
      </c>
      <c r="D1912" s="7">
        <v>19597.599999999999</v>
      </c>
      <c r="E1912" s="7">
        <v>19753.8</v>
      </c>
      <c r="F1912" s="7">
        <v>295053318</v>
      </c>
      <c r="G1912" s="42">
        <v>23075.38</v>
      </c>
    </row>
    <row r="1913" spans="1:7" ht="14.25" customHeight="1">
      <c r="A1913" s="41">
        <v>45139</v>
      </c>
      <c r="B1913" s="7">
        <v>19784</v>
      </c>
      <c r="C1913" s="7">
        <v>19795.599999999999</v>
      </c>
      <c r="D1913" s="7">
        <v>19704.599999999999</v>
      </c>
      <c r="E1913" s="7">
        <v>19733.55</v>
      </c>
      <c r="F1913" s="7">
        <v>298048161</v>
      </c>
      <c r="G1913" s="42">
        <v>24554.71</v>
      </c>
    </row>
    <row r="1914" spans="1:7" ht="14.25" customHeight="1">
      <c r="A1914" s="41">
        <v>45140</v>
      </c>
      <c r="B1914" s="7">
        <v>19655.400000000001</v>
      </c>
      <c r="C1914" s="7">
        <v>19678.25</v>
      </c>
      <c r="D1914" s="7">
        <v>19423.55</v>
      </c>
      <c r="E1914" s="7">
        <v>19526.55</v>
      </c>
      <c r="F1914" s="7">
        <v>290666798</v>
      </c>
      <c r="G1914" s="42">
        <v>23997.47</v>
      </c>
    </row>
    <row r="1915" spans="1:7" ht="14.25" customHeight="1">
      <c r="A1915" s="41">
        <v>45141</v>
      </c>
      <c r="B1915" s="7">
        <v>19463.75</v>
      </c>
      <c r="C1915" s="7">
        <v>19537.650000000001</v>
      </c>
      <c r="D1915" s="7">
        <v>19296.45</v>
      </c>
      <c r="E1915" s="7">
        <v>19381.650000000001</v>
      </c>
      <c r="F1915" s="7">
        <v>315688612</v>
      </c>
      <c r="G1915" s="42">
        <v>29899.38</v>
      </c>
    </row>
    <row r="1916" spans="1:7" ht="14.25" customHeight="1">
      <c r="A1916" s="41">
        <v>45142</v>
      </c>
      <c r="B1916" s="7">
        <v>19462.8</v>
      </c>
      <c r="C1916" s="7">
        <v>19538.849999999999</v>
      </c>
      <c r="D1916" s="7">
        <v>19436.45</v>
      </c>
      <c r="E1916" s="7">
        <v>19517</v>
      </c>
      <c r="F1916" s="7">
        <v>280799561</v>
      </c>
      <c r="G1916" s="42">
        <v>28086.15</v>
      </c>
    </row>
    <row r="1917" spans="1:7" ht="14.25" customHeight="1">
      <c r="A1917" s="41">
        <v>45145</v>
      </c>
      <c r="B1917" s="7">
        <v>19576.849999999999</v>
      </c>
      <c r="C1917" s="7">
        <v>19620.45</v>
      </c>
      <c r="D1917" s="7">
        <v>19524.8</v>
      </c>
      <c r="E1917" s="7">
        <v>19597.3</v>
      </c>
      <c r="F1917" s="7">
        <v>216586074</v>
      </c>
      <c r="G1917" s="42">
        <v>21655.87</v>
      </c>
    </row>
    <row r="1918" spans="1:7" ht="14.25" customHeight="1">
      <c r="A1918" s="41">
        <v>45146</v>
      </c>
      <c r="B1918" s="7">
        <v>19627.2</v>
      </c>
      <c r="C1918" s="7">
        <v>19634.400000000001</v>
      </c>
      <c r="D1918" s="7">
        <v>19533.099999999999</v>
      </c>
      <c r="E1918" s="7">
        <v>19570.849999999999</v>
      </c>
      <c r="F1918" s="7">
        <v>260294052</v>
      </c>
      <c r="G1918" s="42">
        <v>25437.47</v>
      </c>
    </row>
    <row r="1919" spans="1:7" ht="14.25" customHeight="1">
      <c r="A1919" s="41">
        <v>45147</v>
      </c>
      <c r="B1919" s="7">
        <v>19578.8</v>
      </c>
      <c r="C1919" s="7">
        <v>19645.5</v>
      </c>
      <c r="D1919" s="7">
        <v>19467.5</v>
      </c>
      <c r="E1919" s="7">
        <v>19632.55</v>
      </c>
      <c r="F1919" s="7">
        <v>266495074</v>
      </c>
      <c r="G1919" s="42">
        <v>23201.75</v>
      </c>
    </row>
    <row r="1920" spans="1:7" ht="14.25" customHeight="1">
      <c r="A1920" s="41">
        <v>45148</v>
      </c>
      <c r="B1920" s="7">
        <v>19605.55</v>
      </c>
      <c r="C1920" s="7">
        <v>19623.599999999999</v>
      </c>
      <c r="D1920" s="7">
        <v>19495.400000000001</v>
      </c>
      <c r="E1920" s="7">
        <v>19543.099999999999</v>
      </c>
      <c r="F1920" s="7">
        <v>312193785</v>
      </c>
      <c r="G1920" s="42">
        <v>29430.34</v>
      </c>
    </row>
    <row r="1921" spans="1:7" ht="14.25" customHeight="1">
      <c r="A1921" s="41">
        <v>45149</v>
      </c>
      <c r="B1921" s="7">
        <v>19554.25</v>
      </c>
      <c r="C1921" s="7">
        <v>19557.75</v>
      </c>
      <c r="D1921" s="7">
        <v>19412.75</v>
      </c>
      <c r="E1921" s="7">
        <v>19428.3</v>
      </c>
      <c r="F1921" s="7">
        <v>235524048</v>
      </c>
      <c r="G1921" s="42">
        <v>24521.24</v>
      </c>
    </row>
    <row r="1922" spans="1:7" ht="14.25" customHeight="1">
      <c r="A1922" s="41">
        <v>45152</v>
      </c>
      <c r="B1922" s="7">
        <v>19383.95</v>
      </c>
      <c r="C1922" s="7">
        <v>19465.849999999999</v>
      </c>
      <c r="D1922" s="7">
        <v>19257.900000000001</v>
      </c>
      <c r="E1922" s="7">
        <v>19434.55</v>
      </c>
      <c r="F1922" s="7">
        <v>243850815</v>
      </c>
      <c r="G1922" s="42">
        <v>22767.43</v>
      </c>
    </row>
    <row r="1923" spans="1:7" ht="14.25" customHeight="1">
      <c r="A1923" s="41">
        <v>45154</v>
      </c>
      <c r="B1923" s="7">
        <v>19369</v>
      </c>
      <c r="C1923" s="7">
        <v>19482.75</v>
      </c>
      <c r="D1923" s="7">
        <v>19317.2</v>
      </c>
      <c r="E1923" s="7">
        <v>19465</v>
      </c>
      <c r="F1923" s="7">
        <v>226627230</v>
      </c>
      <c r="G1923" s="42">
        <v>21484.66</v>
      </c>
    </row>
    <row r="1924" spans="1:7" ht="14.25" customHeight="1">
      <c r="A1924" s="41">
        <v>45155</v>
      </c>
      <c r="B1924" s="7">
        <v>19450.55</v>
      </c>
      <c r="C1924" s="7">
        <v>19461.55</v>
      </c>
      <c r="D1924" s="7">
        <v>19326.25</v>
      </c>
      <c r="E1924" s="7">
        <v>19365.25</v>
      </c>
      <c r="F1924" s="7">
        <v>268663456</v>
      </c>
      <c r="G1924" s="42">
        <v>26505.65</v>
      </c>
    </row>
    <row r="1925" spans="1:7" ht="14.25" customHeight="1">
      <c r="A1925" s="41">
        <v>45156</v>
      </c>
      <c r="B1925" s="7">
        <v>19301.75</v>
      </c>
      <c r="C1925" s="7">
        <v>19373.8</v>
      </c>
      <c r="D1925" s="7">
        <v>19253.599999999999</v>
      </c>
      <c r="E1925" s="7">
        <v>19310.150000000001</v>
      </c>
      <c r="F1925" s="7">
        <v>256142364</v>
      </c>
      <c r="G1925" s="42">
        <v>25641.41</v>
      </c>
    </row>
    <row r="1926" spans="1:7" ht="14.25" customHeight="1">
      <c r="A1926" s="41">
        <v>45159</v>
      </c>
      <c r="B1926" s="7">
        <v>19320.650000000001</v>
      </c>
      <c r="C1926" s="7">
        <v>19425.95</v>
      </c>
      <c r="D1926" s="7">
        <v>19296.3</v>
      </c>
      <c r="E1926" s="7">
        <v>19393.599999999999</v>
      </c>
      <c r="F1926" s="7">
        <v>262589133</v>
      </c>
      <c r="G1926" s="42">
        <v>20738.75</v>
      </c>
    </row>
    <row r="1927" spans="1:7" ht="14.25" customHeight="1">
      <c r="A1927" s="41">
        <v>45160</v>
      </c>
      <c r="B1927" s="7">
        <v>19417.099999999999</v>
      </c>
      <c r="C1927" s="7">
        <v>19443.5</v>
      </c>
      <c r="D1927" s="7">
        <v>19381.3</v>
      </c>
      <c r="E1927" s="7">
        <v>19396.45</v>
      </c>
      <c r="F1927" s="7">
        <v>208704354</v>
      </c>
      <c r="G1927" s="42">
        <v>20226.48</v>
      </c>
    </row>
    <row r="1928" spans="1:7" ht="14.25" customHeight="1">
      <c r="A1928" s="41">
        <v>45161</v>
      </c>
      <c r="B1928" s="7">
        <v>19439.2</v>
      </c>
      <c r="C1928" s="7">
        <v>19472.05</v>
      </c>
      <c r="D1928" s="7">
        <v>19366.599999999999</v>
      </c>
      <c r="E1928" s="7">
        <v>19444</v>
      </c>
      <c r="F1928" s="7">
        <v>225214991</v>
      </c>
      <c r="G1928" s="42">
        <v>20167.16</v>
      </c>
    </row>
    <row r="1929" spans="1:7" ht="14.25" customHeight="1">
      <c r="A1929" s="41">
        <v>45162</v>
      </c>
      <c r="B1929" s="7">
        <v>19535.150000000001</v>
      </c>
      <c r="C1929" s="7">
        <v>19584.45</v>
      </c>
      <c r="D1929" s="7">
        <v>19369</v>
      </c>
      <c r="E1929" s="7">
        <v>19386.7</v>
      </c>
      <c r="F1929" s="7">
        <v>268256859</v>
      </c>
      <c r="G1929" s="42">
        <v>24338.240000000002</v>
      </c>
    </row>
    <row r="1930" spans="1:7" ht="14.25" customHeight="1">
      <c r="A1930" s="41">
        <v>45163</v>
      </c>
      <c r="B1930" s="7">
        <v>19297.400000000001</v>
      </c>
      <c r="C1930" s="7">
        <v>19339.55</v>
      </c>
      <c r="D1930" s="7">
        <v>19229.7</v>
      </c>
      <c r="E1930" s="7">
        <v>19265.8</v>
      </c>
      <c r="F1930" s="7">
        <v>466518217</v>
      </c>
      <c r="G1930" s="42">
        <v>24998.12</v>
      </c>
    </row>
    <row r="1931" spans="1:7" ht="14.25" customHeight="1">
      <c r="A1931" s="41">
        <v>45166</v>
      </c>
      <c r="B1931" s="7">
        <v>19298.349999999999</v>
      </c>
      <c r="C1931" s="7">
        <v>19366.849999999999</v>
      </c>
      <c r="D1931" s="7">
        <v>19249.7</v>
      </c>
      <c r="E1931" s="7">
        <v>19306.05</v>
      </c>
      <c r="F1931" s="7">
        <v>248178769</v>
      </c>
      <c r="G1931" s="42">
        <v>18237.22</v>
      </c>
    </row>
    <row r="1932" spans="1:7" ht="14.25" customHeight="1">
      <c r="A1932" s="41">
        <v>45167</v>
      </c>
      <c r="B1932" s="7">
        <v>19374.849999999999</v>
      </c>
      <c r="C1932" s="7">
        <v>19377.900000000001</v>
      </c>
      <c r="D1932" s="7">
        <v>19309.099999999999</v>
      </c>
      <c r="E1932" s="7">
        <v>19342.650000000001</v>
      </c>
      <c r="F1932" s="7">
        <v>307388116</v>
      </c>
      <c r="G1932" s="42">
        <v>22501.119999999999</v>
      </c>
    </row>
    <row r="1933" spans="1:7" ht="14.25" customHeight="1">
      <c r="A1933" s="41">
        <v>45168</v>
      </c>
      <c r="B1933" s="7">
        <v>19433.45</v>
      </c>
      <c r="C1933" s="7">
        <v>19452.8</v>
      </c>
      <c r="D1933" s="7">
        <v>19334.75</v>
      </c>
      <c r="E1933" s="7">
        <v>19347.45</v>
      </c>
      <c r="F1933" s="7">
        <v>233004568</v>
      </c>
      <c r="G1933" s="42">
        <v>19877.490000000002</v>
      </c>
    </row>
    <row r="1934" spans="1:7" ht="14.25" customHeight="1">
      <c r="A1934" s="41">
        <v>45169</v>
      </c>
      <c r="B1934" s="7">
        <v>19375.55</v>
      </c>
      <c r="C1934" s="7">
        <v>19388.2</v>
      </c>
      <c r="D1934" s="7">
        <v>19223.650000000001</v>
      </c>
      <c r="E1934" s="7">
        <v>19253.8</v>
      </c>
      <c r="F1934" s="7">
        <v>562557215</v>
      </c>
      <c r="G1934" s="42">
        <v>45699.54</v>
      </c>
    </row>
    <row r="1935" spans="1:7" ht="14.25" customHeight="1">
      <c r="A1935" s="41">
        <v>45170</v>
      </c>
      <c r="B1935" s="7">
        <v>19258.150000000001</v>
      </c>
      <c r="C1935" s="7">
        <v>19458.55</v>
      </c>
      <c r="D1935" s="7">
        <v>19255.7</v>
      </c>
      <c r="E1935" s="7">
        <v>19435.3</v>
      </c>
      <c r="F1935" s="7">
        <v>372502191</v>
      </c>
      <c r="G1935" s="42">
        <v>25962.38</v>
      </c>
    </row>
    <row r="1936" spans="1:7" ht="14.25" customHeight="1">
      <c r="A1936" s="41">
        <v>45173</v>
      </c>
      <c r="B1936" s="7">
        <v>19525.05</v>
      </c>
      <c r="C1936" s="7">
        <v>19545.150000000001</v>
      </c>
      <c r="D1936" s="7">
        <v>19432.849999999999</v>
      </c>
      <c r="E1936" s="7">
        <v>19528.8</v>
      </c>
      <c r="F1936" s="7">
        <v>396071122</v>
      </c>
      <c r="G1936" s="42">
        <v>24822.79</v>
      </c>
    </row>
    <row r="1937" spans="1:7" ht="14.25" customHeight="1">
      <c r="A1937" s="41">
        <v>45174</v>
      </c>
      <c r="B1937" s="7">
        <v>19564.650000000001</v>
      </c>
      <c r="C1937" s="7">
        <v>19587.05</v>
      </c>
      <c r="D1937" s="7">
        <v>19525.75</v>
      </c>
      <c r="E1937" s="7">
        <v>19574.900000000001</v>
      </c>
      <c r="F1937" s="7">
        <v>303958622</v>
      </c>
      <c r="G1937" s="42">
        <v>24029.89</v>
      </c>
    </row>
    <row r="1938" spans="1:7" ht="14.25" customHeight="1">
      <c r="A1938" s="41">
        <v>45175</v>
      </c>
      <c r="B1938" s="7">
        <v>19581.2</v>
      </c>
      <c r="C1938" s="7">
        <v>19636.45</v>
      </c>
      <c r="D1938" s="7">
        <v>19491.5</v>
      </c>
      <c r="E1938" s="7">
        <v>19611.05</v>
      </c>
      <c r="F1938" s="7">
        <v>512974083</v>
      </c>
      <c r="G1938" s="42">
        <v>32500.52</v>
      </c>
    </row>
    <row r="1939" spans="1:7" ht="14.25" customHeight="1">
      <c r="A1939" s="41">
        <v>45176</v>
      </c>
      <c r="B1939" s="7">
        <v>19598.650000000001</v>
      </c>
      <c r="C1939" s="7">
        <v>19737</v>
      </c>
      <c r="D1939" s="7">
        <v>19550.05</v>
      </c>
      <c r="E1939" s="7">
        <v>19727.05</v>
      </c>
      <c r="F1939" s="7">
        <v>304929822</v>
      </c>
      <c r="G1939" s="42">
        <v>23591</v>
      </c>
    </row>
    <row r="1940" spans="1:7" ht="14.25" customHeight="1">
      <c r="A1940" s="41">
        <v>45177</v>
      </c>
      <c r="B1940" s="7">
        <v>19774.8</v>
      </c>
      <c r="C1940" s="7">
        <v>19867.150000000001</v>
      </c>
      <c r="D1940" s="7">
        <v>19728.05</v>
      </c>
      <c r="E1940" s="7">
        <v>19819.95</v>
      </c>
      <c r="F1940" s="7">
        <v>288093693</v>
      </c>
      <c r="G1940" s="42">
        <v>23530.84</v>
      </c>
    </row>
    <row r="1941" spans="1:7" ht="14.25" customHeight="1">
      <c r="A1941" s="41">
        <v>45180</v>
      </c>
      <c r="B1941" s="7">
        <v>19890</v>
      </c>
      <c r="C1941" s="7">
        <v>20008.150000000001</v>
      </c>
      <c r="D1941" s="7">
        <v>19865.349999999999</v>
      </c>
      <c r="E1941" s="7">
        <v>19996.349999999999</v>
      </c>
      <c r="F1941" s="7">
        <v>248763130</v>
      </c>
      <c r="G1941" s="42">
        <v>21924.34</v>
      </c>
    </row>
    <row r="1942" spans="1:7" ht="14.25" customHeight="1">
      <c r="A1942" s="41">
        <v>45181</v>
      </c>
      <c r="B1942" s="7">
        <v>20110.150000000001</v>
      </c>
      <c r="C1942" s="7">
        <v>20110.349999999999</v>
      </c>
      <c r="D1942" s="7">
        <v>19914.650000000001</v>
      </c>
      <c r="E1942" s="7">
        <v>19993.2</v>
      </c>
      <c r="F1942" s="7">
        <v>328064239</v>
      </c>
      <c r="G1942" s="42">
        <v>30110.799999999999</v>
      </c>
    </row>
    <row r="1943" spans="1:7" ht="14.25" customHeight="1">
      <c r="A1943" s="41">
        <v>45182</v>
      </c>
      <c r="B1943" s="7">
        <v>19989.5</v>
      </c>
      <c r="C1943" s="7">
        <v>20096.900000000001</v>
      </c>
      <c r="D1943" s="7">
        <v>19944.099999999999</v>
      </c>
      <c r="E1943" s="7">
        <v>20070</v>
      </c>
      <c r="F1943" s="7">
        <v>251394599</v>
      </c>
      <c r="G1943" s="42">
        <v>24332.36</v>
      </c>
    </row>
    <row r="1944" spans="1:7" ht="14.25" customHeight="1">
      <c r="A1944" s="41">
        <v>45183</v>
      </c>
      <c r="B1944" s="7">
        <v>20127.95</v>
      </c>
      <c r="C1944" s="7">
        <v>20167.650000000001</v>
      </c>
      <c r="D1944" s="7">
        <v>20043.45</v>
      </c>
      <c r="E1944" s="7">
        <v>20103.099999999999</v>
      </c>
      <c r="F1944" s="7">
        <v>275111881</v>
      </c>
      <c r="G1944" s="42">
        <v>21902.65</v>
      </c>
    </row>
    <row r="1945" spans="1:7" ht="14.25" customHeight="1">
      <c r="A1945" s="41">
        <v>45184</v>
      </c>
      <c r="B1945" s="7">
        <v>20156.45</v>
      </c>
      <c r="C1945" s="7">
        <v>20222.45</v>
      </c>
      <c r="D1945" s="7">
        <v>20129.7</v>
      </c>
      <c r="E1945" s="7">
        <v>20192.349999999999</v>
      </c>
      <c r="F1945" s="7">
        <v>438185104</v>
      </c>
      <c r="G1945" s="42">
        <v>42681.35</v>
      </c>
    </row>
    <row r="1946" spans="1:7" ht="14.25" customHeight="1">
      <c r="A1946" s="41">
        <v>45187</v>
      </c>
      <c r="B1946" s="7">
        <v>20155.95</v>
      </c>
      <c r="C1946" s="7">
        <v>20195.349999999999</v>
      </c>
      <c r="D1946" s="7">
        <v>20115.7</v>
      </c>
      <c r="E1946" s="7">
        <v>20133.3</v>
      </c>
      <c r="F1946" s="7">
        <v>264870758</v>
      </c>
      <c r="G1946" s="42">
        <v>21135.95</v>
      </c>
    </row>
    <row r="1947" spans="1:7" ht="14.25" customHeight="1">
      <c r="A1947" s="41">
        <v>45189</v>
      </c>
      <c r="B1947" s="7">
        <v>19980.75</v>
      </c>
      <c r="C1947" s="7">
        <v>20050.650000000001</v>
      </c>
      <c r="D1947" s="7">
        <v>19878.849999999999</v>
      </c>
      <c r="E1947" s="7">
        <v>19901.400000000001</v>
      </c>
      <c r="F1947" s="7">
        <v>378065882</v>
      </c>
      <c r="G1947" s="42">
        <v>37351.58</v>
      </c>
    </row>
    <row r="1948" spans="1:7" ht="14.25" customHeight="1">
      <c r="A1948" s="41">
        <v>45190</v>
      </c>
      <c r="B1948" s="7">
        <v>19840.55</v>
      </c>
      <c r="C1948" s="7">
        <v>19848.75</v>
      </c>
      <c r="D1948" s="7">
        <v>19709.95</v>
      </c>
      <c r="E1948" s="7">
        <v>19742.349999999999</v>
      </c>
      <c r="F1948" s="7">
        <v>275132260</v>
      </c>
      <c r="G1948" s="42">
        <v>26711.83</v>
      </c>
    </row>
    <row r="1949" spans="1:7" ht="14.25" customHeight="1">
      <c r="A1949" s="41">
        <v>45191</v>
      </c>
      <c r="B1949" s="7">
        <v>19744.849999999999</v>
      </c>
      <c r="C1949" s="7">
        <v>19798.650000000001</v>
      </c>
      <c r="D1949" s="7">
        <v>19657.5</v>
      </c>
      <c r="E1949" s="7">
        <v>19674.25</v>
      </c>
      <c r="F1949" s="7">
        <v>246410075</v>
      </c>
      <c r="G1949" s="42">
        <v>24137.57</v>
      </c>
    </row>
    <row r="1950" spans="1:7" ht="14.25" customHeight="1">
      <c r="A1950" s="41">
        <v>45194</v>
      </c>
      <c r="B1950" s="7">
        <v>19678.2</v>
      </c>
      <c r="C1950" s="7">
        <v>19734.150000000001</v>
      </c>
      <c r="D1950" s="7">
        <v>19601.55</v>
      </c>
      <c r="E1950" s="7">
        <v>19674.55</v>
      </c>
      <c r="F1950" s="7">
        <v>188398392</v>
      </c>
      <c r="G1950" s="42">
        <v>20194.48</v>
      </c>
    </row>
    <row r="1951" spans="1:7" ht="14.25" customHeight="1">
      <c r="A1951" s="41">
        <v>45195</v>
      </c>
      <c r="B1951" s="7">
        <v>19682.8</v>
      </c>
      <c r="C1951" s="7">
        <v>19699.349999999999</v>
      </c>
      <c r="D1951" s="7">
        <v>19637.45</v>
      </c>
      <c r="E1951" s="7">
        <v>19664.7</v>
      </c>
      <c r="F1951" s="7">
        <v>204869058</v>
      </c>
      <c r="G1951" s="42">
        <v>18118.189999999999</v>
      </c>
    </row>
    <row r="1952" spans="1:7" ht="14.25" customHeight="1">
      <c r="A1952" s="41">
        <v>45196</v>
      </c>
      <c r="B1952" s="7">
        <v>19637.05</v>
      </c>
      <c r="C1952" s="7">
        <v>19730.7</v>
      </c>
      <c r="D1952" s="7">
        <v>19554</v>
      </c>
      <c r="E1952" s="7">
        <v>19716.45</v>
      </c>
      <c r="F1952" s="7">
        <v>203559874</v>
      </c>
      <c r="G1952" s="42">
        <v>19659.169999999998</v>
      </c>
    </row>
    <row r="1953" spans="1:7" ht="14.25" customHeight="1">
      <c r="A1953" s="41">
        <v>45197</v>
      </c>
      <c r="B1953" s="7">
        <v>19761.8</v>
      </c>
      <c r="C1953" s="7">
        <v>19766.650000000001</v>
      </c>
      <c r="D1953" s="7">
        <v>19492.099999999999</v>
      </c>
      <c r="E1953" s="7">
        <v>19523.55</v>
      </c>
      <c r="F1953" s="7">
        <v>352810261</v>
      </c>
      <c r="G1953" s="42">
        <v>30069.78</v>
      </c>
    </row>
    <row r="1954" spans="1:7" ht="14.25" customHeight="1">
      <c r="A1954" s="41">
        <v>45198</v>
      </c>
      <c r="B1954" s="7">
        <v>19581.2</v>
      </c>
      <c r="C1954" s="7">
        <v>19726.25</v>
      </c>
      <c r="D1954" s="7">
        <v>19551.05</v>
      </c>
      <c r="E1954" s="7">
        <v>19638.3</v>
      </c>
      <c r="F1954" s="7">
        <v>243508919</v>
      </c>
      <c r="G1954" s="42">
        <v>20978.720000000001</v>
      </c>
    </row>
    <row r="1955" spans="1:7" ht="14.25" customHeight="1">
      <c r="A1955" s="41">
        <v>45202</v>
      </c>
      <c r="B1955" s="7">
        <v>19622.400000000001</v>
      </c>
      <c r="C1955" s="7">
        <v>19623.2</v>
      </c>
      <c r="D1955" s="7">
        <v>19479.650000000001</v>
      </c>
      <c r="E1955" s="7">
        <v>19528.75</v>
      </c>
      <c r="F1955" s="7">
        <v>221719625</v>
      </c>
      <c r="G1955" s="42">
        <v>21459.58</v>
      </c>
    </row>
    <row r="1956" spans="1:7" ht="14.25" customHeight="1">
      <c r="A1956" s="41">
        <v>45203</v>
      </c>
      <c r="B1956" s="7">
        <v>19446.3</v>
      </c>
      <c r="C1956" s="7">
        <v>19457.8</v>
      </c>
      <c r="D1956" s="7">
        <v>19333.599999999999</v>
      </c>
      <c r="E1956" s="7">
        <v>19436.099999999999</v>
      </c>
      <c r="F1956" s="7">
        <v>277148310</v>
      </c>
      <c r="G1956" s="42">
        <v>26017.47</v>
      </c>
    </row>
    <row r="1957" spans="1:7" ht="14.25" customHeight="1">
      <c r="A1957" s="41">
        <v>45204</v>
      </c>
      <c r="B1957" s="7">
        <v>19521.849999999999</v>
      </c>
      <c r="C1957" s="7">
        <v>19576.95</v>
      </c>
      <c r="D1957" s="7">
        <v>19487.3</v>
      </c>
      <c r="E1957" s="7">
        <v>19545.75</v>
      </c>
      <c r="F1957" s="7">
        <v>234865323</v>
      </c>
      <c r="G1957" s="42">
        <v>22019.040000000001</v>
      </c>
    </row>
    <row r="1958" spans="1:7" ht="14.25" customHeight="1">
      <c r="A1958" s="41">
        <v>45205</v>
      </c>
      <c r="B1958" s="7">
        <v>19621.2</v>
      </c>
      <c r="C1958" s="7">
        <v>19675.75</v>
      </c>
      <c r="D1958" s="7">
        <v>19589.400000000001</v>
      </c>
      <c r="E1958" s="7">
        <v>19653.5</v>
      </c>
      <c r="F1958" s="7">
        <v>159051277</v>
      </c>
      <c r="G1958" s="42">
        <v>16096.52</v>
      </c>
    </row>
    <row r="1959" spans="1:7" ht="14.25" customHeight="1">
      <c r="A1959" s="41">
        <v>45208</v>
      </c>
      <c r="B1959" s="7">
        <v>19539.45</v>
      </c>
      <c r="C1959" s="7">
        <v>19588.95</v>
      </c>
      <c r="D1959" s="7">
        <v>19480.5</v>
      </c>
      <c r="E1959" s="7">
        <v>19512.349999999999</v>
      </c>
      <c r="F1959" s="7">
        <v>165094800</v>
      </c>
      <c r="G1959" s="42">
        <v>15499.67</v>
      </c>
    </row>
    <row r="1960" spans="1:7" ht="14.25" customHeight="1">
      <c r="A1960" s="41">
        <v>45209</v>
      </c>
      <c r="B1960" s="7">
        <v>19565.599999999999</v>
      </c>
      <c r="C1960" s="7">
        <v>19717.8</v>
      </c>
      <c r="D1960" s="7">
        <v>19565.45</v>
      </c>
      <c r="E1960" s="7">
        <v>19689.849999999999</v>
      </c>
      <c r="F1960" s="7">
        <v>216559447</v>
      </c>
      <c r="G1960" s="42">
        <v>18735.62</v>
      </c>
    </row>
    <row r="1961" spans="1:7" ht="14.25" customHeight="1">
      <c r="A1961" s="41">
        <v>45210</v>
      </c>
      <c r="B1961" s="7">
        <v>19767</v>
      </c>
      <c r="C1961" s="7">
        <v>19839.2</v>
      </c>
      <c r="D1961" s="7">
        <v>19756.95</v>
      </c>
      <c r="E1961" s="7">
        <v>19811.349999999999</v>
      </c>
      <c r="F1961" s="7">
        <v>213729730</v>
      </c>
      <c r="G1961" s="42">
        <v>19900.990000000002</v>
      </c>
    </row>
    <row r="1962" spans="1:7" ht="14.25" customHeight="1">
      <c r="A1962" s="41">
        <v>45211</v>
      </c>
      <c r="B1962" s="7">
        <v>19822.7</v>
      </c>
      <c r="C1962" s="7">
        <v>19843.3</v>
      </c>
      <c r="D1962" s="7">
        <v>19772.650000000001</v>
      </c>
      <c r="E1962" s="7">
        <v>19794</v>
      </c>
      <c r="F1962" s="7">
        <v>217904144</v>
      </c>
      <c r="G1962" s="42">
        <v>20999.94</v>
      </c>
    </row>
    <row r="1963" spans="1:7" ht="14.25" customHeight="1">
      <c r="A1963" s="41">
        <v>45212</v>
      </c>
      <c r="B1963" s="7">
        <v>19654.55</v>
      </c>
      <c r="C1963" s="7">
        <v>19805.400000000001</v>
      </c>
      <c r="D1963" s="7">
        <v>19635.3</v>
      </c>
      <c r="E1963" s="7">
        <v>19751.05</v>
      </c>
      <c r="F1963" s="7">
        <v>254955979</v>
      </c>
      <c r="G1963" s="42">
        <v>24363.02</v>
      </c>
    </row>
    <row r="1964" spans="1:7" ht="14.25" customHeight="1">
      <c r="A1964" s="41">
        <v>45215</v>
      </c>
      <c r="B1964" s="7">
        <v>19737.25</v>
      </c>
      <c r="C1964" s="7">
        <v>19781.3</v>
      </c>
      <c r="D1964" s="7">
        <v>19691.849999999999</v>
      </c>
      <c r="E1964" s="7">
        <v>19731.75</v>
      </c>
      <c r="F1964" s="7">
        <v>180964341</v>
      </c>
      <c r="G1964" s="42">
        <v>14746.01</v>
      </c>
    </row>
    <row r="1965" spans="1:7" ht="14.25" customHeight="1">
      <c r="A1965" s="41">
        <v>45216</v>
      </c>
      <c r="B1965" s="7">
        <v>19843.2</v>
      </c>
      <c r="C1965" s="7">
        <v>19849.75</v>
      </c>
      <c r="D1965" s="7">
        <v>19775.650000000001</v>
      </c>
      <c r="E1965" s="7">
        <v>19811.5</v>
      </c>
      <c r="F1965" s="7">
        <v>185846716</v>
      </c>
      <c r="G1965" s="42">
        <v>16839.87</v>
      </c>
    </row>
    <row r="1966" spans="1:7" ht="14.25" customHeight="1">
      <c r="A1966" s="41">
        <v>45217</v>
      </c>
      <c r="B1966" s="7">
        <v>19820.45</v>
      </c>
      <c r="C1966" s="7">
        <v>19840.95</v>
      </c>
      <c r="D1966" s="7">
        <v>19659.95</v>
      </c>
      <c r="E1966" s="7">
        <v>19671.099999999999</v>
      </c>
      <c r="F1966" s="7">
        <v>198942937</v>
      </c>
      <c r="G1966" s="42">
        <v>18581.64</v>
      </c>
    </row>
    <row r="1967" spans="1:7" ht="14.25" customHeight="1">
      <c r="A1967" s="41">
        <v>45218</v>
      </c>
      <c r="B1967" s="7">
        <v>19545.2</v>
      </c>
      <c r="C1967" s="7">
        <v>19681.8</v>
      </c>
      <c r="D1967" s="7">
        <v>19512.349999999999</v>
      </c>
      <c r="E1967" s="7">
        <v>19624.7</v>
      </c>
      <c r="F1967" s="7">
        <v>230312163</v>
      </c>
      <c r="G1967" s="42">
        <v>23582.01</v>
      </c>
    </row>
    <row r="1968" spans="1:7" ht="14.25" customHeight="1">
      <c r="A1968" s="41">
        <v>45219</v>
      </c>
      <c r="B1968" s="7">
        <v>19542.150000000001</v>
      </c>
      <c r="C1968" s="7">
        <v>19593.8</v>
      </c>
      <c r="D1968" s="7">
        <v>19518.7</v>
      </c>
      <c r="E1968" s="7">
        <v>19542.650000000001</v>
      </c>
      <c r="F1968" s="7">
        <v>198341255</v>
      </c>
      <c r="G1968" s="42">
        <v>17944.310000000001</v>
      </c>
    </row>
    <row r="1969" spans="1:7" ht="14.25" customHeight="1">
      <c r="A1969" s="41">
        <v>45222</v>
      </c>
      <c r="B1969" s="7">
        <v>19521.599999999999</v>
      </c>
      <c r="C1969" s="7">
        <v>19556.849999999999</v>
      </c>
      <c r="D1969" s="7">
        <v>19257.849999999999</v>
      </c>
      <c r="E1969" s="7">
        <v>19281.75</v>
      </c>
      <c r="F1969" s="7">
        <v>176044288</v>
      </c>
      <c r="G1969" s="42">
        <v>16212.9</v>
      </c>
    </row>
    <row r="1970" spans="1:7" ht="14.25" customHeight="1">
      <c r="A1970" s="41">
        <v>45224</v>
      </c>
      <c r="B1970" s="7">
        <v>19286.45</v>
      </c>
      <c r="C1970" s="7">
        <v>19347.3</v>
      </c>
      <c r="D1970" s="7">
        <v>19074.150000000001</v>
      </c>
      <c r="E1970" s="7">
        <v>19122.150000000001</v>
      </c>
      <c r="F1970" s="7">
        <v>225291741</v>
      </c>
      <c r="G1970" s="42">
        <v>19818.32</v>
      </c>
    </row>
    <row r="1971" spans="1:7" ht="14.25" customHeight="1">
      <c r="A1971" s="41">
        <v>45225</v>
      </c>
      <c r="B1971" s="7">
        <v>19027.25</v>
      </c>
      <c r="C1971" s="7">
        <v>19041.7</v>
      </c>
      <c r="D1971" s="7">
        <v>18837.849999999999</v>
      </c>
      <c r="E1971" s="7">
        <v>18857.25</v>
      </c>
      <c r="F1971" s="7">
        <v>300356469</v>
      </c>
      <c r="G1971" s="42">
        <v>28939.64</v>
      </c>
    </row>
    <row r="1972" spans="1:7" ht="14.25" customHeight="1">
      <c r="A1972" s="41">
        <v>45226</v>
      </c>
      <c r="B1972" s="7">
        <v>18928.75</v>
      </c>
      <c r="C1972" s="7">
        <v>19076.150000000001</v>
      </c>
      <c r="D1972" s="7">
        <v>18926.650000000001</v>
      </c>
      <c r="E1972" s="7">
        <v>19047.25</v>
      </c>
      <c r="F1972" s="7">
        <v>205201044</v>
      </c>
      <c r="G1972" s="42">
        <v>19947.48</v>
      </c>
    </row>
    <row r="1973" spans="1:7" ht="14.25" customHeight="1">
      <c r="A1973" s="41">
        <v>45229</v>
      </c>
      <c r="B1973" s="7">
        <v>19053.400000000001</v>
      </c>
      <c r="C1973" s="7">
        <v>19158.5</v>
      </c>
      <c r="D1973" s="7">
        <v>18940</v>
      </c>
      <c r="E1973" s="7">
        <v>19140.900000000001</v>
      </c>
      <c r="F1973" s="7">
        <v>180132492</v>
      </c>
      <c r="G1973" s="42">
        <v>17095.73</v>
      </c>
    </row>
    <row r="1974" spans="1:7" ht="14.25" customHeight="1">
      <c r="A1974" s="41">
        <v>45230</v>
      </c>
      <c r="B1974" s="7">
        <v>19232.95</v>
      </c>
      <c r="C1974" s="7">
        <v>19233.7</v>
      </c>
      <c r="D1974" s="7">
        <v>19056.45</v>
      </c>
      <c r="E1974" s="7">
        <v>19079.599999999999</v>
      </c>
      <c r="F1974" s="7">
        <v>206049341</v>
      </c>
      <c r="G1974" s="42">
        <v>19397.36</v>
      </c>
    </row>
    <row r="1975" spans="1:7" ht="14.25" customHeight="1">
      <c r="A1975" s="41">
        <v>45231</v>
      </c>
      <c r="B1975" s="7">
        <v>19064.05</v>
      </c>
      <c r="C1975" s="7">
        <v>19096.05</v>
      </c>
      <c r="D1975" s="7">
        <v>18973.7</v>
      </c>
      <c r="E1975" s="7">
        <v>18989.150000000001</v>
      </c>
      <c r="F1975" s="7">
        <v>194103279</v>
      </c>
      <c r="G1975" s="42">
        <v>18452.509999999998</v>
      </c>
    </row>
    <row r="1976" spans="1:7" ht="14.25" customHeight="1">
      <c r="A1976" s="41">
        <v>45232</v>
      </c>
      <c r="B1976" s="7">
        <v>19120</v>
      </c>
      <c r="C1976" s="7">
        <v>19175.25</v>
      </c>
      <c r="D1976" s="7">
        <v>19064.150000000001</v>
      </c>
      <c r="E1976" s="7">
        <v>19133.25</v>
      </c>
      <c r="F1976" s="7">
        <v>245595109</v>
      </c>
      <c r="G1976" s="42">
        <v>19771.490000000002</v>
      </c>
    </row>
    <row r="1977" spans="1:7" ht="14.25" customHeight="1">
      <c r="A1977" s="41">
        <v>45233</v>
      </c>
      <c r="B1977" s="7">
        <v>19241</v>
      </c>
      <c r="C1977" s="7">
        <v>19276.25</v>
      </c>
      <c r="D1977" s="7">
        <v>19210.900000000001</v>
      </c>
      <c r="E1977" s="7">
        <v>19230.599999999999</v>
      </c>
      <c r="F1977" s="7">
        <v>189516123</v>
      </c>
      <c r="G1977" s="42">
        <v>17304.87</v>
      </c>
    </row>
    <row r="1978" spans="1:7" ht="14.25" customHeight="1">
      <c r="A1978" s="41">
        <v>45236</v>
      </c>
      <c r="B1978" s="7">
        <v>19345.849999999999</v>
      </c>
      <c r="C1978" s="7">
        <v>19423</v>
      </c>
      <c r="D1978" s="7">
        <v>19309.7</v>
      </c>
      <c r="E1978" s="7">
        <v>19411.75</v>
      </c>
      <c r="F1978" s="7">
        <v>180690631</v>
      </c>
      <c r="G1978" s="42">
        <v>16296.56</v>
      </c>
    </row>
    <row r="1979" spans="1:7" ht="14.25" customHeight="1">
      <c r="A1979" s="41">
        <v>45237</v>
      </c>
      <c r="B1979" s="7">
        <v>19404.05</v>
      </c>
      <c r="C1979" s="7">
        <v>19423.5</v>
      </c>
      <c r="D1979" s="7">
        <v>19329.099999999999</v>
      </c>
      <c r="E1979" s="7">
        <v>19406.7</v>
      </c>
      <c r="F1979" s="7">
        <v>198660124</v>
      </c>
      <c r="G1979" s="42">
        <v>18288.060000000001</v>
      </c>
    </row>
    <row r="1980" spans="1:7" ht="14.25" customHeight="1">
      <c r="A1980" s="41">
        <v>45238</v>
      </c>
      <c r="B1980" s="7">
        <v>19449.599999999999</v>
      </c>
      <c r="C1980" s="7">
        <v>19464.400000000001</v>
      </c>
      <c r="D1980" s="7">
        <v>19401.5</v>
      </c>
      <c r="E1980" s="7">
        <v>19443.5</v>
      </c>
      <c r="F1980" s="7">
        <v>194967997</v>
      </c>
      <c r="G1980" s="42">
        <v>17060.45</v>
      </c>
    </row>
    <row r="1981" spans="1:7" ht="14.25" customHeight="1">
      <c r="A1981" s="41">
        <v>45239</v>
      </c>
      <c r="B1981" s="7">
        <v>19457.400000000001</v>
      </c>
      <c r="C1981" s="7">
        <v>19463.900000000001</v>
      </c>
      <c r="D1981" s="7">
        <v>19378.349999999999</v>
      </c>
      <c r="E1981" s="7">
        <v>19395.3</v>
      </c>
      <c r="F1981" s="7">
        <v>208418472</v>
      </c>
      <c r="G1981" s="42">
        <v>19087.29</v>
      </c>
    </row>
    <row r="1982" spans="1:7" ht="14.25" customHeight="1">
      <c r="A1982" s="41">
        <v>45240</v>
      </c>
      <c r="B1982" s="7">
        <v>19351.849999999999</v>
      </c>
      <c r="C1982" s="7">
        <v>19451.3</v>
      </c>
      <c r="D1982" s="7">
        <v>19329.45</v>
      </c>
      <c r="E1982" s="7">
        <v>19425.349999999999</v>
      </c>
      <c r="F1982" s="7">
        <v>152215785</v>
      </c>
      <c r="G1982" s="42">
        <v>12916.21</v>
      </c>
    </row>
    <row r="1983" spans="1:7" ht="14.25" customHeight="1">
      <c r="A1983" s="41">
        <v>45242</v>
      </c>
      <c r="B1983" s="7">
        <v>19547.25</v>
      </c>
      <c r="C1983" s="7">
        <v>19547.25</v>
      </c>
      <c r="D1983" s="7">
        <v>19510.25</v>
      </c>
      <c r="E1983" s="7">
        <v>19525.55</v>
      </c>
      <c r="F1983" s="7">
        <v>37311902</v>
      </c>
      <c r="G1983" s="42">
        <v>2482.27</v>
      </c>
    </row>
    <row r="1984" spans="1:7" ht="14.25" customHeight="1">
      <c r="A1984" s="41">
        <v>45243</v>
      </c>
      <c r="B1984" s="7">
        <v>19486.75</v>
      </c>
      <c r="C1984" s="7">
        <v>19494.400000000001</v>
      </c>
      <c r="D1984" s="7">
        <v>19414.75</v>
      </c>
      <c r="E1984" s="7">
        <v>19443.55</v>
      </c>
      <c r="F1984" s="7">
        <v>189275733</v>
      </c>
      <c r="G1984" s="42">
        <v>13527.22</v>
      </c>
    </row>
    <row r="1985" spans="1:7" ht="14.25" customHeight="1">
      <c r="A1985" s="41">
        <v>45245</v>
      </c>
      <c r="B1985" s="7">
        <v>19651.400000000001</v>
      </c>
      <c r="C1985" s="7">
        <v>19693.2</v>
      </c>
      <c r="D1985" s="7">
        <v>19579.650000000001</v>
      </c>
      <c r="E1985" s="7">
        <v>19675.45</v>
      </c>
      <c r="F1985" s="7">
        <v>291464988</v>
      </c>
      <c r="G1985" s="42">
        <v>24957.24</v>
      </c>
    </row>
    <row r="1986" spans="1:7" ht="14.25" customHeight="1">
      <c r="A1986" s="41">
        <v>45246</v>
      </c>
      <c r="B1986" s="7">
        <v>19674.7</v>
      </c>
      <c r="C1986" s="7">
        <v>19875.25</v>
      </c>
      <c r="D1986" s="7">
        <v>19627</v>
      </c>
      <c r="E1986" s="7">
        <v>19765.2</v>
      </c>
      <c r="F1986" s="7">
        <v>282686669</v>
      </c>
      <c r="G1986" s="42">
        <v>26041.45</v>
      </c>
    </row>
    <row r="1987" spans="1:7" ht="14.25" customHeight="1">
      <c r="A1987" s="41">
        <v>45247</v>
      </c>
      <c r="B1987" s="7">
        <v>19674.75</v>
      </c>
      <c r="C1987" s="7">
        <v>19806</v>
      </c>
      <c r="D1987" s="7">
        <v>19667.45</v>
      </c>
      <c r="E1987" s="7">
        <v>19731.8</v>
      </c>
      <c r="F1987" s="7">
        <v>236827462</v>
      </c>
      <c r="G1987" s="42">
        <v>21681.279999999999</v>
      </c>
    </row>
    <row r="1988" spans="1:7" ht="14.25" customHeight="1">
      <c r="A1988" s="41">
        <v>45250</v>
      </c>
      <c r="B1988" s="7">
        <v>19731.150000000001</v>
      </c>
      <c r="C1988" s="7">
        <v>19756.45</v>
      </c>
      <c r="D1988" s="7">
        <v>19670.5</v>
      </c>
      <c r="E1988" s="7">
        <v>19694</v>
      </c>
      <c r="F1988" s="7">
        <v>173780543</v>
      </c>
      <c r="G1988" s="42">
        <v>16737.05</v>
      </c>
    </row>
    <row r="1989" spans="1:7" ht="14.25" customHeight="1">
      <c r="A1989" s="41">
        <v>45251</v>
      </c>
      <c r="B1989" s="7">
        <v>19770.900000000001</v>
      </c>
      <c r="C1989" s="7">
        <v>19829.099999999999</v>
      </c>
      <c r="D1989" s="7">
        <v>19754.05</v>
      </c>
      <c r="E1989" s="7">
        <v>19783.400000000001</v>
      </c>
      <c r="F1989" s="7">
        <v>194969012</v>
      </c>
      <c r="G1989" s="42">
        <v>17947.2</v>
      </c>
    </row>
    <row r="1990" spans="1:7" ht="14.25" customHeight="1">
      <c r="A1990" s="41">
        <v>45252</v>
      </c>
      <c r="B1990" s="7">
        <v>19784</v>
      </c>
      <c r="C1990" s="7">
        <v>19825.55</v>
      </c>
      <c r="D1990" s="7">
        <v>19703.849999999999</v>
      </c>
      <c r="E1990" s="7">
        <v>19811.849999999999</v>
      </c>
      <c r="F1990" s="7">
        <v>184497984</v>
      </c>
      <c r="G1990" s="42">
        <v>17405.48</v>
      </c>
    </row>
    <row r="1991" spans="1:7" ht="14.25" customHeight="1">
      <c r="A1991" s="41">
        <v>45253</v>
      </c>
      <c r="B1991" s="7">
        <v>19828.45</v>
      </c>
      <c r="C1991" s="7">
        <v>19875.150000000001</v>
      </c>
      <c r="D1991" s="7">
        <v>19786.75</v>
      </c>
      <c r="E1991" s="7">
        <v>19802</v>
      </c>
      <c r="F1991" s="7">
        <v>170024085</v>
      </c>
      <c r="G1991" s="42">
        <v>15906.94</v>
      </c>
    </row>
    <row r="1992" spans="1:7" ht="14.25" customHeight="1">
      <c r="A1992" s="41">
        <v>45254</v>
      </c>
      <c r="B1992" s="7">
        <v>19809.599999999999</v>
      </c>
      <c r="C1992" s="7">
        <v>19832.849999999999</v>
      </c>
      <c r="D1992" s="7">
        <v>19768.849999999999</v>
      </c>
      <c r="E1992" s="7">
        <v>19794.7</v>
      </c>
      <c r="F1992" s="7">
        <v>145895044</v>
      </c>
      <c r="G1992" s="42">
        <v>14389.29</v>
      </c>
    </row>
    <row r="1993" spans="1:7" ht="14.25" customHeight="1">
      <c r="A1993" s="41">
        <v>45258</v>
      </c>
      <c r="B1993" s="7">
        <v>19844.650000000001</v>
      </c>
      <c r="C1993" s="7">
        <v>19916.849999999999</v>
      </c>
      <c r="D1993" s="7">
        <v>19800</v>
      </c>
      <c r="E1993" s="7">
        <v>19889.7</v>
      </c>
      <c r="F1993" s="7">
        <v>229595031</v>
      </c>
      <c r="G1993" s="42">
        <v>23043.25</v>
      </c>
    </row>
    <row r="1994" spans="1:7" ht="14.25" customHeight="1">
      <c r="A1994" s="41">
        <v>45259</v>
      </c>
      <c r="B1994" s="7">
        <v>19976.55</v>
      </c>
      <c r="C1994" s="7">
        <v>20104.650000000001</v>
      </c>
      <c r="D1994" s="7">
        <v>19956.3</v>
      </c>
      <c r="E1994" s="7">
        <v>20096.599999999999</v>
      </c>
      <c r="F1994" s="7">
        <v>236241768</v>
      </c>
      <c r="G1994" s="42">
        <v>22367.64</v>
      </c>
    </row>
    <row r="1995" spans="1:7" ht="14.25" customHeight="1">
      <c r="A1995" s="41">
        <v>45260</v>
      </c>
      <c r="B1995" s="7">
        <v>20108.5</v>
      </c>
      <c r="C1995" s="7">
        <v>20158.7</v>
      </c>
      <c r="D1995" s="7">
        <v>20015.849999999999</v>
      </c>
      <c r="E1995" s="7">
        <v>20133.150000000001</v>
      </c>
      <c r="F1995" s="7">
        <v>486585349</v>
      </c>
      <c r="G1995" s="42">
        <v>48877.95</v>
      </c>
    </row>
    <row r="1996" spans="1:7" ht="14.25" customHeight="1">
      <c r="A1996" s="41">
        <v>45261</v>
      </c>
      <c r="B1996" s="7">
        <v>20194.099999999999</v>
      </c>
      <c r="C1996" s="7">
        <v>20291.55</v>
      </c>
      <c r="D1996" s="7">
        <v>20183.7</v>
      </c>
      <c r="E1996" s="7">
        <v>20267.900000000001</v>
      </c>
      <c r="F1996" s="7">
        <v>265812566</v>
      </c>
      <c r="G1996" s="42">
        <v>22461.53</v>
      </c>
    </row>
    <row r="1997" spans="1:7" ht="14.25" customHeight="1">
      <c r="A1997" s="41">
        <v>45264</v>
      </c>
      <c r="B1997" s="7">
        <v>20601.95</v>
      </c>
      <c r="C1997" s="7">
        <v>20702.650000000001</v>
      </c>
      <c r="D1997" s="7">
        <v>20507.75</v>
      </c>
      <c r="E1997" s="7">
        <v>20686.8</v>
      </c>
      <c r="F1997" s="7">
        <v>381107418</v>
      </c>
      <c r="G1997" s="42">
        <v>33917.519999999997</v>
      </c>
    </row>
    <row r="1998" spans="1:7" ht="14.25" customHeight="1">
      <c r="A1998" s="41">
        <v>45265</v>
      </c>
      <c r="B1998" s="7">
        <v>20808.900000000001</v>
      </c>
      <c r="C1998" s="7">
        <v>20864.05</v>
      </c>
      <c r="D1998" s="7">
        <v>20711.150000000001</v>
      </c>
      <c r="E1998" s="7">
        <v>20855.099999999999</v>
      </c>
      <c r="F1998" s="7">
        <v>421008350</v>
      </c>
      <c r="G1998" s="42">
        <v>41763.519999999997</v>
      </c>
    </row>
    <row r="1999" spans="1:7" ht="14.25" customHeight="1">
      <c r="A1999" s="41">
        <v>45266</v>
      </c>
      <c r="B1999" s="7">
        <v>20950.75</v>
      </c>
      <c r="C1999" s="7">
        <v>20961.95</v>
      </c>
      <c r="D1999" s="7">
        <v>20852.150000000001</v>
      </c>
      <c r="E1999" s="7">
        <v>20937.7</v>
      </c>
      <c r="F1999" s="7">
        <v>359212958</v>
      </c>
      <c r="G1999" s="42">
        <v>35654.76</v>
      </c>
    </row>
    <row r="2000" spans="1:7" ht="14.25" customHeight="1">
      <c r="A2000" s="41">
        <v>45267</v>
      </c>
      <c r="B2000" s="7">
        <v>20932.400000000001</v>
      </c>
      <c r="C2000" s="7">
        <v>20941.25</v>
      </c>
      <c r="D2000" s="7">
        <v>20850.8</v>
      </c>
      <c r="E2000" s="7">
        <v>20901.150000000001</v>
      </c>
      <c r="F2000" s="7">
        <v>274985308</v>
      </c>
      <c r="G2000" s="42">
        <v>24862.43</v>
      </c>
    </row>
    <row r="2001" spans="1:7" ht="14.25" customHeight="1">
      <c r="A2001" s="41">
        <v>45268</v>
      </c>
      <c r="B2001" s="7">
        <v>20934.099999999999</v>
      </c>
      <c r="C2001" s="7">
        <v>21006.1</v>
      </c>
      <c r="D2001" s="7">
        <v>20862.7</v>
      </c>
      <c r="E2001" s="7">
        <v>20969.400000000001</v>
      </c>
      <c r="F2001" s="7">
        <v>292440768</v>
      </c>
      <c r="G2001" s="42">
        <v>27449.96</v>
      </c>
    </row>
    <row r="2002" spans="1:7" ht="14.25" customHeight="1">
      <c r="A2002" s="41">
        <v>45271</v>
      </c>
      <c r="B2002" s="7">
        <v>20965.3</v>
      </c>
      <c r="C2002" s="7">
        <v>21026.1</v>
      </c>
      <c r="D2002" s="7">
        <v>20923.7</v>
      </c>
      <c r="E2002" s="7">
        <v>20997.1</v>
      </c>
      <c r="F2002" s="7">
        <v>212921451</v>
      </c>
      <c r="G2002" s="42">
        <v>21150.17</v>
      </c>
    </row>
    <row r="2003" spans="1:7" ht="14.25" customHeight="1">
      <c r="A2003" s="41">
        <v>45272</v>
      </c>
      <c r="B2003" s="7">
        <v>21018.55</v>
      </c>
      <c r="C2003" s="7">
        <v>21037.9</v>
      </c>
      <c r="D2003" s="7">
        <v>20867.150000000001</v>
      </c>
      <c r="E2003" s="7">
        <v>20906.400000000001</v>
      </c>
      <c r="F2003" s="7">
        <v>244867128</v>
      </c>
      <c r="G2003" s="42">
        <v>25404.639999999999</v>
      </c>
    </row>
    <row r="2004" spans="1:7" ht="14.25" customHeight="1">
      <c r="A2004" s="41">
        <v>45273</v>
      </c>
      <c r="B2004" s="7">
        <v>20929.75</v>
      </c>
      <c r="C2004" s="7">
        <v>20950</v>
      </c>
      <c r="D2004" s="7">
        <v>20769.5</v>
      </c>
      <c r="E2004" s="7">
        <v>20926.349999999999</v>
      </c>
      <c r="F2004" s="7">
        <v>260269318</v>
      </c>
      <c r="G2004" s="42">
        <v>25918.44</v>
      </c>
    </row>
    <row r="2005" spans="1:7" ht="14.25" customHeight="1">
      <c r="A2005" s="41">
        <v>45274</v>
      </c>
      <c r="B2005" s="7">
        <v>21110.400000000001</v>
      </c>
      <c r="C2005" s="7">
        <v>21210.9</v>
      </c>
      <c r="D2005" s="7">
        <v>21074.45</v>
      </c>
      <c r="E2005" s="7">
        <v>21182.7</v>
      </c>
      <c r="F2005" s="7">
        <v>334410589</v>
      </c>
      <c r="G2005" s="42">
        <v>32593.42</v>
      </c>
    </row>
    <row r="2006" spans="1:7" ht="14.25" customHeight="1">
      <c r="A2006" s="41">
        <v>45275</v>
      </c>
      <c r="B2006" s="7">
        <v>21287.45</v>
      </c>
      <c r="C2006" s="7">
        <v>21492.3</v>
      </c>
      <c r="D2006" s="7">
        <v>21235.3</v>
      </c>
      <c r="E2006" s="7">
        <v>21456.65</v>
      </c>
      <c r="F2006" s="7">
        <v>508761756</v>
      </c>
      <c r="G2006" s="42">
        <v>50114.46</v>
      </c>
    </row>
    <row r="2007" spans="1:7" ht="14.25" customHeight="1">
      <c r="A2007" s="41">
        <v>45278</v>
      </c>
      <c r="B2007" s="7">
        <v>21434.799999999999</v>
      </c>
      <c r="C2007" s="7">
        <v>21482.799999999999</v>
      </c>
      <c r="D2007" s="7">
        <v>21365.35</v>
      </c>
      <c r="E2007" s="7">
        <v>21418.65</v>
      </c>
      <c r="F2007" s="7">
        <v>249668965</v>
      </c>
      <c r="G2007" s="42">
        <v>23615.279999999999</v>
      </c>
    </row>
    <row r="2008" spans="1:7" ht="14.25" customHeight="1">
      <c r="A2008" s="41">
        <v>45279</v>
      </c>
      <c r="B2008" s="7">
        <v>21477.65</v>
      </c>
      <c r="C2008" s="7">
        <v>21505.05</v>
      </c>
      <c r="D2008" s="7">
        <v>21337.75</v>
      </c>
      <c r="E2008" s="7">
        <v>21453.1</v>
      </c>
      <c r="F2008" s="7">
        <v>249750062</v>
      </c>
      <c r="G2008" s="42">
        <v>23750.61</v>
      </c>
    </row>
    <row r="2009" spans="1:7" ht="14.25" customHeight="1">
      <c r="A2009" s="41">
        <v>45280</v>
      </c>
      <c r="B2009" s="7">
        <v>21543.5</v>
      </c>
      <c r="C2009" s="7">
        <v>21593</v>
      </c>
      <c r="D2009" s="7">
        <v>21087.35</v>
      </c>
      <c r="E2009" s="7">
        <v>21150.15</v>
      </c>
      <c r="F2009" s="7">
        <v>363886229</v>
      </c>
      <c r="G2009" s="42">
        <v>30993.119999999999</v>
      </c>
    </row>
    <row r="2010" spans="1:7" ht="14.25" customHeight="1">
      <c r="A2010" s="41">
        <v>45281</v>
      </c>
      <c r="B2010" s="7">
        <v>21033.95</v>
      </c>
      <c r="C2010" s="7">
        <v>21288.35</v>
      </c>
      <c r="D2010" s="7">
        <v>20976.799999999999</v>
      </c>
      <c r="E2010" s="7">
        <v>21255.05</v>
      </c>
      <c r="F2010" s="7">
        <v>277548079</v>
      </c>
      <c r="G2010" s="42">
        <v>26001.02</v>
      </c>
    </row>
    <row r="2011" spans="1:7" ht="14.25" customHeight="1">
      <c r="A2011" s="41">
        <v>45282</v>
      </c>
      <c r="B2011" s="7">
        <v>21295.85</v>
      </c>
      <c r="C2011" s="7">
        <v>21390.5</v>
      </c>
      <c r="D2011" s="7">
        <v>21232.45</v>
      </c>
      <c r="E2011" s="7">
        <v>21349.4</v>
      </c>
      <c r="F2011" s="7">
        <v>284708918</v>
      </c>
      <c r="G2011" s="42">
        <v>27709.29</v>
      </c>
    </row>
    <row r="2012" spans="1:7" ht="14.25" customHeight="1">
      <c r="A2012" s="41">
        <v>45286</v>
      </c>
      <c r="B2012" s="7">
        <v>21365.200000000001</v>
      </c>
      <c r="C2012" s="7">
        <v>21477.15</v>
      </c>
      <c r="D2012" s="7">
        <v>21329.45</v>
      </c>
      <c r="E2012" s="7">
        <v>21441.35</v>
      </c>
      <c r="F2012" s="7">
        <v>219467748</v>
      </c>
      <c r="G2012" s="42">
        <v>20081.330000000002</v>
      </c>
    </row>
    <row r="2013" spans="1:7" ht="14.25" customHeight="1">
      <c r="A2013" s="41">
        <v>45287</v>
      </c>
      <c r="B2013" s="7">
        <v>21497.65</v>
      </c>
      <c r="C2013" s="7">
        <v>21675.75</v>
      </c>
      <c r="D2013" s="7">
        <v>21495.8</v>
      </c>
      <c r="E2013" s="7">
        <v>21654.75</v>
      </c>
      <c r="F2013" s="7">
        <v>256542963</v>
      </c>
      <c r="G2013" s="42">
        <v>23059.25</v>
      </c>
    </row>
    <row r="2014" spans="1:7" ht="14.25" customHeight="1">
      <c r="A2014" s="41">
        <v>45288</v>
      </c>
      <c r="B2014" s="7">
        <v>21715</v>
      </c>
      <c r="C2014" s="7">
        <v>21801.45</v>
      </c>
      <c r="D2014" s="7">
        <v>21678</v>
      </c>
      <c r="E2014" s="7">
        <v>21778.7</v>
      </c>
      <c r="F2014" s="7">
        <v>393080755</v>
      </c>
      <c r="G2014" s="42">
        <v>35031</v>
      </c>
    </row>
    <row r="2015" spans="1:7" ht="14.25" customHeight="1">
      <c r="A2015" s="41">
        <v>45289</v>
      </c>
      <c r="B2015" s="7">
        <v>21737.65</v>
      </c>
      <c r="C2015" s="7">
        <v>21770.3</v>
      </c>
      <c r="D2015" s="7">
        <v>21676.9</v>
      </c>
      <c r="E2015" s="7">
        <v>21731.4</v>
      </c>
      <c r="F2015" s="7">
        <v>270922276</v>
      </c>
      <c r="G2015" s="42">
        <v>23697.88</v>
      </c>
    </row>
    <row r="2016" spans="1:7" ht="14.25" customHeight="1">
      <c r="A2016" s="41">
        <v>45292</v>
      </c>
      <c r="B2016" s="7">
        <v>21727.75</v>
      </c>
      <c r="C2016" s="7">
        <v>21834.35</v>
      </c>
      <c r="D2016" s="7">
        <v>21680.85</v>
      </c>
      <c r="E2016" s="7">
        <v>21741.9</v>
      </c>
      <c r="F2016" s="7">
        <v>153995217</v>
      </c>
      <c r="G2016" s="42">
        <v>14184.09</v>
      </c>
    </row>
    <row r="2017" spans="1:7" ht="14.25" customHeight="1">
      <c r="A2017" s="41">
        <v>45293</v>
      </c>
      <c r="B2017" s="7">
        <v>21751.35</v>
      </c>
      <c r="C2017" s="7">
        <v>21755.599999999999</v>
      </c>
      <c r="D2017" s="7">
        <v>21555.65</v>
      </c>
      <c r="E2017" s="7">
        <v>21665.8</v>
      </c>
      <c r="F2017" s="7">
        <v>263711568</v>
      </c>
      <c r="G2017" s="42">
        <v>25316.13</v>
      </c>
    </row>
    <row r="2018" spans="1:7" ht="14.25" customHeight="1">
      <c r="A2018" s="41">
        <v>45294</v>
      </c>
      <c r="B2018" s="7">
        <v>21661.1</v>
      </c>
      <c r="C2018" s="7">
        <v>21677</v>
      </c>
      <c r="D2018" s="7">
        <v>21500.35</v>
      </c>
      <c r="E2018" s="7">
        <v>21517.35</v>
      </c>
      <c r="F2018" s="7">
        <v>311933117</v>
      </c>
      <c r="G2018" s="42">
        <v>32329.23</v>
      </c>
    </row>
    <row r="2019" spans="1:7" ht="14.25" customHeight="1">
      <c r="A2019" s="41">
        <v>45295</v>
      </c>
      <c r="B2019" s="7">
        <v>21605.8</v>
      </c>
      <c r="C2019" s="7">
        <v>21685.65</v>
      </c>
      <c r="D2019" s="7">
        <v>21564.55</v>
      </c>
      <c r="E2019" s="7">
        <v>21658.6</v>
      </c>
      <c r="F2019" s="7">
        <v>339172697</v>
      </c>
      <c r="G2019" s="42">
        <v>30868.15</v>
      </c>
    </row>
    <row r="2020" spans="1:7" ht="14.25" customHeight="1">
      <c r="A2020" s="41">
        <v>45296</v>
      </c>
      <c r="B2020" s="7">
        <v>21705.75</v>
      </c>
      <c r="C2020" s="7">
        <v>21749.599999999999</v>
      </c>
      <c r="D2020" s="7">
        <v>21629.200000000001</v>
      </c>
      <c r="E2020" s="7">
        <v>21710.799999999999</v>
      </c>
      <c r="F2020" s="7">
        <v>309303266</v>
      </c>
      <c r="G2020" s="42">
        <v>26554.49</v>
      </c>
    </row>
    <row r="2021" spans="1:7" ht="14.25" customHeight="1">
      <c r="A2021" s="41">
        <v>45299</v>
      </c>
      <c r="B2021" s="7">
        <v>21747.599999999999</v>
      </c>
      <c r="C2021" s="7">
        <v>21763.95</v>
      </c>
      <c r="D2021" s="7">
        <v>21492.9</v>
      </c>
      <c r="E2021" s="7">
        <v>21513</v>
      </c>
      <c r="F2021" s="7">
        <v>231452935</v>
      </c>
      <c r="G2021" s="42">
        <v>21140.94</v>
      </c>
    </row>
    <row r="2022" spans="1:7" ht="14.25" customHeight="1">
      <c r="A2022" s="41">
        <v>45300</v>
      </c>
      <c r="B2022" s="7">
        <v>21653.599999999999</v>
      </c>
      <c r="C2022" s="7">
        <v>21724.45</v>
      </c>
      <c r="D2022" s="7">
        <v>21517.85</v>
      </c>
      <c r="E2022" s="7">
        <v>21544.85</v>
      </c>
      <c r="F2022" s="7">
        <v>228568589</v>
      </c>
      <c r="G2022" s="42">
        <v>24055.74</v>
      </c>
    </row>
    <row r="2023" spans="1:7" ht="14.25" customHeight="1">
      <c r="A2023" s="41">
        <v>45301</v>
      </c>
      <c r="B2023" s="7">
        <v>21529.3</v>
      </c>
      <c r="C2023" s="7">
        <v>21641.85</v>
      </c>
      <c r="D2023" s="7">
        <v>21448.65</v>
      </c>
      <c r="E2023" s="7">
        <v>21618.7</v>
      </c>
      <c r="F2023" s="7">
        <v>216991926</v>
      </c>
      <c r="G2023" s="42">
        <v>20958.96</v>
      </c>
    </row>
    <row r="2024" spans="1:7" ht="14.25" customHeight="1">
      <c r="A2024" s="41">
        <v>45302</v>
      </c>
      <c r="B2024" s="7">
        <v>21688</v>
      </c>
      <c r="C2024" s="7">
        <v>21726.5</v>
      </c>
      <c r="D2024" s="7">
        <v>21593.75</v>
      </c>
      <c r="E2024" s="7">
        <v>21647.200000000001</v>
      </c>
      <c r="F2024" s="7">
        <v>212453866</v>
      </c>
      <c r="G2024" s="42">
        <v>23492.12</v>
      </c>
    </row>
    <row r="2025" spans="1:7" ht="14.25" customHeight="1">
      <c r="A2025" s="41">
        <v>45303</v>
      </c>
      <c r="B2025" s="7">
        <v>21773.55</v>
      </c>
      <c r="C2025" s="7">
        <v>21928.25</v>
      </c>
      <c r="D2025" s="7">
        <v>21715.15</v>
      </c>
      <c r="E2025" s="7">
        <v>21894.55</v>
      </c>
      <c r="F2025" s="7">
        <v>294678459</v>
      </c>
      <c r="G2025" s="42">
        <v>30565.5</v>
      </c>
    </row>
    <row r="2026" spans="1:7" ht="14.25" customHeight="1">
      <c r="A2026" s="41">
        <v>45306</v>
      </c>
      <c r="B2026" s="7">
        <v>22053.15</v>
      </c>
      <c r="C2026" s="7">
        <v>22115.55</v>
      </c>
      <c r="D2026" s="7">
        <v>21963.55</v>
      </c>
      <c r="E2026" s="7">
        <v>22097.45</v>
      </c>
      <c r="F2026" s="7">
        <v>345543523</v>
      </c>
      <c r="G2026" s="42">
        <v>29523.15</v>
      </c>
    </row>
    <row r="2027" spans="1:7" ht="14.25" customHeight="1">
      <c r="A2027" s="41">
        <v>45307</v>
      </c>
      <c r="B2027" s="7">
        <v>22080.5</v>
      </c>
      <c r="C2027" s="7">
        <v>22124.15</v>
      </c>
      <c r="D2027" s="7">
        <v>21969.8</v>
      </c>
      <c r="E2027" s="7">
        <v>22032.3</v>
      </c>
      <c r="F2027" s="7">
        <v>292433764</v>
      </c>
      <c r="G2027" s="42">
        <v>24435.94</v>
      </c>
    </row>
    <row r="2028" spans="1:7" ht="14.25" customHeight="1">
      <c r="A2028" s="41">
        <v>45308</v>
      </c>
      <c r="B2028" s="7">
        <v>21647.25</v>
      </c>
      <c r="C2028" s="7">
        <v>21851.5</v>
      </c>
      <c r="D2028" s="7">
        <v>21550.45</v>
      </c>
      <c r="E2028" s="7">
        <v>21571.95</v>
      </c>
      <c r="F2028" s="7">
        <v>455999867</v>
      </c>
      <c r="G2028" s="42">
        <v>47533.440000000002</v>
      </c>
    </row>
    <row r="2029" spans="1:7" ht="14.25" customHeight="1">
      <c r="A2029" s="41">
        <v>45309</v>
      </c>
      <c r="B2029" s="7">
        <v>21414.2</v>
      </c>
      <c r="C2029" s="7">
        <v>21539.4</v>
      </c>
      <c r="D2029" s="7">
        <v>21285.55</v>
      </c>
      <c r="E2029" s="7">
        <v>21462.25</v>
      </c>
      <c r="F2029" s="7">
        <v>387341268</v>
      </c>
      <c r="G2029" s="42">
        <v>39718.839999999997</v>
      </c>
    </row>
    <row r="2030" spans="1:7" ht="14.25" customHeight="1">
      <c r="A2030" s="41">
        <v>45310</v>
      </c>
      <c r="B2030" s="7">
        <v>21615.200000000001</v>
      </c>
      <c r="C2030" s="7">
        <v>21670.6</v>
      </c>
      <c r="D2030" s="7">
        <v>21575</v>
      </c>
      <c r="E2030" s="7">
        <v>21622.400000000001</v>
      </c>
      <c r="F2030" s="7">
        <v>343055124</v>
      </c>
      <c r="G2030" s="42">
        <v>34429.24</v>
      </c>
    </row>
    <row r="2031" spans="1:7" ht="14.25" customHeight="1">
      <c r="A2031" s="41">
        <v>45311</v>
      </c>
      <c r="B2031" s="7">
        <v>21706.15</v>
      </c>
      <c r="C2031" s="7">
        <v>21720.3</v>
      </c>
      <c r="D2031" s="7">
        <v>21541.8</v>
      </c>
      <c r="E2031" s="7">
        <v>21571.8</v>
      </c>
      <c r="F2031" s="7">
        <v>162073740</v>
      </c>
      <c r="G2031" s="42">
        <v>13917.46</v>
      </c>
    </row>
    <row r="2032" spans="1:7" ht="14.25" customHeight="1">
      <c r="A2032" s="41">
        <v>45314</v>
      </c>
      <c r="B2032" s="7">
        <v>21716.7</v>
      </c>
      <c r="C2032" s="7">
        <v>21750.25</v>
      </c>
      <c r="D2032" s="7">
        <v>21192.6</v>
      </c>
      <c r="E2032" s="7">
        <v>21238.799999999999</v>
      </c>
      <c r="F2032" s="7">
        <v>449718534</v>
      </c>
      <c r="G2032" s="42">
        <v>48813.68</v>
      </c>
    </row>
    <row r="2033" spans="1:7" ht="14.25" customHeight="1">
      <c r="A2033" s="41">
        <v>45315</v>
      </c>
      <c r="B2033" s="7">
        <v>21185.25</v>
      </c>
      <c r="C2033" s="7">
        <v>21482.35</v>
      </c>
      <c r="D2033" s="7">
        <v>21137.200000000001</v>
      </c>
      <c r="E2033" s="7">
        <v>21453.95</v>
      </c>
      <c r="F2033" s="7">
        <v>407460664</v>
      </c>
      <c r="G2033" s="42">
        <v>41718.639999999999</v>
      </c>
    </row>
    <row r="2034" spans="1:7" ht="14.25" customHeight="1">
      <c r="A2034" s="41">
        <v>45316</v>
      </c>
      <c r="B2034" s="7">
        <v>21454.6</v>
      </c>
      <c r="C2034" s="7">
        <v>21459</v>
      </c>
      <c r="D2034" s="7">
        <v>21247.05</v>
      </c>
      <c r="E2034" s="7">
        <v>21352.6</v>
      </c>
      <c r="F2034" s="7">
        <v>418143077</v>
      </c>
      <c r="G2034" s="42">
        <v>40088.5</v>
      </c>
    </row>
    <row r="2035" spans="1:7" ht="14.25" customHeight="1">
      <c r="A2035" s="41">
        <v>45320</v>
      </c>
      <c r="B2035" s="7">
        <v>21433.1</v>
      </c>
      <c r="C2035" s="7">
        <v>21763.25</v>
      </c>
      <c r="D2035" s="7">
        <v>21429.599999999999</v>
      </c>
      <c r="E2035" s="7">
        <v>21737.599999999999</v>
      </c>
      <c r="F2035" s="7">
        <v>376702289</v>
      </c>
      <c r="G2035" s="42">
        <v>34516.42</v>
      </c>
    </row>
    <row r="2036" spans="1:7" ht="14.25" customHeight="1">
      <c r="A2036" s="41">
        <v>45321</v>
      </c>
      <c r="B2036" s="7">
        <v>21775.75</v>
      </c>
      <c r="C2036" s="7">
        <v>21813.05</v>
      </c>
      <c r="D2036" s="7">
        <v>21501.8</v>
      </c>
      <c r="E2036" s="7">
        <v>21522.1</v>
      </c>
      <c r="F2036" s="7">
        <v>375137333</v>
      </c>
      <c r="G2036" s="42">
        <v>32916.300000000003</v>
      </c>
    </row>
    <row r="2037" spans="1:7" ht="14.25" customHeight="1">
      <c r="A2037" s="41">
        <v>45322</v>
      </c>
      <c r="B2037" s="7">
        <v>21487.25</v>
      </c>
      <c r="C2037" s="7">
        <v>21741.35</v>
      </c>
      <c r="D2037" s="7">
        <v>21448.85</v>
      </c>
      <c r="E2037" s="7">
        <v>21725.7</v>
      </c>
      <c r="F2037" s="7">
        <v>410583065</v>
      </c>
      <c r="G2037" s="42">
        <v>41587.85</v>
      </c>
    </row>
    <row r="2038" spans="1:7" ht="14.25" customHeight="1">
      <c r="A2038" s="41">
        <v>45323</v>
      </c>
      <c r="B2038" s="7">
        <v>21780.65</v>
      </c>
      <c r="C2038" s="7">
        <v>21832.95</v>
      </c>
      <c r="D2038" s="7">
        <v>21658.75</v>
      </c>
      <c r="E2038" s="7">
        <v>21697.45</v>
      </c>
      <c r="F2038" s="7">
        <v>332541208</v>
      </c>
      <c r="G2038" s="42">
        <v>34042.15</v>
      </c>
    </row>
    <row r="2039" spans="1:7" ht="14.25" customHeight="1">
      <c r="A2039" s="41">
        <v>45324</v>
      </c>
      <c r="B2039" s="7">
        <v>21812.75</v>
      </c>
      <c r="C2039" s="7">
        <v>22126.799999999999</v>
      </c>
      <c r="D2039" s="7">
        <v>21805.55</v>
      </c>
      <c r="E2039" s="7">
        <v>21853.8</v>
      </c>
      <c r="F2039" s="7">
        <v>442794738</v>
      </c>
      <c r="G2039" s="42">
        <v>38395.9</v>
      </c>
    </row>
    <row r="2040" spans="1:7" ht="14.25" customHeight="1">
      <c r="A2040" s="41">
        <v>45327</v>
      </c>
      <c r="B2040" s="7">
        <v>21921.05</v>
      </c>
      <c r="C2040" s="7">
        <v>21964.3</v>
      </c>
      <c r="D2040" s="7">
        <v>21726.95</v>
      </c>
      <c r="E2040" s="7">
        <v>21771.7</v>
      </c>
      <c r="F2040" s="7">
        <v>440849699</v>
      </c>
      <c r="G2040" s="42">
        <v>33807.94</v>
      </c>
    </row>
    <row r="2041" spans="1:7" ht="14.25" customHeight="1">
      <c r="A2041" s="41">
        <v>45328</v>
      </c>
      <c r="B2041" s="7">
        <v>21825.200000000001</v>
      </c>
      <c r="C2041" s="7">
        <v>21951.4</v>
      </c>
      <c r="D2041" s="7">
        <v>21737.55</v>
      </c>
      <c r="E2041" s="7">
        <v>21929.4</v>
      </c>
      <c r="F2041" s="7">
        <v>370968111</v>
      </c>
      <c r="G2041" s="42">
        <v>32910.82</v>
      </c>
    </row>
    <row r="2042" spans="1:7" ht="14.25" customHeight="1">
      <c r="A2042" s="41">
        <v>45329</v>
      </c>
      <c r="B2042" s="7">
        <v>22045.05</v>
      </c>
      <c r="C2042" s="7">
        <v>22053.3</v>
      </c>
      <c r="D2042" s="7">
        <v>21860.15</v>
      </c>
      <c r="E2042" s="7">
        <v>21930.5</v>
      </c>
      <c r="F2042" s="7">
        <v>346263704</v>
      </c>
      <c r="G2042" s="42">
        <v>30088.76</v>
      </c>
    </row>
    <row r="2043" spans="1:7" ht="14.25" customHeight="1">
      <c r="A2043" s="41">
        <v>45330</v>
      </c>
      <c r="B2043" s="7">
        <v>22009.65</v>
      </c>
      <c r="C2043" s="7">
        <v>22011.05</v>
      </c>
      <c r="D2043" s="7">
        <v>21665.3</v>
      </c>
      <c r="E2043" s="7">
        <v>21717.95</v>
      </c>
      <c r="F2043" s="7">
        <v>491069786</v>
      </c>
      <c r="G2043" s="42">
        <v>41082.019999999997</v>
      </c>
    </row>
    <row r="2044" spans="1:7" ht="14.25" customHeight="1">
      <c r="A2044" s="41">
        <v>45331</v>
      </c>
      <c r="B2044" s="7">
        <v>21727</v>
      </c>
      <c r="C2044" s="7">
        <v>21804.45</v>
      </c>
      <c r="D2044" s="7">
        <v>21629.9</v>
      </c>
      <c r="E2044" s="7">
        <v>21782.5</v>
      </c>
      <c r="F2044" s="7">
        <v>349222850</v>
      </c>
      <c r="G2044" s="42">
        <v>31176.16</v>
      </c>
    </row>
    <row r="2045" spans="1:7" ht="14.25" customHeight="1">
      <c r="A2045" s="41">
        <v>45334</v>
      </c>
      <c r="B2045" s="7">
        <v>21800.799999999999</v>
      </c>
      <c r="C2045" s="7">
        <v>21831.7</v>
      </c>
      <c r="D2045" s="7">
        <v>21574.75</v>
      </c>
      <c r="E2045" s="7">
        <v>21616.05</v>
      </c>
      <c r="F2045" s="7">
        <v>287436165</v>
      </c>
      <c r="G2045" s="42">
        <v>23921.14</v>
      </c>
    </row>
    <row r="2046" spans="1:7" ht="14.25" customHeight="1">
      <c r="A2046" s="41">
        <v>45335</v>
      </c>
      <c r="B2046" s="7">
        <v>21664.3</v>
      </c>
      <c r="C2046" s="7">
        <v>21766.799999999999</v>
      </c>
      <c r="D2046" s="7">
        <v>21543.35</v>
      </c>
      <c r="E2046" s="7">
        <v>21743.25</v>
      </c>
      <c r="F2046" s="7">
        <v>365785766</v>
      </c>
      <c r="G2046" s="42">
        <v>29896.62</v>
      </c>
    </row>
    <row r="2047" spans="1:7" ht="14.25" customHeight="1">
      <c r="A2047" s="41">
        <v>45336</v>
      </c>
      <c r="B2047" s="7">
        <v>21578.15</v>
      </c>
      <c r="C2047" s="7">
        <v>21870.85</v>
      </c>
      <c r="D2047" s="7">
        <v>21530.2</v>
      </c>
      <c r="E2047" s="7">
        <v>21840.05</v>
      </c>
      <c r="F2047" s="7">
        <v>359120861</v>
      </c>
      <c r="G2047" s="42">
        <v>32535</v>
      </c>
    </row>
    <row r="2048" spans="1:7" ht="14.25" customHeight="1">
      <c r="A2048" s="41">
        <v>45337</v>
      </c>
      <c r="B2048" s="7">
        <v>21906.55</v>
      </c>
      <c r="C2048" s="7">
        <v>21953.85</v>
      </c>
      <c r="D2048" s="7">
        <v>21794.799999999999</v>
      </c>
      <c r="E2048" s="7">
        <v>21910.75</v>
      </c>
      <c r="F2048" s="7">
        <v>345394395</v>
      </c>
      <c r="G2048" s="42">
        <v>29559.69</v>
      </c>
    </row>
    <row r="2049" spans="1:7" ht="14.25" customHeight="1">
      <c r="A2049" s="41">
        <v>45338</v>
      </c>
      <c r="B2049" s="7">
        <v>22020.3</v>
      </c>
      <c r="C2049" s="7">
        <v>22068.65</v>
      </c>
      <c r="D2049" s="7">
        <v>21968.95</v>
      </c>
      <c r="E2049" s="7">
        <v>22040.7</v>
      </c>
      <c r="F2049" s="7"/>
      <c r="G2049" s="42"/>
    </row>
    <row r="2050" spans="1:7" ht="14.25" customHeight="1">
      <c r="A2050" s="41">
        <v>45341</v>
      </c>
      <c r="B2050" s="7">
        <v>22103.45</v>
      </c>
      <c r="C2050" s="7">
        <v>22186.65</v>
      </c>
      <c r="D2050" s="7">
        <v>22021.05</v>
      </c>
      <c r="E2050" s="7">
        <v>22122.25</v>
      </c>
      <c r="F2050" s="7">
        <v>218252325</v>
      </c>
      <c r="G2050" s="42">
        <v>21375.71</v>
      </c>
    </row>
    <row r="2051" spans="1:7" ht="14.25" customHeight="1">
      <c r="A2051" s="41">
        <v>45342</v>
      </c>
      <c r="B2051" s="7">
        <v>22099.200000000001</v>
      </c>
      <c r="C2051" s="7">
        <v>22215.599999999999</v>
      </c>
      <c r="D2051" s="7">
        <v>22045.85</v>
      </c>
      <c r="E2051" s="7">
        <v>22196.95</v>
      </c>
      <c r="F2051" s="7">
        <v>295705319</v>
      </c>
      <c r="G2051" s="42">
        <v>26872.32</v>
      </c>
    </row>
    <row r="2052" spans="1:7" ht="14.25" customHeight="1">
      <c r="A2052" s="41">
        <v>45343</v>
      </c>
      <c r="B2052" s="7">
        <v>22248.85</v>
      </c>
      <c r="C2052" s="7">
        <v>22249.4</v>
      </c>
      <c r="D2052" s="7">
        <v>21997.95</v>
      </c>
      <c r="E2052" s="7">
        <v>22055.05</v>
      </c>
      <c r="F2052" s="7">
        <v>364545679</v>
      </c>
      <c r="G2052" s="42">
        <v>29741.39</v>
      </c>
    </row>
    <row r="2053" spans="1:7" ht="14.25" customHeight="1">
      <c r="A2053" s="41">
        <v>45344</v>
      </c>
      <c r="B2053" s="7">
        <v>22081.55</v>
      </c>
      <c r="C2053" s="7">
        <v>22252.5</v>
      </c>
      <c r="D2053" s="7">
        <v>21875.25</v>
      </c>
      <c r="E2053" s="7">
        <v>22217.45</v>
      </c>
      <c r="F2053" s="7">
        <v>343495136</v>
      </c>
      <c r="G2053" s="42">
        <v>33985.94</v>
      </c>
    </row>
    <row r="2054" spans="1:7" ht="14.25" customHeight="1">
      <c r="A2054" s="41">
        <v>45345</v>
      </c>
      <c r="B2054" s="7">
        <v>22290</v>
      </c>
      <c r="C2054" s="7">
        <v>22297.5</v>
      </c>
      <c r="D2054" s="7">
        <v>22186.1</v>
      </c>
      <c r="E2054" s="7">
        <v>22212.7</v>
      </c>
      <c r="F2054" s="7">
        <v>225983194</v>
      </c>
      <c r="G2054" s="42">
        <v>24617.01</v>
      </c>
    </row>
    <row r="2055" spans="1:7" ht="14.25" customHeight="1">
      <c r="A2055" s="41">
        <v>45348</v>
      </c>
      <c r="B2055" s="7">
        <v>22169.200000000001</v>
      </c>
      <c r="C2055" s="7">
        <v>22202.15</v>
      </c>
      <c r="D2055" s="7">
        <v>22075.15</v>
      </c>
      <c r="E2055" s="7">
        <v>22122.05</v>
      </c>
      <c r="F2055" s="7">
        <v>207775504</v>
      </c>
      <c r="G2055" s="42">
        <v>20850.259999999998</v>
      </c>
    </row>
    <row r="2056" spans="1:7" ht="14.25" customHeight="1">
      <c r="A2056" s="41">
        <v>45349</v>
      </c>
      <c r="B2056" s="7">
        <v>22090.2</v>
      </c>
      <c r="C2056" s="7">
        <v>22218.25</v>
      </c>
      <c r="D2056" s="7">
        <v>22085.65</v>
      </c>
      <c r="E2056" s="7">
        <v>22198.35</v>
      </c>
      <c r="F2056" s="7">
        <v>252199186</v>
      </c>
      <c r="G2056" s="42">
        <v>24620.71</v>
      </c>
    </row>
    <row r="2057" spans="1:7" ht="14.25" customHeight="1">
      <c r="A2057" s="41">
        <v>45350</v>
      </c>
      <c r="B2057" s="7">
        <v>22214.1</v>
      </c>
      <c r="C2057" s="7">
        <v>22229.15</v>
      </c>
      <c r="D2057" s="7">
        <v>21915.85</v>
      </c>
      <c r="E2057" s="7">
        <v>21951.15</v>
      </c>
      <c r="F2057" s="7">
        <v>202952371</v>
      </c>
      <c r="G2057" s="42">
        <v>20579.8</v>
      </c>
    </row>
    <row r="2058" spans="1:7" ht="14.25" customHeight="1">
      <c r="A2058" s="41">
        <v>45351</v>
      </c>
      <c r="B2058" s="7">
        <v>21935.200000000001</v>
      </c>
      <c r="C2058" s="7">
        <v>22060.55</v>
      </c>
      <c r="D2058" s="7">
        <v>21860.65</v>
      </c>
      <c r="E2058" s="7">
        <v>21982.799999999999</v>
      </c>
      <c r="F2058" s="7">
        <v>360165824</v>
      </c>
      <c r="G2058" s="42">
        <v>40196.120000000003</v>
      </c>
    </row>
    <row r="2059" spans="1:7" ht="14.25" customHeight="1">
      <c r="A2059" s="41">
        <v>45352</v>
      </c>
      <c r="B2059" s="7">
        <v>22048.3</v>
      </c>
      <c r="C2059" s="7">
        <v>22353.3</v>
      </c>
      <c r="D2059" s="7">
        <v>22047.75</v>
      </c>
      <c r="E2059" s="7">
        <v>22338.75</v>
      </c>
      <c r="F2059" s="7">
        <v>351503075</v>
      </c>
      <c r="G2059" s="42">
        <v>29646.47</v>
      </c>
    </row>
    <row r="2060" spans="1:7" ht="14.25" customHeight="1">
      <c r="A2060" s="41">
        <v>45353</v>
      </c>
      <c r="B2060" s="7">
        <v>22406.95</v>
      </c>
      <c r="C2060" s="7">
        <v>22419.55</v>
      </c>
      <c r="D2060" s="7">
        <v>22367.05</v>
      </c>
      <c r="E2060" s="7">
        <v>22378.400000000001</v>
      </c>
      <c r="F2060" s="7">
        <v>35763814</v>
      </c>
      <c r="G2060" s="42">
        <v>1918.77</v>
      </c>
    </row>
    <row r="2061" spans="1:7" ht="14.25" customHeight="1">
      <c r="A2061" s="41">
        <v>45355</v>
      </c>
      <c r="B2061" s="7">
        <v>22403.5</v>
      </c>
      <c r="C2061" s="7">
        <v>22440.9</v>
      </c>
      <c r="D2061" s="7">
        <v>22358.3</v>
      </c>
      <c r="E2061" s="7">
        <v>22405.599999999999</v>
      </c>
      <c r="F2061" s="7">
        <v>298794435</v>
      </c>
      <c r="G2061" s="42">
        <v>23771.71</v>
      </c>
    </row>
    <row r="2062" spans="1:7" ht="14.25" customHeight="1">
      <c r="A2062" s="41">
        <v>45356</v>
      </c>
      <c r="B2062" s="7">
        <v>22371.25</v>
      </c>
      <c r="C2062" s="7">
        <v>22416.9</v>
      </c>
      <c r="D2062" s="7">
        <v>22269.15</v>
      </c>
      <c r="E2062" s="7">
        <v>22356.3</v>
      </c>
      <c r="F2062" s="7">
        <v>296153036</v>
      </c>
      <c r="G2062" s="42">
        <v>29165.37</v>
      </c>
    </row>
    <row r="2063" spans="1:7" ht="14.25" customHeight="1">
      <c r="A2063" s="41">
        <v>45357</v>
      </c>
      <c r="B2063" s="7">
        <v>22327.5</v>
      </c>
      <c r="C2063" s="7">
        <v>22497.200000000001</v>
      </c>
      <c r="D2063" s="7">
        <v>22224.35</v>
      </c>
      <c r="E2063" s="7">
        <v>22474.05</v>
      </c>
      <c r="F2063" s="7">
        <v>312262560</v>
      </c>
      <c r="G2063" s="42">
        <v>31029.01</v>
      </c>
    </row>
    <row r="2064" spans="1:7" ht="14.25" customHeight="1">
      <c r="A2064" s="41">
        <v>45358</v>
      </c>
      <c r="B2064" s="7">
        <v>22505.3</v>
      </c>
      <c r="C2064" s="7">
        <v>22525.65</v>
      </c>
      <c r="D2064" s="7">
        <v>22430</v>
      </c>
      <c r="E2064" s="7">
        <v>22493.55</v>
      </c>
      <c r="F2064" s="7">
        <v>379865142</v>
      </c>
      <c r="G2064" s="42">
        <v>33558.46</v>
      </c>
    </row>
    <row r="2065" spans="1:7" ht="14.25" customHeight="1">
      <c r="A2065" s="41">
        <v>45362</v>
      </c>
      <c r="B2065" s="7">
        <v>22517.5</v>
      </c>
      <c r="C2065" s="7">
        <v>22526.6</v>
      </c>
      <c r="D2065" s="7">
        <v>22307.25</v>
      </c>
      <c r="E2065" s="7">
        <v>22332.65</v>
      </c>
      <c r="F2065" s="7">
        <v>277897373</v>
      </c>
      <c r="G2065" s="42">
        <v>27222.37</v>
      </c>
    </row>
    <row r="2066" spans="1:7" ht="14.25" customHeight="1">
      <c r="A2066" s="41">
        <v>45363</v>
      </c>
      <c r="B2066" s="7">
        <v>22334.45</v>
      </c>
      <c r="C2066" s="7">
        <v>22452.55</v>
      </c>
      <c r="D2066" s="7">
        <v>22256</v>
      </c>
      <c r="E2066" s="7">
        <v>22335.7</v>
      </c>
      <c r="F2066" s="7">
        <v>299201167</v>
      </c>
      <c r="G2066" s="42">
        <v>29781.119999999999</v>
      </c>
    </row>
    <row r="2067" spans="1:7" ht="14.25" customHeight="1">
      <c r="A2067" s="41">
        <v>45364</v>
      </c>
      <c r="B2067" s="7">
        <v>22432.2</v>
      </c>
      <c r="C2067" s="7">
        <v>22446.75</v>
      </c>
      <c r="D2067" s="7">
        <v>21905.65</v>
      </c>
      <c r="E2067" s="7">
        <v>21997.7</v>
      </c>
      <c r="F2067" s="7">
        <v>493341697</v>
      </c>
      <c r="G2067" s="42">
        <v>40109.230000000003</v>
      </c>
    </row>
    <row r="2068" spans="1:7" ht="14.25" customHeight="1">
      <c r="A2068" s="41">
        <v>45365</v>
      </c>
      <c r="B2068" s="7">
        <v>21982.55</v>
      </c>
      <c r="C2068" s="7">
        <v>22204.6</v>
      </c>
      <c r="D2068" s="7">
        <v>21917.5</v>
      </c>
      <c r="E2068" s="7">
        <v>22146.65</v>
      </c>
      <c r="F2068" s="7">
        <v>426742460</v>
      </c>
      <c r="G2068" s="42">
        <v>37348.300000000003</v>
      </c>
    </row>
    <row r="2069" spans="1:7" ht="14.25" customHeight="1">
      <c r="A2069" s="41">
        <v>45366</v>
      </c>
      <c r="B2069" s="7">
        <v>22064.85</v>
      </c>
      <c r="C2069" s="7">
        <v>22120.9</v>
      </c>
      <c r="D2069" s="7">
        <v>21931.7</v>
      </c>
      <c r="E2069" s="7">
        <v>22023.35</v>
      </c>
      <c r="F2069" s="7">
        <v>661460455</v>
      </c>
      <c r="G2069" s="42">
        <v>60260.88</v>
      </c>
    </row>
    <row r="2070" spans="1:7" ht="14.25" customHeight="1">
      <c r="A2070" s="41">
        <v>45369</v>
      </c>
      <c r="B2070" s="7">
        <v>21990.1</v>
      </c>
      <c r="C2070" s="7">
        <v>22123.7</v>
      </c>
      <c r="D2070" s="7">
        <v>21916.55</v>
      </c>
      <c r="E2070" s="7">
        <v>22055.7</v>
      </c>
      <c r="F2070" s="7">
        <v>356321519</v>
      </c>
      <c r="G2070" s="42">
        <v>23015.51</v>
      </c>
    </row>
    <row r="2071" spans="1:7" ht="14.25" customHeight="1">
      <c r="A2071" s="41">
        <v>45370</v>
      </c>
      <c r="B2071" s="7">
        <v>21946.45</v>
      </c>
      <c r="C2071" s="7">
        <v>21978.3</v>
      </c>
      <c r="D2071" s="7">
        <v>21793.1</v>
      </c>
      <c r="E2071" s="7">
        <v>21817.45</v>
      </c>
      <c r="F2071" s="7">
        <v>344157465</v>
      </c>
      <c r="G2071" s="42">
        <v>30291.599999999999</v>
      </c>
    </row>
    <row r="2072" spans="1:7" ht="14.25" customHeight="1">
      <c r="A2072" s="41">
        <v>45371</v>
      </c>
      <c r="B2072" s="7">
        <v>21843.9</v>
      </c>
      <c r="C2072" s="7">
        <v>21930.9</v>
      </c>
      <c r="D2072" s="7">
        <v>21710.2</v>
      </c>
      <c r="E2072" s="7">
        <v>21839.1</v>
      </c>
      <c r="F2072" s="7">
        <v>312414696</v>
      </c>
      <c r="G2072" s="42">
        <v>28939.85</v>
      </c>
    </row>
    <row r="2073" spans="1:7" ht="14.25" customHeight="1">
      <c r="A2073" s="41">
        <v>45372</v>
      </c>
      <c r="B2073" s="7">
        <v>21989.9</v>
      </c>
      <c r="C2073" s="7">
        <v>22080.95</v>
      </c>
      <c r="D2073" s="7">
        <v>21941.3</v>
      </c>
      <c r="E2073" s="7">
        <v>22011.95</v>
      </c>
      <c r="F2073" s="7">
        <v>353172434</v>
      </c>
      <c r="G2073" s="42">
        <v>31258.400000000001</v>
      </c>
    </row>
    <row r="2074" spans="1:7" ht="14.25" customHeight="1">
      <c r="A2074" s="41">
        <v>45373</v>
      </c>
      <c r="B2074" s="7">
        <v>21932.2</v>
      </c>
      <c r="C2074" s="7">
        <v>22180.7</v>
      </c>
      <c r="D2074" s="7">
        <v>21883.3</v>
      </c>
      <c r="E2074" s="7">
        <v>22096.75</v>
      </c>
      <c r="F2074" s="7">
        <v>388656439</v>
      </c>
      <c r="G2074" s="42">
        <v>39023.19</v>
      </c>
    </row>
    <row r="2075" spans="1:7" ht="14.25" customHeight="1">
      <c r="A2075" s="41">
        <v>45377</v>
      </c>
      <c r="B2075" s="7">
        <v>21947.9</v>
      </c>
      <c r="C2075" s="7">
        <v>22073.200000000001</v>
      </c>
      <c r="D2075" s="7">
        <v>21947.55</v>
      </c>
      <c r="E2075" s="7">
        <v>22004.7</v>
      </c>
      <c r="F2075" s="7">
        <v>328403719</v>
      </c>
      <c r="G2075" s="42">
        <v>33382.080000000002</v>
      </c>
    </row>
    <row r="2076" spans="1:7" ht="14.25" customHeight="1">
      <c r="A2076" s="41">
        <v>45378</v>
      </c>
      <c r="B2076" s="7">
        <v>22053.95</v>
      </c>
      <c r="C2076" s="7">
        <v>22193.599999999999</v>
      </c>
      <c r="D2076" s="7">
        <v>22052.85</v>
      </c>
      <c r="E2076" s="7">
        <v>22123.65</v>
      </c>
      <c r="F2076" s="7">
        <v>409136866</v>
      </c>
      <c r="G2076" s="42">
        <v>38830.730000000003</v>
      </c>
    </row>
    <row r="2077" spans="1:7" ht="14.25" customHeight="1">
      <c r="A2077" s="41">
        <v>45379</v>
      </c>
      <c r="B2077" s="7">
        <v>22163.599999999999</v>
      </c>
      <c r="C2077" s="7">
        <v>22516</v>
      </c>
      <c r="D2077" s="7">
        <v>22163.599999999999</v>
      </c>
      <c r="E2077" s="7">
        <v>22326.9</v>
      </c>
      <c r="F2077" s="7">
        <v>407422815</v>
      </c>
      <c r="G2077" s="42">
        <v>45656.57</v>
      </c>
    </row>
    <row r="2078" spans="1:7" ht="14.25" customHeight="1">
      <c r="A2078" s="41">
        <v>45383</v>
      </c>
      <c r="B2078" s="7">
        <v>22455</v>
      </c>
      <c r="C2078" s="7">
        <v>22529.95</v>
      </c>
      <c r="D2078" s="7">
        <v>22427.75</v>
      </c>
      <c r="E2078" s="7">
        <v>22462</v>
      </c>
      <c r="F2078" s="7">
        <v>243637071</v>
      </c>
      <c r="G2078" s="42">
        <v>21420.69</v>
      </c>
    </row>
    <row r="2079" spans="1:7" ht="14.25" customHeight="1">
      <c r="A2079" s="41">
        <v>45384</v>
      </c>
      <c r="B2079" s="7">
        <v>22458.799999999999</v>
      </c>
      <c r="C2079" s="7">
        <v>22497.599999999999</v>
      </c>
      <c r="D2079" s="7">
        <v>22388.15</v>
      </c>
      <c r="E2079" s="7">
        <v>22453.3</v>
      </c>
      <c r="F2079" s="7">
        <v>289524237</v>
      </c>
      <c r="G2079" s="42">
        <v>27940.93</v>
      </c>
    </row>
    <row r="2080" spans="1:7" ht="14.25" customHeight="1">
      <c r="A2080" s="41">
        <v>45385</v>
      </c>
      <c r="B2080" s="7">
        <v>22385.7</v>
      </c>
      <c r="C2080" s="7">
        <v>22521.1</v>
      </c>
      <c r="D2080" s="7">
        <v>22346.5</v>
      </c>
      <c r="E2080" s="7">
        <v>22434.65</v>
      </c>
      <c r="F2080" s="7">
        <v>309647491</v>
      </c>
      <c r="G2080" s="42">
        <v>30793.279999999999</v>
      </c>
    </row>
    <row r="2081" spans="1:7" ht="14.25" customHeight="1">
      <c r="A2081" s="41">
        <v>45386</v>
      </c>
      <c r="B2081" s="7">
        <v>22592.1</v>
      </c>
      <c r="C2081" s="7">
        <v>22619</v>
      </c>
      <c r="D2081" s="7">
        <v>22303.8</v>
      </c>
      <c r="E2081" s="7">
        <v>22514.65</v>
      </c>
      <c r="F2081" s="7">
        <v>400986156</v>
      </c>
      <c r="G2081" s="42">
        <v>40705.56</v>
      </c>
    </row>
    <row r="2082" spans="1:7" ht="14.25" customHeight="1">
      <c r="A2082" s="41">
        <v>45387</v>
      </c>
      <c r="B2082" s="7">
        <v>22486.400000000001</v>
      </c>
      <c r="C2082" s="7">
        <v>22537.599999999999</v>
      </c>
      <c r="D2082" s="7">
        <v>22427.599999999999</v>
      </c>
      <c r="E2082" s="7">
        <v>22513.7</v>
      </c>
      <c r="F2082" s="7">
        <v>242244731</v>
      </c>
      <c r="G2082" s="42">
        <v>24797.82</v>
      </c>
    </row>
    <row r="2083" spans="1:7" ht="14.25" customHeight="1">
      <c r="A2083" s="41">
        <v>45390</v>
      </c>
      <c r="B2083" s="7">
        <v>22578.35</v>
      </c>
      <c r="C2083" s="7">
        <v>22697.3</v>
      </c>
      <c r="D2083" s="7">
        <v>22550.35</v>
      </c>
      <c r="E2083" s="7">
        <v>22666.3</v>
      </c>
      <c r="F2083" s="7">
        <v>227633561</v>
      </c>
      <c r="G2083" s="42">
        <v>22480.2</v>
      </c>
    </row>
    <row r="2084" spans="1:7" ht="14.25" customHeight="1">
      <c r="A2084" s="43">
        <v>45391</v>
      </c>
      <c r="B2084" s="28">
        <v>22765.1</v>
      </c>
      <c r="C2084" s="28">
        <v>22768.400000000001</v>
      </c>
      <c r="D2084" s="28">
        <v>22612.25</v>
      </c>
      <c r="E2084" s="28">
        <v>22642.75</v>
      </c>
      <c r="F2084" s="28">
        <v>232356772</v>
      </c>
      <c r="G2084" s="44">
        <v>21651.69</v>
      </c>
    </row>
  </sheetData>
  <mergeCells count="2">
    <mergeCell ref="A1:G1"/>
    <mergeCell ref="N1:P1"/>
  </mergeCells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0"/>
  <sheetViews>
    <sheetView workbookViewId="0"/>
  </sheetViews>
  <sheetFormatPr defaultColWidth="14.44140625" defaultRowHeight="15" customHeight="1"/>
  <cols>
    <col min="1" max="1" width="12.33203125" customWidth="1"/>
    <col min="2" max="2" width="11.33203125" customWidth="1"/>
    <col min="3" max="3" width="8" customWidth="1"/>
    <col min="4" max="4" width="10.6640625" customWidth="1"/>
    <col min="5" max="5" width="19.33203125" customWidth="1"/>
    <col min="6" max="6" width="11.6640625" customWidth="1"/>
    <col min="7" max="7" width="8" customWidth="1"/>
    <col min="8" max="8" width="15" customWidth="1"/>
    <col min="9" max="9" width="15.88671875" customWidth="1"/>
    <col min="10" max="10" width="15.109375" customWidth="1"/>
    <col min="11" max="11" width="10.6640625" customWidth="1"/>
    <col min="12" max="12" width="15.88671875" customWidth="1"/>
    <col min="13" max="13" width="16.5546875" customWidth="1"/>
    <col min="14" max="14" width="25.5546875" customWidth="1"/>
    <col min="15" max="15" width="7" customWidth="1"/>
    <col min="16" max="16" width="9.88671875" customWidth="1"/>
    <col min="17" max="17" width="16.6640625" customWidth="1"/>
    <col min="18" max="18" width="14" customWidth="1"/>
    <col min="19" max="19" width="16.5546875" customWidth="1"/>
    <col min="20" max="20" width="12" customWidth="1"/>
    <col min="21" max="21" width="14.6640625" customWidth="1"/>
  </cols>
  <sheetData>
    <row r="1" spans="1:21" ht="14.25" customHeight="1">
      <c r="A1" s="25"/>
      <c r="B1" s="45">
        <v>45019</v>
      </c>
    </row>
    <row r="2" spans="1:21" ht="14.25" customHeight="1"/>
    <row r="3" spans="1:21" ht="14.25" customHeight="1">
      <c r="D3" s="1" t="s">
        <v>1</v>
      </c>
      <c r="E3" s="2" t="s">
        <v>2</v>
      </c>
      <c r="F3" s="3" t="s">
        <v>3</v>
      </c>
      <c r="H3" s="4" t="s">
        <v>6</v>
      </c>
      <c r="I3" s="4" t="s">
        <v>7</v>
      </c>
    </row>
    <row r="4" spans="1:21" ht="14.25" customHeight="1">
      <c r="A4" s="25" t="e">
        <v>#REF!</v>
      </c>
      <c r="D4" s="5" t="s">
        <v>16</v>
      </c>
      <c r="E4" s="6">
        <v>42429</v>
      </c>
      <c r="F4" s="7">
        <f>K7</f>
        <v>-0.44709913230944115</v>
      </c>
      <c r="H4" s="13" t="s">
        <v>16</v>
      </c>
      <c r="I4" s="14">
        <v>42429</v>
      </c>
      <c r="M4" s="13" t="s">
        <v>24</v>
      </c>
      <c r="N4" s="14">
        <v>43651</v>
      </c>
      <c r="R4" s="13" t="s">
        <v>28</v>
      </c>
      <c r="S4" s="14">
        <v>44593</v>
      </c>
    </row>
    <row r="5" spans="1:21" ht="14.25" customHeight="1">
      <c r="D5" s="5" t="s">
        <v>18</v>
      </c>
      <c r="E5" s="6">
        <v>42767</v>
      </c>
      <c r="F5" s="7">
        <f>K16</f>
        <v>0.98012976037431687</v>
      </c>
    </row>
    <row r="6" spans="1:21" ht="14.25" customHeight="1">
      <c r="D6" s="5" t="s">
        <v>22</v>
      </c>
      <c r="E6" s="6">
        <v>43132</v>
      </c>
      <c r="F6" s="7">
        <f>K25</f>
        <v>-0.45557690331488854</v>
      </c>
      <c r="H6" s="23" t="s">
        <v>52</v>
      </c>
      <c r="I6" s="24" t="s">
        <v>13</v>
      </c>
      <c r="J6" s="13" t="s">
        <v>3</v>
      </c>
      <c r="K6" s="13" t="s">
        <v>21</v>
      </c>
      <c r="M6" s="23" t="s">
        <v>52</v>
      </c>
      <c r="N6" s="24" t="s">
        <v>13</v>
      </c>
      <c r="O6" s="13" t="s">
        <v>3</v>
      </c>
      <c r="P6" s="13" t="s">
        <v>21</v>
      </c>
      <c r="R6" s="23" t="s">
        <v>52</v>
      </c>
      <c r="S6" s="24" t="s">
        <v>13</v>
      </c>
      <c r="T6" s="13" t="s">
        <v>3</v>
      </c>
      <c r="U6" s="13" t="s">
        <v>21</v>
      </c>
    </row>
    <row r="7" spans="1:21" ht="14.25" customHeight="1">
      <c r="D7" s="5" t="s">
        <v>24</v>
      </c>
      <c r="E7" s="6">
        <v>43651</v>
      </c>
      <c r="F7" s="7">
        <f>P7</f>
        <v>0.74834207118015128</v>
      </c>
      <c r="H7" s="41">
        <v>42370</v>
      </c>
      <c r="I7" s="42">
        <v>7963.2</v>
      </c>
      <c r="J7" s="13">
        <f>CORREL(H7:H10,I7:I10)</f>
        <v>-0.44709913230944115</v>
      </c>
      <c r="K7" s="13">
        <f>J7</f>
        <v>-0.44709913230944115</v>
      </c>
      <c r="M7" s="41">
        <v>43466</v>
      </c>
      <c r="N7" s="42">
        <v>10910.1</v>
      </c>
      <c r="O7" s="37">
        <f>CORREL(M7:M10,N7:N10)</f>
        <v>0.74834207118015128</v>
      </c>
      <c r="P7" s="13">
        <f>O7</f>
        <v>0.74834207118015128</v>
      </c>
      <c r="R7" s="41">
        <v>44564</v>
      </c>
      <c r="S7" s="42">
        <v>17625.7</v>
      </c>
      <c r="T7" s="37">
        <f>CORREL(R7:R10,S7:S10)</f>
        <v>-0.204164832494238</v>
      </c>
      <c r="U7" s="13">
        <f>T7</f>
        <v>-0.204164832494238</v>
      </c>
    </row>
    <row r="8" spans="1:21" ht="14.25" customHeight="1">
      <c r="D8" s="5" t="s">
        <v>26</v>
      </c>
      <c r="E8" s="6">
        <v>43862</v>
      </c>
      <c r="F8" s="7">
        <f>P16</f>
        <v>-0.90322079339858574</v>
      </c>
      <c r="H8" s="41">
        <v>42401</v>
      </c>
      <c r="I8" s="42">
        <v>7555.95</v>
      </c>
      <c r="J8" s="25"/>
      <c r="M8" s="41">
        <v>43497</v>
      </c>
      <c r="N8" s="42">
        <v>10893.65</v>
      </c>
      <c r="O8" s="25"/>
      <c r="R8" s="41">
        <v>44593</v>
      </c>
      <c r="S8" s="42">
        <v>17576.849999999999</v>
      </c>
      <c r="T8" s="25"/>
    </row>
    <row r="9" spans="1:21" ht="14.25" customHeight="1">
      <c r="D9" s="5" t="s">
        <v>27</v>
      </c>
      <c r="E9" s="6">
        <v>44228</v>
      </c>
      <c r="F9" s="7">
        <f>P25</f>
        <v>0.9710676764250038</v>
      </c>
      <c r="H9" s="41">
        <v>42430</v>
      </c>
      <c r="I9" s="42">
        <v>7222.3</v>
      </c>
      <c r="J9" s="25"/>
      <c r="M9" s="41">
        <v>43525</v>
      </c>
      <c r="N9" s="42">
        <v>10863.5</v>
      </c>
      <c r="O9" s="25"/>
      <c r="R9" s="41">
        <v>44622</v>
      </c>
      <c r="S9" s="42">
        <v>16605.95</v>
      </c>
      <c r="T9" s="25"/>
    </row>
    <row r="10" spans="1:21" ht="14.25" customHeight="1">
      <c r="D10" s="5" t="s">
        <v>28</v>
      </c>
      <c r="E10" s="6">
        <v>44593</v>
      </c>
      <c r="F10" s="7">
        <f>U7</f>
        <v>-0.204164832494238</v>
      </c>
      <c r="H10" s="43">
        <v>42461</v>
      </c>
      <c r="I10" s="44">
        <v>7713.05</v>
      </c>
      <c r="J10" s="25"/>
      <c r="M10" s="43">
        <v>43556</v>
      </c>
      <c r="N10" s="44">
        <v>11669.15</v>
      </c>
      <c r="O10" s="25"/>
      <c r="R10" s="43">
        <v>44652</v>
      </c>
      <c r="S10" s="44">
        <v>17670.45</v>
      </c>
      <c r="T10" s="25"/>
    </row>
    <row r="11" spans="1:21" ht="14.25" customHeight="1">
      <c r="D11" s="31" t="s">
        <v>29</v>
      </c>
      <c r="E11" s="32">
        <v>44958</v>
      </c>
      <c r="F11" s="7">
        <f>T16</f>
        <v>-0.89576424319241488</v>
      </c>
    </row>
    <row r="12" spans="1:21" ht="14.25" customHeight="1">
      <c r="D12" s="31"/>
      <c r="E12" s="44">
        <f>SUBTOTAL(103,'NSE CORRELATION WITH PIVOTTABLE'!$E$4:$E$11)</f>
        <v>8</v>
      </c>
      <c r="F12" s="46">
        <f>SUBTOTAL(101,'NSE CORRELATION WITH PIVOTTABLE'!$F$4:$F$11)</f>
        <v>-2.5785799591262037E-2</v>
      </c>
    </row>
    <row r="13" spans="1:21" ht="14.25" customHeight="1">
      <c r="D13" s="25"/>
      <c r="E13" s="36"/>
      <c r="F13" s="25"/>
      <c r="H13" s="13" t="s">
        <v>18</v>
      </c>
      <c r="I13" s="14">
        <v>42767</v>
      </c>
      <c r="M13" s="13" t="s">
        <v>26</v>
      </c>
      <c r="N13" s="14">
        <v>43862</v>
      </c>
      <c r="R13" s="13" t="s">
        <v>29</v>
      </c>
      <c r="S13" s="14">
        <v>44958</v>
      </c>
    </row>
    <row r="14" spans="1:21" ht="14.25" customHeight="1">
      <c r="D14" s="25"/>
      <c r="E14" s="36"/>
      <c r="F14" s="25"/>
    </row>
    <row r="15" spans="1:21" ht="14.25" customHeight="1">
      <c r="D15" s="25"/>
      <c r="E15" s="36"/>
      <c r="F15" s="25"/>
      <c r="H15" s="23" t="s">
        <v>52</v>
      </c>
      <c r="I15" s="24" t="s">
        <v>13</v>
      </c>
      <c r="J15" s="13" t="s">
        <v>3</v>
      </c>
      <c r="K15" s="13" t="s">
        <v>21</v>
      </c>
      <c r="M15" s="23" t="s">
        <v>52</v>
      </c>
      <c r="N15" s="24" t="s">
        <v>13</v>
      </c>
      <c r="O15" s="13" t="s">
        <v>3</v>
      </c>
      <c r="P15" s="13" t="s">
        <v>21</v>
      </c>
      <c r="R15" s="23" t="s">
        <v>52</v>
      </c>
      <c r="S15" s="24" t="s">
        <v>13</v>
      </c>
      <c r="T15" s="13" t="s">
        <v>3</v>
      </c>
      <c r="U15" s="13" t="s">
        <v>21</v>
      </c>
    </row>
    <row r="16" spans="1:21" ht="14.25" customHeight="1">
      <c r="D16" s="25"/>
      <c r="E16" s="36"/>
      <c r="F16" s="25"/>
      <c r="H16" s="41">
        <v>42737</v>
      </c>
      <c r="I16" s="42">
        <v>8179.5</v>
      </c>
      <c r="J16" s="13">
        <f>CORREL(H16:H19,I16:I19)</f>
        <v>0.98012976037431687</v>
      </c>
      <c r="K16" s="13">
        <f>J16</f>
        <v>0.98012976037431687</v>
      </c>
      <c r="M16" s="41">
        <v>43831</v>
      </c>
      <c r="N16" s="42">
        <v>12182.5</v>
      </c>
      <c r="O16" s="37">
        <f>CORREL(M16:M19,N16:N19)</f>
        <v>-0.90322079339858574</v>
      </c>
      <c r="P16" s="13">
        <f>O16</f>
        <v>-0.90322079339858574</v>
      </c>
      <c r="R16" s="41">
        <v>44928</v>
      </c>
      <c r="S16" s="42">
        <v>18197.45</v>
      </c>
      <c r="T16" s="37">
        <f>CORREL(R16:R19,S16:S19)</f>
        <v>-0.89576424319241488</v>
      </c>
      <c r="U16" s="13">
        <f>T16</f>
        <v>-0.89576424319241488</v>
      </c>
    </row>
    <row r="17" spans="4:20" ht="14.25" customHeight="1">
      <c r="D17" s="25"/>
      <c r="E17" s="36"/>
      <c r="F17" s="25"/>
      <c r="H17" s="41">
        <v>42767</v>
      </c>
      <c r="I17" s="42">
        <v>8716.4</v>
      </c>
      <c r="J17" s="25"/>
      <c r="M17" s="41">
        <v>43862</v>
      </c>
      <c r="N17" s="42">
        <v>11661.85</v>
      </c>
      <c r="O17" s="25"/>
      <c r="R17" s="41">
        <v>44958</v>
      </c>
      <c r="S17" s="42">
        <v>17616.3</v>
      </c>
      <c r="T17" s="25"/>
    </row>
    <row r="18" spans="4:20" ht="14.25" customHeight="1">
      <c r="H18" s="41">
        <v>42795</v>
      </c>
      <c r="I18" s="42">
        <v>8945.7999999999993</v>
      </c>
      <c r="J18" s="25"/>
      <c r="M18" s="41">
        <v>43892</v>
      </c>
      <c r="N18" s="42">
        <v>11132.75</v>
      </c>
      <c r="O18" s="25"/>
      <c r="R18" s="41">
        <v>44986</v>
      </c>
      <c r="S18" s="42">
        <v>17450.900000000001</v>
      </c>
      <c r="T18" s="25"/>
    </row>
    <row r="19" spans="4:20" ht="14.25" customHeight="1">
      <c r="H19" s="43">
        <v>42828</v>
      </c>
      <c r="I19" s="44">
        <v>9237.85</v>
      </c>
      <c r="J19" s="25"/>
      <c r="M19" s="43">
        <v>43922</v>
      </c>
      <c r="N19" s="44">
        <v>8253.7999999999993</v>
      </c>
      <c r="O19" s="25"/>
      <c r="R19" s="43">
        <v>45019</v>
      </c>
      <c r="S19" s="44">
        <v>17398.05</v>
      </c>
      <c r="T19" s="25"/>
    </row>
    <row r="20" spans="4:20" ht="14.25" customHeight="1">
      <c r="D20" s="13"/>
      <c r="E20" s="14"/>
    </row>
    <row r="21" spans="4:20" ht="14.25" customHeight="1"/>
    <row r="22" spans="4:20" ht="14.25" customHeight="1">
      <c r="D22" s="23" t="s">
        <v>52</v>
      </c>
      <c r="E22" s="24" t="s">
        <v>13</v>
      </c>
      <c r="F22" s="13" t="s">
        <v>3</v>
      </c>
      <c r="H22" s="13" t="s">
        <v>22</v>
      </c>
      <c r="I22" s="14">
        <v>42767</v>
      </c>
      <c r="M22" s="13" t="s">
        <v>27</v>
      </c>
      <c r="N22" s="14">
        <v>44228</v>
      </c>
    </row>
    <row r="23" spans="4:20" ht="14.25" customHeight="1">
      <c r="D23" s="41"/>
      <c r="E23" s="42"/>
      <c r="F23" s="13" t="e">
        <f>CORREL(D23:D26,E23:E26)</f>
        <v>#DIV/0!</v>
      </c>
    </row>
    <row r="24" spans="4:20" ht="14.25" customHeight="1">
      <c r="D24" s="41"/>
      <c r="E24" s="42"/>
      <c r="F24" s="25"/>
      <c r="H24" s="23" t="s">
        <v>52</v>
      </c>
      <c r="I24" s="24" t="s">
        <v>13</v>
      </c>
      <c r="J24" s="37" t="s">
        <v>3</v>
      </c>
      <c r="K24" s="13" t="s">
        <v>21</v>
      </c>
      <c r="M24" s="23" t="s">
        <v>52</v>
      </c>
      <c r="N24" s="24" t="s">
        <v>13</v>
      </c>
      <c r="O24" s="37" t="s">
        <v>3</v>
      </c>
      <c r="P24" s="13" t="s">
        <v>21</v>
      </c>
    </row>
    <row r="25" spans="4:20" ht="14.25" customHeight="1">
      <c r="D25" s="41"/>
      <c r="E25" s="42"/>
      <c r="F25" s="25"/>
      <c r="H25" s="41">
        <v>43101</v>
      </c>
      <c r="I25" s="42">
        <v>10435.549999999999</v>
      </c>
      <c r="J25" s="37">
        <f>CORREL(H25:H28,I25:I28)</f>
        <v>-0.45557690331488854</v>
      </c>
      <c r="K25" s="13">
        <f>J25</f>
        <v>-0.45557690331488854</v>
      </c>
      <c r="M25" s="41">
        <v>44197</v>
      </c>
      <c r="N25" s="42">
        <v>14018.5</v>
      </c>
      <c r="O25" s="37">
        <f>CORREL(M25:M28,N25:N28)</f>
        <v>0.9710676764250038</v>
      </c>
      <c r="P25" s="13">
        <f>O25</f>
        <v>0.9710676764250038</v>
      </c>
    </row>
    <row r="26" spans="4:20" ht="14.25" customHeight="1">
      <c r="D26" s="43"/>
      <c r="E26" s="44"/>
      <c r="F26" s="25"/>
      <c r="H26" s="41">
        <v>43132</v>
      </c>
      <c r="I26" s="42">
        <v>11016.9</v>
      </c>
      <c r="J26" s="25"/>
      <c r="M26" s="41">
        <v>44228</v>
      </c>
      <c r="N26" s="42">
        <v>14281.2</v>
      </c>
      <c r="O26" s="25"/>
    </row>
    <row r="27" spans="4:20" ht="14.25" customHeight="1">
      <c r="H27" s="41">
        <v>43160</v>
      </c>
      <c r="I27" s="42">
        <v>10458.35</v>
      </c>
      <c r="J27" s="25"/>
      <c r="M27" s="41">
        <v>44256</v>
      </c>
      <c r="N27" s="42">
        <v>14761.55</v>
      </c>
      <c r="O27" s="25"/>
    </row>
    <row r="28" spans="4:20" ht="14.25" customHeight="1">
      <c r="H28" s="43">
        <v>43192</v>
      </c>
      <c r="I28" s="44">
        <v>10211.799999999999</v>
      </c>
      <c r="J28" s="25"/>
      <c r="M28" s="43">
        <v>44287</v>
      </c>
      <c r="N28" s="44">
        <v>14867.35</v>
      </c>
      <c r="O28" s="25"/>
    </row>
    <row r="29" spans="4:20" ht="14.25" customHeight="1"/>
    <row r="30" spans="4:20" ht="14.25" customHeight="1"/>
    <row r="31" spans="4:20" ht="14.25" customHeight="1"/>
    <row r="32" spans="4:20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" right="0.7" top="0.75" bottom="0.75" header="0" footer="0"/>
  <pageSetup orientation="portrait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3"/>
  <sheetViews>
    <sheetView workbookViewId="0">
      <selection activeCell="D18" sqref="D18"/>
    </sheetView>
  </sheetViews>
  <sheetFormatPr defaultColWidth="14.44140625" defaultRowHeight="15" customHeight="1"/>
  <cols>
    <col min="1" max="7" width="8.6640625" customWidth="1"/>
    <col min="8" max="8" width="20" customWidth="1"/>
    <col min="9" max="9" width="8.6640625" customWidth="1"/>
    <col min="10" max="10" width="12.6640625" customWidth="1"/>
    <col min="11" max="11" width="14.6640625" customWidth="1"/>
    <col min="12" max="12" width="17.6640625" customWidth="1"/>
  </cols>
  <sheetData>
    <row r="1" spans="1:12" ht="14.25" customHeight="1">
      <c r="A1" s="47" t="s">
        <v>7</v>
      </c>
      <c r="B1" s="48" t="s">
        <v>10</v>
      </c>
      <c r="C1" s="48" t="s">
        <v>11</v>
      </c>
      <c r="D1" s="48" t="s">
        <v>12</v>
      </c>
      <c r="E1" s="49" t="s">
        <v>13</v>
      </c>
      <c r="G1" s="1" t="s">
        <v>1</v>
      </c>
      <c r="H1" s="2" t="s">
        <v>2</v>
      </c>
    </row>
    <row r="2" spans="1:12" ht="14.25" customHeight="1">
      <c r="A2" s="50">
        <v>45383</v>
      </c>
      <c r="B2" s="51">
        <v>22455</v>
      </c>
      <c r="C2" s="52">
        <v>22768.400000000001</v>
      </c>
      <c r="D2" s="51">
        <v>22303.8</v>
      </c>
      <c r="E2" s="53">
        <v>22642.75</v>
      </c>
      <c r="G2" s="5" t="s">
        <v>5</v>
      </c>
      <c r="H2" s="6">
        <v>40235</v>
      </c>
      <c r="J2" s="4" t="s">
        <v>6</v>
      </c>
      <c r="K2" s="4" t="s">
        <v>7</v>
      </c>
      <c r="L2" s="4"/>
    </row>
    <row r="3" spans="1:12" ht="14.25" customHeight="1">
      <c r="A3" s="50">
        <v>45352</v>
      </c>
      <c r="B3" s="51">
        <v>22048.3</v>
      </c>
      <c r="C3" s="52">
        <v>22526.6</v>
      </c>
      <c r="D3" s="51">
        <v>21710.2</v>
      </c>
      <c r="E3" s="53">
        <v>22326.9</v>
      </c>
      <c r="G3" s="5" t="s">
        <v>14</v>
      </c>
      <c r="H3" s="6">
        <v>40602</v>
      </c>
      <c r="J3" s="13" t="s">
        <v>5</v>
      </c>
      <c r="K3" s="14">
        <v>40235</v>
      </c>
    </row>
    <row r="4" spans="1:12" ht="14.25" customHeight="1">
      <c r="A4" s="50">
        <v>45323</v>
      </c>
      <c r="B4" s="51">
        <v>21780.65</v>
      </c>
      <c r="C4" s="52">
        <v>22297.5</v>
      </c>
      <c r="D4" s="51">
        <v>21530.2</v>
      </c>
      <c r="E4" s="53">
        <v>21982.799999999999</v>
      </c>
      <c r="G4" s="5" t="s">
        <v>17</v>
      </c>
      <c r="H4" s="6">
        <v>40984</v>
      </c>
    </row>
    <row r="5" spans="1:12" ht="14.25" customHeight="1">
      <c r="A5" s="50">
        <v>45292</v>
      </c>
      <c r="B5" s="51">
        <v>21727.75</v>
      </c>
      <c r="C5" s="52">
        <v>22124.15</v>
      </c>
      <c r="D5" s="51">
        <v>21137.200000000001</v>
      </c>
      <c r="E5" s="53">
        <v>21725.7</v>
      </c>
      <c r="G5" s="5" t="s">
        <v>19</v>
      </c>
      <c r="H5" s="6">
        <v>41333</v>
      </c>
      <c r="J5" s="23" t="s">
        <v>20</v>
      </c>
      <c r="K5" s="24" t="s">
        <v>13</v>
      </c>
      <c r="L5" s="13" t="s">
        <v>3</v>
      </c>
    </row>
    <row r="6" spans="1:12" ht="14.25" customHeight="1">
      <c r="A6" s="50">
        <v>45261</v>
      </c>
      <c r="B6" s="51">
        <v>20194.099999999999</v>
      </c>
      <c r="C6" s="52">
        <v>21801.45</v>
      </c>
      <c r="D6" s="51">
        <v>20183.7</v>
      </c>
      <c r="E6" s="53">
        <v>21731.4</v>
      </c>
      <c r="G6" s="5" t="s">
        <v>23</v>
      </c>
      <c r="H6" s="6">
        <v>41830</v>
      </c>
      <c r="J6" s="18" t="s">
        <v>53</v>
      </c>
      <c r="K6" s="20"/>
      <c r="L6" s="13" t="e">
        <f>CORREL(J6:J9,K6:K9)</f>
        <v>#DIV/0!</v>
      </c>
    </row>
    <row r="7" spans="1:12" ht="14.25" customHeight="1">
      <c r="A7" s="50">
        <v>45231</v>
      </c>
      <c r="B7" s="51">
        <v>19064.05</v>
      </c>
      <c r="C7" s="52">
        <v>20158.7</v>
      </c>
      <c r="D7" s="51">
        <v>18973.7</v>
      </c>
      <c r="E7" s="53">
        <v>20133.150000000001</v>
      </c>
      <c r="G7" s="5" t="s">
        <v>25</v>
      </c>
      <c r="H7" s="6">
        <v>42063</v>
      </c>
      <c r="J7" s="18">
        <v>45323</v>
      </c>
      <c r="K7" s="20"/>
      <c r="L7" s="25"/>
    </row>
    <row r="8" spans="1:12" ht="14.25" customHeight="1">
      <c r="A8" s="50">
        <v>45200</v>
      </c>
      <c r="B8" s="51">
        <v>19622.400000000001</v>
      </c>
      <c r="C8" s="52">
        <v>19849.75</v>
      </c>
      <c r="D8" s="51">
        <v>18837.849999999999</v>
      </c>
      <c r="E8" s="53">
        <v>19079.599999999999</v>
      </c>
      <c r="G8" s="5" t="s">
        <v>16</v>
      </c>
      <c r="H8" s="6">
        <v>42429</v>
      </c>
      <c r="J8" s="18">
        <v>45352</v>
      </c>
      <c r="K8" s="20"/>
      <c r="L8" s="25"/>
    </row>
    <row r="9" spans="1:12" ht="14.25" customHeight="1">
      <c r="A9" s="50">
        <v>45170</v>
      </c>
      <c r="B9" s="51">
        <v>19258.150000000001</v>
      </c>
      <c r="C9" s="52">
        <v>20222.45</v>
      </c>
      <c r="D9" s="51">
        <v>19255.7</v>
      </c>
      <c r="E9" s="53">
        <v>19638.3</v>
      </c>
      <c r="G9" s="5" t="s">
        <v>18</v>
      </c>
      <c r="H9" s="6">
        <v>42767</v>
      </c>
      <c r="J9" s="26">
        <v>45383</v>
      </c>
      <c r="K9" s="27"/>
      <c r="L9" s="25"/>
    </row>
    <row r="10" spans="1:12" ht="14.25" customHeight="1">
      <c r="A10" s="50">
        <v>45139</v>
      </c>
      <c r="B10" s="51">
        <v>19784</v>
      </c>
      <c r="C10" s="52">
        <v>19795.599999999999</v>
      </c>
      <c r="D10" s="51">
        <v>19223.650000000001</v>
      </c>
      <c r="E10" s="53">
        <v>19253.8</v>
      </c>
      <c r="G10" s="5" t="s">
        <v>22</v>
      </c>
      <c r="H10" s="6">
        <v>43132</v>
      </c>
    </row>
    <row r="11" spans="1:12" ht="14.25" customHeight="1">
      <c r="A11" s="50">
        <v>45108</v>
      </c>
      <c r="B11" s="51">
        <v>19246.5</v>
      </c>
      <c r="C11" s="52">
        <v>19991.849999999999</v>
      </c>
      <c r="D11" s="51">
        <v>19234.400000000001</v>
      </c>
      <c r="E11" s="53">
        <v>19753.8</v>
      </c>
      <c r="G11" s="5" t="s">
        <v>24</v>
      </c>
      <c r="H11" s="6">
        <v>43651</v>
      </c>
    </row>
    <row r="12" spans="1:12" ht="14.25" customHeight="1">
      <c r="A12" s="50">
        <v>45078</v>
      </c>
      <c r="B12" s="51">
        <v>18579.400000000001</v>
      </c>
      <c r="C12" s="52">
        <v>19201.7</v>
      </c>
      <c r="D12" s="51">
        <v>18464.55</v>
      </c>
      <c r="E12" s="53">
        <v>19189.05</v>
      </c>
      <c r="G12" s="5" t="s">
        <v>26</v>
      </c>
      <c r="H12" s="6">
        <v>43862</v>
      </c>
    </row>
    <row r="13" spans="1:12" ht="14.25" customHeight="1">
      <c r="A13" s="50">
        <v>45047</v>
      </c>
      <c r="B13" s="51">
        <v>18124.8</v>
      </c>
      <c r="C13" s="52">
        <v>18662.45</v>
      </c>
      <c r="D13" s="51">
        <v>18042.400000000001</v>
      </c>
      <c r="E13" s="53">
        <v>18534.400000000001</v>
      </c>
      <c r="G13" s="5" t="s">
        <v>27</v>
      </c>
      <c r="H13" s="6">
        <v>44228</v>
      </c>
    </row>
    <row r="14" spans="1:12" ht="14.25" customHeight="1">
      <c r="A14" s="50">
        <v>45017</v>
      </c>
      <c r="B14" s="51">
        <v>17427.95</v>
      </c>
      <c r="C14" s="52">
        <v>18089.150000000001</v>
      </c>
      <c r="D14" s="51">
        <v>17312.75</v>
      </c>
      <c r="E14" s="53">
        <v>18065</v>
      </c>
      <c r="G14" s="5" t="s">
        <v>28</v>
      </c>
      <c r="H14" s="6">
        <v>44593</v>
      </c>
    </row>
    <row r="15" spans="1:12" ht="14.25" customHeight="1">
      <c r="A15" s="50">
        <v>44986</v>
      </c>
      <c r="B15" s="51">
        <v>17360.099999999999</v>
      </c>
      <c r="C15" s="52">
        <v>17799.95</v>
      </c>
      <c r="D15" s="51">
        <v>16828.349999999999</v>
      </c>
      <c r="E15" s="53">
        <v>17359.75</v>
      </c>
      <c r="G15" s="31" t="s">
        <v>29</v>
      </c>
      <c r="H15" s="32">
        <v>44958</v>
      </c>
    </row>
    <row r="16" spans="1:12" ht="14.25" customHeight="1">
      <c r="A16" s="50">
        <v>44958</v>
      </c>
      <c r="B16" s="51">
        <v>17811.599999999999</v>
      </c>
      <c r="C16" s="52">
        <v>18134.75</v>
      </c>
      <c r="D16" s="51">
        <v>17255.2</v>
      </c>
      <c r="E16" s="53">
        <v>17303.95</v>
      </c>
    </row>
    <row r="17" spans="1:5" ht="14.25" customHeight="1">
      <c r="A17" s="50">
        <v>44927</v>
      </c>
      <c r="B17" s="51">
        <v>18131.7</v>
      </c>
      <c r="C17" s="52">
        <v>18251.95</v>
      </c>
      <c r="D17" s="51">
        <v>17405.55</v>
      </c>
      <c r="E17" s="53">
        <v>17662.150000000001</v>
      </c>
    </row>
    <row r="18" spans="1:5" ht="14.25" customHeight="1">
      <c r="A18" s="50">
        <v>44896</v>
      </c>
      <c r="B18" s="51">
        <v>18871.95</v>
      </c>
      <c r="C18" s="52">
        <v>18887.599999999999</v>
      </c>
      <c r="D18" s="51">
        <v>17774.25</v>
      </c>
      <c r="E18" s="53">
        <v>18105.3</v>
      </c>
    </row>
    <row r="19" spans="1:5" ht="14.25" customHeight="1">
      <c r="A19" s="50">
        <v>44866</v>
      </c>
      <c r="B19" s="51">
        <v>18130.7</v>
      </c>
      <c r="C19" s="52">
        <v>18816.05</v>
      </c>
      <c r="D19" s="51">
        <v>17959.2</v>
      </c>
      <c r="E19" s="53">
        <v>18758.349999999999</v>
      </c>
    </row>
    <row r="20" spans="1:5" ht="14.25" customHeight="1">
      <c r="A20" s="50">
        <v>44835</v>
      </c>
      <c r="B20" s="51">
        <v>17102.099999999999</v>
      </c>
      <c r="C20" s="52">
        <v>18022.8</v>
      </c>
      <c r="D20" s="51">
        <v>16855.55</v>
      </c>
      <c r="E20" s="53">
        <v>18012.2</v>
      </c>
    </row>
    <row r="21" spans="1:5" ht="14.25" customHeight="1">
      <c r="A21" s="50">
        <v>44805</v>
      </c>
      <c r="B21" s="51">
        <v>17485.7</v>
      </c>
      <c r="C21" s="52">
        <v>18096.150000000001</v>
      </c>
      <c r="D21" s="51">
        <v>16747.7</v>
      </c>
      <c r="E21" s="53">
        <v>17094.349999999999</v>
      </c>
    </row>
    <row r="22" spans="1:5" ht="14.25" customHeight="1">
      <c r="A22" s="50">
        <v>44774</v>
      </c>
      <c r="B22" s="51">
        <v>17243.2</v>
      </c>
      <c r="C22" s="52">
        <v>17992.2</v>
      </c>
      <c r="D22" s="51">
        <v>17154.8</v>
      </c>
      <c r="E22" s="53">
        <v>17759.3</v>
      </c>
    </row>
    <row r="23" spans="1:5" ht="14.25" customHeight="1">
      <c r="A23" s="50">
        <v>44743</v>
      </c>
      <c r="B23" s="51">
        <v>15703.7</v>
      </c>
      <c r="C23" s="52">
        <v>17172.8</v>
      </c>
      <c r="D23" s="51">
        <v>15511.05</v>
      </c>
      <c r="E23" s="53">
        <v>17158.25</v>
      </c>
    </row>
    <row r="24" spans="1:5" ht="14.25" customHeight="1">
      <c r="A24" s="50">
        <v>44713</v>
      </c>
      <c r="B24" s="51">
        <v>16594.400000000001</v>
      </c>
      <c r="C24" s="52">
        <v>16793.849999999999</v>
      </c>
      <c r="D24" s="51">
        <v>15183.4</v>
      </c>
      <c r="E24" s="53">
        <v>15780.25</v>
      </c>
    </row>
    <row r="25" spans="1:5" ht="14.25" customHeight="1">
      <c r="A25" s="50">
        <v>44682</v>
      </c>
      <c r="B25" s="51">
        <v>16924.45</v>
      </c>
      <c r="C25" s="52">
        <v>17132.849999999999</v>
      </c>
      <c r="D25" s="51">
        <v>15735.75</v>
      </c>
      <c r="E25" s="53">
        <v>16584.55</v>
      </c>
    </row>
    <row r="26" spans="1:5" ht="14.25" customHeight="1">
      <c r="A26" s="50">
        <v>44652</v>
      </c>
      <c r="B26" s="51">
        <v>17436.900000000001</v>
      </c>
      <c r="C26" s="52">
        <v>18114.650000000001</v>
      </c>
      <c r="D26" s="51">
        <v>16824.7</v>
      </c>
      <c r="E26" s="53">
        <v>17102.55</v>
      </c>
    </row>
    <row r="27" spans="1:5" ht="14.25" customHeight="1">
      <c r="A27" s="50">
        <v>44621</v>
      </c>
      <c r="B27" s="51">
        <v>16593.099999999999</v>
      </c>
      <c r="C27" s="52">
        <v>17559.8</v>
      </c>
      <c r="D27" s="51">
        <v>15671.45</v>
      </c>
      <c r="E27" s="53">
        <v>17464.75</v>
      </c>
    </row>
    <row r="28" spans="1:5" ht="14.25" customHeight="1">
      <c r="A28" s="50">
        <v>44593</v>
      </c>
      <c r="B28" s="51">
        <v>17529.45</v>
      </c>
      <c r="C28" s="52">
        <v>17794.599999999999</v>
      </c>
      <c r="D28" s="51">
        <v>16203.25</v>
      </c>
      <c r="E28" s="53">
        <v>16793.900000000001</v>
      </c>
    </row>
    <row r="29" spans="1:5" ht="14.25" customHeight="1">
      <c r="A29" s="50">
        <v>44562</v>
      </c>
      <c r="B29" s="51">
        <v>17387.150000000001</v>
      </c>
      <c r="C29" s="52">
        <v>18350.95</v>
      </c>
      <c r="D29" s="51">
        <v>16836.8</v>
      </c>
      <c r="E29" s="53">
        <v>17339.849999999999</v>
      </c>
    </row>
    <row r="30" spans="1:5" ht="14.25" customHeight="1">
      <c r="A30" s="50">
        <v>44531</v>
      </c>
      <c r="B30" s="51">
        <v>17104.400000000001</v>
      </c>
      <c r="C30" s="52">
        <v>17639.5</v>
      </c>
      <c r="D30" s="51">
        <v>16410.2</v>
      </c>
      <c r="E30" s="53">
        <v>17354.05</v>
      </c>
    </row>
    <row r="31" spans="1:5" ht="14.25" customHeight="1">
      <c r="A31" s="50">
        <v>44501</v>
      </c>
      <c r="B31" s="51">
        <v>17783.150000000001</v>
      </c>
      <c r="C31" s="52">
        <v>18210.150000000001</v>
      </c>
      <c r="D31" s="51">
        <v>16782.400000000001</v>
      </c>
      <c r="E31" s="53">
        <v>16983.2</v>
      </c>
    </row>
    <row r="32" spans="1:5" ht="14.25" customHeight="1">
      <c r="A32" s="50">
        <v>44470</v>
      </c>
      <c r="B32" s="51">
        <v>17531.900000000001</v>
      </c>
      <c r="C32" s="52">
        <v>18604.45</v>
      </c>
      <c r="D32" s="51">
        <v>17452.900000000001</v>
      </c>
      <c r="E32" s="53">
        <v>17671.650000000001</v>
      </c>
    </row>
    <row r="33" spans="1:5" ht="14.25" customHeight="1">
      <c r="A33" s="50">
        <v>44440</v>
      </c>
      <c r="B33" s="51">
        <v>17185.599999999999</v>
      </c>
      <c r="C33" s="52">
        <v>17947.650000000001</v>
      </c>
      <c r="D33" s="51">
        <v>17055.05</v>
      </c>
      <c r="E33" s="53">
        <v>17618.150000000001</v>
      </c>
    </row>
    <row r="34" spans="1:5" ht="14.25" customHeight="1">
      <c r="A34" s="50">
        <v>44409</v>
      </c>
      <c r="B34" s="51">
        <v>15874.9</v>
      </c>
      <c r="C34" s="52">
        <v>17153.5</v>
      </c>
      <c r="D34" s="51">
        <v>15834.65</v>
      </c>
      <c r="E34" s="53">
        <v>17132.2</v>
      </c>
    </row>
    <row r="35" spans="1:5" ht="14.25" customHeight="1">
      <c r="A35" s="50">
        <v>44378</v>
      </c>
      <c r="B35" s="51">
        <v>15755.05</v>
      </c>
      <c r="C35" s="52">
        <v>15962.25</v>
      </c>
      <c r="D35" s="51">
        <v>15513.45</v>
      </c>
      <c r="E35" s="53">
        <v>15763.05</v>
      </c>
    </row>
    <row r="36" spans="1:5" ht="14.25" customHeight="1">
      <c r="A36" s="50">
        <v>44348</v>
      </c>
      <c r="B36" s="51">
        <v>15629.65</v>
      </c>
      <c r="C36" s="52">
        <v>15915.65</v>
      </c>
      <c r="D36" s="51">
        <v>15450.9</v>
      </c>
      <c r="E36" s="53">
        <v>15721.5</v>
      </c>
    </row>
    <row r="37" spans="1:5" ht="14.25" customHeight="1">
      <c r="A37" s="50">
        <v>44317</v>
      </c>
      <c r="B37" s="51">
        <v>14481.05</v>
      </c>
      <c r="C37" s="52">
        <v>15606.35</v>
      </c>
      <c r="D37" s="51">
        <v>14416.25</v>
      </c>
      <c r="E37" s="53">
        <v>15582.8</v>
      </c>
    </row>
    <row r="38" spans="1:5" ht="14.25" customHeight="1">
      <c r="A38" s="50">
        <v>44287</v>
      </c>
      <c r="B38" s="51">
        <v>14798.4</v>
      </c>
      <c r="C38" s="52">
        <v>15044.35</v>
      </c>
      <c r="D38" s="51">
        <v>14151.4</v>
      </c>
      <c r="E38" s="53">
        <v>14631.1</v>
      </c>
    </row>
    <row r="39" spans="1:5" ht="14.25" customHeight="1">
      <c r="A39" s="50">
        <v>44256</v>
      </c>
      <c r="B39" s="51">
        <v>14702.5</v>
      </c>
      <c r="C39" s="52">
        <v>15336.3</v>
      </c>
      <c r="D39" s="51">
        <v>14264.4</v>
      </c>
      <c r="E39" s="53">
        <v>14690.7</v>
      </c>
    </row>
    <row r="40" spans="1:5" ht="14.25" customHeight="1">
      <c r="A40" s="50">
        <v>44228</v>
      </c>
      <c r="B40" s="51">
        <v>13758.6</v>
      </c>
      <c r="C40" s="52">
        <v>15431.75</v>
      </c>
      <c r="D40" s="51">
        <v>13661.75</v>
      </c>
      <c r="E40" s="53">
        <v>14529.15</v>
      </c>
    </row>
    <row r="41" spans="1:5" ht="14.25" customHeight="1">
      <c r="A41" s="50">
        <v>44197</v>
      </c>
      <c r="B41" s="51">
        <v>13996.1</v>
      </c>
      <c r="C41" s="52">
        <v>14753.55</v>
      </c>
      <c r="D41" s="51">
        <v>13596.75</v>
      </c>
      <c r="E41" s="53">
        <v>13634.6</v>
      </c>
    </row>
    <row r="42" spans="1:5" ht="14.25" customHeight="1">
      <c r="A42" s="50">
        <v>44166</v>
      </c>
      <c r="B42" s="51">
        <v>13062.2</v>
      </c>
      <c r="C42" s="52">
        <v>14024.85</v>
      </c>
      <c r="D42" s="51">
        <v>12962.8</v>
      </c>
      <c r="E42" s="53">
        <v>13981.75</v>
      </c>
    </row>
    <row r="43" spans="1:5" ht="14.25" customHeight="1">
      <c r="A43" s="50">
        <v>44136</v>
      </c>
      <c r="B43" s="51">
        <v>11697.35</v>
      </c>
      <c r="C43" s="52">
        <v>13145.85</v>
      </c>
      <c r="D43" s="51">
        <v>11557.4</v>
      </c>
      <c r="E43" s="53">
        <v>12968.95</v>
      </c>
    </row>
    <row r="44" spans="1:5" ht="14.25" customHeight="1">
      <c r="A44" s="50">
        <v>44105</v>
      </c>
      <c r="B44" s="51">
        <v>11364.45</v>
      </c>
      <c r="C44" s="52">
        <v>12025.45</v>
      </c>
      <c r="D44" s="51">
        <v>11347.05</v>
      </c>
      <c r="E44" s="53">
        <v>11642.4</v>
      </c>
    </row>
    <row r="45" spans="1:5" ht="14.25" customHeight="1">
      <c r="A45" s="50">
        <v>44075</v>
      </c>
      <c r="B45" s="51">
        <v>11464.3</v>
      </c>
      <c r="C45" s="52">
        <v>11618.1</v>
      </c>
      <c r="D45" s="51">
        <v>10790.2</v>
      </c>
      <c r="E45" s="53">
        <v>11247.55</v>
      </c>
    </row>
    <row r="46" spans="1:5" ht="14.25" customHeight="1">
      <c r="A46" s="50">
        <v>44044</v>
      </c>
      <c r="B46" s="51">
        <v>11057.55</v>
      </c>
      <c r="C46" s="52">
        <v>11794.25</v>
      </c>
      <c r="D46" s="51">
        <v>10882.25</v>
      </c>
      <c r="E46" s="53">
        <v>11387.5</v>
      </c>
    </row>
    <row r="47" spans="1:5" ht="14.25" customHeight="1">
      <c r="A47" s="50">
        <v>44013</v>
      </c>
      <c r="B47" s="51">
        <v>10323.799999999999</v>
      </c>
      <c r="C47" s="52">
        <v>11341.4</v>
      </c>
      <c r="D47" s="51">
        <v>10299.6</v>
      </c>
      <c r="E47" s="53">
        <v>11073.45</v>
      </c>
    </row>
    <row r="48" spans="1:5" ht="14.25" customHeight="1">
      <c r="A48" s="50">
        <v>43983</v>
      </c>
      <c r="B48" s="51">
        <v>9726.85</v>
      </c>
      <c r="C48" s="52">
        <v>10553.15</v>
      </c>
      <c r="D48" s="51">
        <v>9544.35</v>
      </c>
      <c r="E48" s="53">
        <v>10302.1</v>
      </c>
    </row>
    <row r="49" spans="1:5" ht="14.25" customHeight="1">
      <c r="A49" s="50">
        <v>43952</v>
      </c>
      <c r="B49" s="51">
        <v>9533.5</v>
      </c>
      <c r="C49" s="52">
        <v>9598.85</v>
      </c>
      <c r="D49" s="51">
        <v>8806.75</v>
      </c>
      <c r="E49" s="53">
        <v>9580.2999999999993</v>
      </c>
    </row>
    <row r="50" spans="1:5" ht="14.25" customHeight="1">
      <c r="A50" s="50">
        <v>43922</v>
      </c>
      <c r="B50" s="51">
        <v>8584.1</v>
      </c>
      <c r="C50" s="52">
        <v>9889.0499999999993</v>
      </c>
      <c r="D50" s="51">
        <v>8055.8</v>
      </c>
      <c r="E50" s="53">
        <v>9859.9</v>
      </c>
    </row>
    <row r="51" spans="1:5" ht="14.25" customHeight="1">
      <c r="A51" s="50">
        <v>43891</v>
      </c>
      <c r="B51" s="51">
        <v>11387.35</v>
      </c>
      <c r="C51" s="52">
        <v>11433</v>
      </c>
      <c r="D51" s="51">
        <v>7511.1</v>
      </c>
      <c r="E51" s="53">
        <v>8597.75</v>
      </c>
    </row>
    <row r="52" spans="1:5" ht="14.25" customHeight="1">
      <c r="A52" s="50">
        <v>43862</v>
      </c>
      <c r="B52" s="51">
        <v>11939</v>
      </c>
      <c r="C52" s="52">
        <v>12246.7</v>
      </c>
      <c r="D52" s="51">
        <v>11175.05</v>
      </c>
      <c r="E52" s="53">
        <v>11201.75</v>
      </c>
    </row>
    <row r="53" spans="1:5" ht="14.25" customHeight="1">
      <c r="A53" s="50">
        <v>43831</v>
      </c>
      <c r="B53" s="51">
        <v>12202.15</v>
      </c>
      <c r="C53" s="52">
        <v>12430.5</v>
      </c>
      <c r="D53" s="51">
        <v>11929.6</v>
      </c>
      <c r="E53" s="53">
        <v>11962.1</v>
      </c>
    </row>
    <row r="54" spans="1:5" ht="14.25" customHeight="1">
      <c r="A54" s="50">
        <v>43800</v>
      </c>
      <c r="B54" s="51">
        <v>12137.05</v>
      </c>
      <c r="C54" s="52">
        <v>12293.9</v>
      </c>
      <c r="D54" s="51">
        <v>11832.3</v>
      </c>
      <c r="E54" s="53">
        <v>12168.45</v>
      </c>
    </row>
    <row r="55" spans="1:5" ht="14.25" customHeight="1">
      <c r="A55" s="50">
        <v>43770</v>
      </c>
      <c r="B55" s="51">
        <v>11886.6</v>
      </c>
      <c r="C55" s="52">
        <v>12158.8</v>
      </c>
      <c r="D55" s="51">
        <v>11802.65</v>
      </c>
      <c r="E55" s="53">
        <v>12056.05</v>
      </c>
    </row>
    <row r="56" spans="1:5" ht="14.25" customHeight="1">
      <c r="A56" s="50">
        <v>43739</v>
      </c>
      <c r="B56" s="51">
        <v>11515.4</v>
      </c>
      <c r="C56" s="52">
        <v>11945</v>
      </c>
      <c r="D56" s="51">
        <v>11090.15</v>
      </c>
      <c r="E56" s="53">
        <v>11877.45</v>
      </c>
    </row>
    <row r="57" spans="1:5" ht="14.25" customHeight="1">
      <c r="A57" s="50">
        <v>43709</v>
      </c>
      <c r="B57" s="51">
        <v>10960.95</v>
      </c>
      <c r="C57" s="52">
        <v>11694.85</v>
      </c>
      <c r="D57" s="51">
        <v>10670.25</v>
      </c>
      <c r="E57" s="53">
        <v>11474.45</v>
      </c>
    </row>
    <row r="58" spans="1:5" ht="14.25" customHeight="1">
      <c r="A58" s="50">
        <v>43678</v>
      </c>
      <c r="B58" s="51">
        <v>11060.2</v>
      </c>
      <c r="C58" s="52">
        <v>11181.45</v>
      </c>
      <c r="D58" s="51">
        <v>10637.15</v>
      </c>
      <c r="E58" s="53">
        <v>11023.25</v>
      </c>
    </row>
    <row r="59" spans="1:5" ht="14.25" customHeight="1">
      <c r="A59" s="50">
        <v>43647</v>
      </c>
      <c r="B59" s="51">
        <v>11839.9</v>
      </c>
      <c r="C59" s="52">
        <v>11981.75</v>
      </c>
      <c r="D59" s="51">
        <v>10999.4</v>
      </c>
      <c r="E59" s="53">
        <v>11118</v>
      </c>
    </row>
    <row r="60" spans="1:5" ht="14.25" customHeight="1">
      <c r="A60" s="50">
        <v>43617</v>
      </c>
      <c r="B60" s="51">
        <v>11953.75</v>
      </c>
      <c r="C60" s="52">
        <v>12103.05</v>
      </c>
      <c r="D60" s="51">
        <v>11625.1</v>
      </c>
      <c r="E60" s="53">
        <v>11788.85</v>
      </c>
    </row>
    <row r="61" spans="1:5" ht="14.25" customHeight="1">
      <c r="A61" s="50">
        <v>43586</v>
      </c>
      <c r="B61" s="51">
        <v>11725.55</v>
      </c>
      <c r="C61" s="52">
        <v>12041.15</v>
      </c>
      <c r="D61" s="51">
        <v>11108.3</v>
      </c>
      <c r="E61" s="53">
        <v>11922.8</v>
      </c>
    </row>
    <row r="62" spans="1:5" ht="14.25" customHeight="1">
      <c r="A62" s="50">
        <v>43556</v>
      </c>
      <c r="B62" s="51">
        <v>11665.2</v>
      </c>
      <c r="C62" s="52">
        <v>11856.15</v>
      </c>
      <c r="D62" s="51">
        <v>11549.1</v>
      </c>
      <c r="E62" s="53">
        <v>11748.15</v>
      </c>
    </row>
    <row r="63" spans="1:5" ht="14.25" customHeight="1">
      <c r="A63" s="50">
        <v>43525</v>
      </c>
      <c r="B63" s="51">
        <v>10842.65</v>
      </c>
      <c r="C63" s="52">
        <v>11630.35</v>
      </c>
      <c r="D63" s="51">
        <v>10817</v>
      </c>
      <c r="E63" s="53">
        <v>11623.9</v>
      </c>
    </row>
    <row r="64" spans="1:5" ht="14.25" customHeight="1">
      <c r="A64" s="50">
        <v>43497</v>
      </c>
      <c r="B64" s="51">
        <v>10851.35</v>
      </c>
      <c r="C64" s="52">
        <v>11118.1</v>
      </c>
      <c r="D64" s="51">
        <v>10585.65</v>
      </c>
      <c r="E64" s="53">
        <v>10792.5</v>
      </c>
    </row>
    <row r="65" spans="1:5" ht="14.25" customHeight="1">
      <c r="A65" s="50">
        <v>43466</v>
      </c>
      <c r="B65" s="51">
        <v>10881.7</v>
      </c>
      <c r="C65" s="52">
        <v>10987.45</v>
      </c>
      <c r="D65" s="51">
        <v>10583.65</v>
      </c>
      <c r="E65" s="53">
        <v>10830.95</v>
      </c>
    </row>
    <row r="66" spans="1:5" ht="14.25" customHeight="1">
      <c r="A66" s="50">
        <v>43435</v>
      </c>
      <c r="B66" s="51">
        <v>10930.7</v>
      </c>
      <c r="C66" s="52">
        <v>10985.15</v>
      </c>
      <c r="D66" s="51">
        <v>10333.85</v>
      </c>
      <c r="E66" s="53">
        <v>10862.55</v>
      </c>
    </row>
    <row r="67" spans="1:5" ht="14.25" customHeight="1">
      <c r="A67" s="50">
        <v>43405</v>
      </c>
      <c r="B67" s="51">
        <v>10441.700000000001</v>
      </c>
      <c r="C67" s="52">
        <v>10922.45</v>
      </c>
      <c r="D67" s="51">
        <v>10341.9</v>
      </c>
      <c r="E67" s="53">
        <v>10876.75</v>
      </c>
    </row>
    <row r="68" spans="1:5" ht="14.25" customHeight="1">
      <c r="A68" s="50">
        <v>43374</v>
      </c>
      <c r="B68" s="51">
        <v>10930.9</v>
      </c>
      <c r="C68" s="52">
        <v>11035.65</v>
      </c>
      <c r="D68" s="51">
        <v>10004.549999999999</v>
      </c>
      <c r="E68" s="53">
        <v>10386.6</v>
      </c>
    </row>
    <row r="69" spans="1:5" ht="14.25" customHeight="1">
      <c r="A69" s="50">
        <v>43344</v>
      </c>
      <c r="B69" s="51">
        <v>11751.8</v>
      </c>
      <c r="C69" s="52">
        <v>11751.8</v>
      </c>
      <c r="D69" s="51">
        <v>10850.3</v>
      </c>
      <c r="E69" s="53">
        <v>10930.45</v>
      </c>
    </row>
    <row r="70" spans="1:5" ht="14.25" customHeight="1">
      <c r="A70" s="50">
        <v>43313</v>
      </c>
      <c r="B70" s="51">
        <v>11359.8</v>
      </c>
      <c r="C70" s="52">
        <v>11760.2</v>
      </c>
      <c r="D70" s="51">
        <v>11234.95</v>
      </c>
      <c r="E70" s="53">
        <v>11680.5</v>
      </c>
    </row>
    <row r="71" spans="1:5" ht="14.25" customHeight="1">
      <c r="A71" s="50">
        <v>43282</v>
      </c>
      <c r="B71" s="51">
        <v>10732.35</v>
      </c>
      <c r="C71" s="52">
        <v>11366</v>
      </c>
      <c r="D71" s="51">
        <v>10604.65</v>
      </c>
      <c r="E71" s="53">
        <v>11356.5</v>
      </c>
    </row>
    <row r="72" spans="1:5" ht="14.25" customHeight="1">
      <c r="A72" s="50">
        <v>43252</v>
      </c>
      <c r="B72" s="51">
        <v>10738.45</v>
      </c>
      <c r="C72" s="52">
        <v>10893.25</v>
      </c>
      <c r="D72" s="51">
        <v>10550.9</v>
      </c>
      <c r="E72" s="53">
        <v>10714.3</v>
      </c>
    </row>
    <row r="73" spans="1:5" ht="14.25" customHeight="1">
      <c r="A73" s="50">
        <v>43221</v>
      </c>
      <c r="B73" s="51">
        <v>10783.85</v>
      </c>
      <c r="C73" s="52">
        <v>10929.2</v>
      </c>
      <c r="D73" s="51">
        <v>10417.799999999999</v>
      </c>
      <c r="E73" s="53">
        <v>10736.15</v>
      </c>
    </row>
    <row r="74" spans="1:5" ht="14.25" customHeight="1">
      <c r="A74" s="50">
        <v>43191</v>
      </c>
      <c r="B74" s="51">
        <v>10151.65</v>
      </c>
      <c r="C74" s="52">
        <v>10759</v>
      </c>
      <c r="D74" s="51">
        <v>10111.299999999999</v>
      </c>
      <c r="E74" s="53">
        <v>10739.35</v>
      </c>
    </row>
    <row r="75" spans="1:5" ht="14.25" customHeight="1">
      <c r="A75" s="50">
        <v>43160</v>
      </c>
      <c r="B75" s="51">
        <v>10479.950000000001</v>
      </c>
      <c r="C75" s="52">
        <v>10525.5</v>
      </c>
      <c r="D75" s="51">
        <v>9951.9</v>
      </c>
      <c r="E75" s="53">
        <v>10113.700000000001</v>
      </c>
    </row>
    <row r="76" spans="1:5" ht="14.25" customHeight="1">
      <c r="A76" s="50">
        <v>43132</v>
      </c>
      <c r="B76" s="51">
        <v>11044.55</v>
      </c>
      <c r="C76" s="52">
        <v>11117.35</v>
      </c>
      <c r="D76" s="51">
        <v>10276.299999999999</v>
      </c>
      <c r="E76" s="53">
        <v>10492.85</v>
      </c>
    </row>
    <row r="77" spans="1:5" ht="14.25" customHeight="1">
      <c r="A77" s="50">
        <v>43101</v>
      </c>
      <c r="B77" s="51">
        <v>10531.7</v>
      </c>
      <c r="C77" s="52">
        <v>11171.55</v>
      </c>
      <c r="D77" s="51">
        <v>10404.65</v>
      </c>
      <c r="E77" s="53">
        <v>11027.7</v>
      </c>
    </row>
    <row r="78" spans="1:5" ht="14.25" customHeight="1">
      <c r="A78" s="50">
        <v>43070</v>
      </c>
      <c r="B78" s="51">
        <v>10263.700000000001</v>
      </c>
      <c r="C78" s="52">
        <v>10552.4</v>
      </c>
      <c r="D78" s="51">
        <v>10033.35</v>
      </c>
      <c r="E78" s="53">
        <v>10530.7</v>
      </c>
    </row>
    <row r="79" spans="1:5" ht="14.25" customHeight="1">
      <c r="A79" s="50">
        <v>43040</v>
      </c>
      <c r="B79" s="51">
        <v>10390.35</v>
      </c>
      <c r="C79" s="52">
        <v>10490.45</v>
      </c>
      <c r="D79" s="51">
        <v>10094</v>
      </c>
      <c r="E79" s="53">
        <v>10226.549999999999</v>
      </c>
    </row>
    <row r="80" spans="1:5" ht="14.25" customHeight="1">
      <c r="A80" s="50">
        <v>43009</v>
      </c>
      <c r="B80" s="51">
        <v>9893.2999999999993</v>
      </c>
      <c r="C80" s="52">
        <v>10384.5</v>
      </c>
      <c r="D80" s="51">
        <v>9831.0499999999993</v>
      </c>
      <c r="E80" s="53">
        <v>10335.299999999999</v>
      </c>
    </row>
    <row r="81" spans="1:5" ht="14.25" customHeight="1">
      <c r="A81" s="50">
        <v>42979</v>
      </c>
      <c r="B81" s="51">
        <v>9937.65</v>
      </c>
      <c r="C81" s="52">
        <v>10178.950000000001</v>
      </c>
      <c r="D81" s="51">
        <v>9687.5499999999993</v>
      </c>
      <c r="E81" s="53">
        <v>9788.6</v>
      </c>
    </row>
    <row r="82" spans="1:5" ht="14.25" customHeight="1">
      <c r="A82" s="50">
        <v>42948</v>
      </c>
      <c r="B82" s="51">
        <v>10101.049999999999</v>
      </c>
      <c r="C82" s="52">
        <v>10137.85</v>
      </c>
      <c r="D82" s="51">
        <v>9685.5499999999993</v>
      </c>
      <c r="E82" s="53">
        <v>9917.9</v>
      </c>
    </row>
    <row r="83" spans="1:5" ht="14.25" customHeight="1">
      <c r="A83" s="50">
        <v>42917</v>
      </c>
      <c r="B83" s="51">
        <v>9587.9500000000007</v>
      </c>
      <c r="C83" s="52">
        <v>10114.85</v>
      </c>
      <c r="D83" s="51">
        <v>9543.5499999999993</v>
      </c>
      <c r="E83" s="53">
        <v>10077.1</v>
      </c>
    </row>
    <row r="84" spans="1:5" ht="14.25" customHeight="1">
      <c r="A84" s="50">
        <v>42887</v>
      </c>
      <c r="B84" s="51">
        <v>9603.5499999999993</v>
      </c>
      <c r="C84" s="52">
        <v>9709.2999999999993</v>
      </c>
      <c r="D84" s="51">
        <v>9448.75</v>
      </c>
      <c r="E84" s="53">
        <v>9520.9</v>
      </c>
    </row>
    <row r="85" spans="1:5" ht="14.25" customHeight="1">
      <c r="A85" s="50">
        <v>42856</v>
      </c>
      <c r="B85" s="51">
        <v>9339.85</v>
      </c>
      <c r="C85" s="52">
        <v>9649.6</v>
      </c>
      <c r="D85" s="51">
        <v>9269.9</v>
      </c>
      <c r="E85" s="53">
        <v>9621.25</v>
      </c>
    </row>
    <row r="86" spans="1:5" ht="14.25" customHeight="1">
      <c r="A86" s="50">
        <v>42826</v>
      </c>
      <c r="B86" s="51">
        <v>9220.6</v>
      </c>
      <c r="C86" s="52">
        <v>9367.15</v>
      </c>
      <c r="D86" s="51">
        <v>9075.15</v>
      </c>
      <c r="E86" s="53">
        <v>9304.0499999999993</v>
      </c>
    </row>
    <row r="87" spans="1:5" ht="14.25" customHeight="1">
      <c r="A87" s="50">
        <v>42795</v>
      </c>
      <c r="B87" s="51">
        <v>8904.4</v>
      </c>
      <c r="C87" s="52">
        <v>9218.4</v>
      </c>
      <c r="D87" s="51">
        <v>8860.1</v>
      </c>
      <c r="E87" s="53">
        <v>9173.75</v>
      </c>
    </row>
    <row r="88" spans="1:5" ht="14.25" customHeight="1">
      <c r="A88" s="50">
        <v>42767</v>
      </c>
      <c r="B88" s="51">
        <v>8570.35</v>
      </c>
      <c r="C88" s="52">
        <v>8982.15</v>
      </c>
      <c r="D88" s="51">
        <v>8537.5</v>
      </c>
      <c r="E88" s="53">
        <v>8879.6</v>
      </c>
    </row>
    <row r="89" spans="1:5" ht="14.25" customHeight="1">
      <c r="A89" s="50">
        <v>42736</v>
      </c>
      <c r="B89" s="51">
        <v>8210.1</v>
      </c>
      <c r="C89" s="52">
        <v>8672.7000000000007</v>
      </c>
      <c r="D89" s="51">
        <v>8133.8</v>
      </c>
      <c r="E89" s="53">
        <v>8561.2999999999993</v>
      </c>
    </row>
    <row r="90" spans="1:5" ht="14.25" customHeight="1">
      <c r="A90" s="50">
        <v>42705</v>
      </c>
      <c r="B90" s="51">
        <v>8244</v>
      </c>
      <c r="C90" s="52">
        <v>8274.9500000000007</v>
      </c>
      <c r="D90" s="51">
        <v>7893.8</v>
      </c>
      <c r="E90" s="53">
        <v>8185.8</v>
      </c>
    </row>
    <row r="91" spans="1:5" ht="14.25" customHeight="1">
      <c r="A91" s="50">
        <v>42675</v>
      </c>
      <c r="B91" s="51">
        <v>8653.15</v>
      </c>
      <c r="C91" s="52">
        <v>8669.6</v>
      </c>
      <c r="D91" s="51">
        <v>7916.4</v>
      </c>
      <c r="E91" s="53">
        <v>8224.5</v>
      </c>
    </row>
    <row r="92" spans="1:5" ht="14.25" customHeight="1">
      <c r="A92" s="50">
        <v>42644</v>
      </c>
      <c r="B92" s="51">
        <v>8666.15</v>
      </c>
      <c r="C92" s="52">
        <v>8806.9500000000007</v>
      </c>
      <c r="D92" s="51">
        <v>8506.15</v>
      </c>
      <c r="E92" s="53">
        <v>8625.7000000000007</v>
      </c>
    </row>
    <row r="93" spans="1:5" ht="14.25" customHeight="1">
      <c r="A93" s="50">
        <v>42614</v>
      </c>
      <c r="B93" s="51">
        <v>8793.6</v>
      </c>
      <c r="C93" s="52">
        <v>8968.7000000000007</v>
      </c>
      <c r="D93" s="51">
        <v>8555.2000000000007</v>
      </c>
      <c r="E93" s="53">
        <v>8611.15</v>
      </c>
    </row>
    <row r="94" spans="1:5" ht="14.25" customHeight="1">
      <c r="A94" s="50">
        <v>42583</v>
      </c>
      <c r="B94" s="51">
        <v>8654.2999999999993</v>
      </c>
      <c r="C94" s="52">
        <v>8819.2000000000007</v>
      </c>
      <c r="D94" s="51">
        <v>8518.15</v>
      </c>
      <c r="E94" s="53">
        <v>8786.2000000000007</v>
      </c>
    </row>
    <row r="95" spans="1:5" ht="14.25" customHeight="1">
      <c r="A95" s="50">
        <v>42552</v>
      </c>
      <c r="B95" s="51">
        <v>8313.0499999999993</v>
      </c>
      <c r="C95" s="52">
        <v>8674.7000000000007</v>
      </c>
      <c r="D95" s="51">
        <v>8287.5499999999993</v>
      </c>
      <c r="E95" s="53">
        <v>8638.5</v>
      </c>
    </row>
    <row r="96" spans="1:5" ht="14.25" customHeight="1">
      <c r="A96" s="50">
        <v>42522</v>
      </c>
      <c r="B96" s="51">
        <v>8179.2</v>
      </c>
      <c r="C96" s="52">
        <v>8308.15</v>
      </c>
      <c r="D96" s="51">
        <v>7927.05</v>
      </c>
      <c r="E96" s="53">
        <v>8287.75</v>
      </c>
    </row>
    <row r="97" spans="1:5" ht="14.25" customHeight="1">
      <c r="A97" s="50">
        <v>42491</v>
      </c>
      <c r="B97" s="51">
        <v>7822.7</v>
      </c>
      <c r="C97" s="52">
        <v>8213.6</v>
      </c>
      <c r="D97" s="51">
        <v>7678.35</v>
      </c>
      <c r="E97" s="53">
        <v>8160.1</v>
      </c>
    </row>
    <row r="98" spans="1:5" ht="14.25" customHeight="1">
      <c r="A98" s="50">
        <v>42461</v>
      </c>
      <c r="B98" s="51">
        <v>7718.05</v>
      </c>
      <c r="C98" s="52">
        <v>7992</v>
      </c>
      <c r="D98" s="51">
        <v>7516.85</v>
      </c>
      <c r="E98" s="53">
        <v>7849.8</v>
      </c>
    </row>
    <row r="99" spans="1:5" ht="14.25" customHeight="1">
      <c r="A99" s="50">
        <v>42430</v>
      </c>
      <c r="B99" s="51">
        <v>7038.25</v>
      </c>
      <c r="C99" s="52">
        <v>7777.6</v>
      </c>
      <c r="D99" s="51">
        <v>7035.1</v>
      </c>
      <c r="E99" s="53">
        <v>7738.4</v>
      </c>
    </row>
    <row r="100" spans="1:5" ht="14.25" customHeight="1">
      <c r="A100" s="50">
        <v>42401</v>
      </c>
      <c r="B100" s="51">
        <v>7589.5</v>
      </c>
      <c r="C100" s="52">
        <v>7600.45</v>
      </c>
      <c r="D100" s="51">
        <v>6825.8</v>
      </c>
      <c r="E100" s="53">
        <v>6987.05</v>
      </c>
    </row>
    <row r="101" spans="1:5" ht="14.25" customHeight="1">
      <c r="A101" s="50">
        <v>42370</v>
      </c>
      <c r="B101" s="51">
        <v>7938.45</v>
      </c>
      <c r="C101" s="52">
        <v>7972.55</v>
      </c>
      <c r="D101" s="51">
        <v>7241.5</v>
      </c>
      <c r="E101" s="53">
        <v>7563.55</v>
      </c>
    </row>
    <row r="102" spans="1:5" ht="14.25" customHeight="1">
      <c r="A102" s="50">
        <v>42339</v>
      </c>
      <c r="B102" s="51">
        <v>7958.15</v>
      </c>
      <c r="C102" s="52">
        <v>7979.3</v>
      </c>
      <c r="D102" s="51">
        <v>7551.05</v>
      </c>
      <c r="E102" s="53">
        <v>7946.35</v>
      </c>
    </row>
    <row r="103" spans="1:5" ht="14.25" customHeight="1">
      <c r="A103" s="50">
        <v>42309</v>
      </c>
      <c r="B103" s="51">
        <v>8054.55</v>
      </c>
      <c r="C103" s="52">
        <v>8116.1</v>
      </c>
      <c r="D103" s="51">
        <v>7714.15</v>
      </c>
      <c r="E103" s="53">
        <v>7935.25</v>
      </c>
    </row>
    <row r="104" spans="1:5" ht="14.25" customHeight="1">
      <c r="A104" s="50">
        <v>42278</v>
      </c>
      <c r="B104" s="51">
        <v>7992.05</v>
      </c>
      <c r="C104" s="52">
        <v>8336.2999999999993</v>
      </c>
      <c r="D104" s="51">
        <v>7930.65</v>
      </c>
      <c r="E104" s="53">
        <v>8065.8</v>
      </c>
    </row>
    <row r="105" spans="1:5" ht="14.25" customHeight="1">
      <c r="A105" s="50">
        <v>42248</v>
      </c>
      <c r="B105" s="51">
        <v>7907.95</v>
      </c>
      <c r="C105" s="52">
        <v>8055</v>
      </c>
      <c r="D105" s="51">
        <v>7539.5</v>
      </c>
      <c r="E105" s="53">
        <v>7948.9</v>
      </c>
    </row>
    <row r="106" spans="1:5" ht="14.25" customHeight="1">
      <c r="A106" s="50">
        <v>42217</v>
      </c>
      <c r="B106" s="51">
        <v>8510.65</v>
      </c>
      <c r="C106" s="52">
        <v>8621.5499999999993</v>
      </c>
      <c r="D106" s="51">
        <v>7667.25</v>
      </c>
      <c r="E106" s="53">
        <v>7971.3</v>
      </c>
    </row>
    <row r="107" spans="1:5" ht="14.25" customHeight="1">
      <c r="A107" s="50">
        <v>42186</v>
      </c>
      <c r="B107" s="51">
        <v>8376.25</v>
      </c>
      <c r="C107" s="52">
        <v>8654.75</v>
      </c>
      <c r="D107" s="51">
        <v>8315.4</v>
      </c>
      <c r="E107" s="53">
        <v>8532.85</v>
      </c>
    </row>
    <row r="108" spans="1:5" ht="14.25" customHeight="1">
      <c r="A108" s="50">
        <v>42156</v>
      </c>
      <c r="B108" s="51">
        <v>8417.25</v>
      </c>
      <c r="C108" s="52">
        <v>8467.15</v>
      </c>
      <c r="D108" s="51">
        <v>7940.3</v>
      </c>
      <c r="E108" s="53">
        <v>8368.5</v>
      </c>
    </row>
    <row r="109" spans="1:5" ht="14.25" customHeight="1">
      <c r="A109" s="50">
        <v>42125</v>
      </c>
      <c r="B109" s="51">
        <v>8230.0499999999993</v>
      </c>
      <c r="C109" s="52">
        <v>8489.5499999999993</v>
      </c>
      <c r="D109" s="51">
        <v>7997.15</v>
      </c>
      <c r="E109" s="53">
        <v>8433.65</v>
      </c>
    </row>
    <row r="110" spans="1:5" ht="14.25" customHeight="1">
      <c r="A110" s="50">
        <v>42095</v>
      </c>
      <c r="B110" s="51">
        <v>8483.7000000000007</v>
      </c>
      <c r="C110" s="52">
        <v>8844.7999999999993</v>
      </c>
      <c r="D110" s="51">
        <v>8144.75</v>
      </c>
      <c r="E110" s="53">
        <v>8181.5</v>
      </c>
    </row>
    <row r="111" spans="1:5" ht="14.25" customHeight="1">
      <c r="A111" s="50">
        <v>42064</v>
      </c>
      <c r="B111" s="51">
        <v>8953.85</v>
      </c>
      <c r="C111" s="52">
        <v>9119.2000000000007</v>
      </c>
      <c r="D111" s="51">
        <v>8269.15</v>
      </c>
      <c r="E111" s="53">
        <v>8491</v>
      </c>
    </row>
    <row r="112" spans="1:5" ht="14.25" customHeight="1">
      <c r="A112" s="50">
        <v>42036</v>
      </c>
      <c r="B112" s="51">
        <v>8802.5</v>
      </c>
      <c r="C112" s="52">
        <v>8941.1</v>
      </c>
      <c r="D112" s="51">
        <v>8470.5</v>
      </c>
      <c r="E112" s="53">
        <v>8901.85</v>
      </c>
    </row>
    <row r="113" spans="1:5" ht="14.25" customHeight="1">
      <c r="A113" s="50">
        <v>42005</v>
      </c>
      <c r="B113" s="51">
        <v>8272.7999999999993</v>
      </c>
      <c r="C113" s="52">
        <v>8996.6</v>
      </c>
      <c r="D113" s="51">
        <v>8065.45</v>
      </c>
      <c r="E113" s="53">
        <v>8808.9</v>
      </c>
    </row>
    <row r="114" spans="1:5" ht="14.25" customHeight="1">
      <c r="A114" s="50">
        <v>41974</v>
      </c>
      <c r="B114" s="51">
        <v>8605.1</v>
      </c>
      <c r="C114" s="52">
        <v>8626.9500000000007</v>
      </c>
      <c r="D114" s="51">
        <v>7961.35</v>
      </c>
      <c r="E114" s="53">
        <v>8282.7000000000007</v>
      </c>
    </row>
    <row r="115" spans="1:5" ht="14.25" customHeight="1">
      <c r="A115" s="50">
        <v>41944</v>
      </c>
      <c r="B115" s="51">
        <v>8348.15</v>
      </c>
      <c r="C115" s="52">
        <v>8617</v>
      </c>
      <c r="D115" s="51">
        <v>8290.25</v>
      </c>
      <c r="E115" s="53">
        <v>8588.25</v>
      </c>
    </row>
    <row r="116" spans="1:5" ht="14.25" customHeight="1">
      <c r="A116" s="50">
        <v>41913</v>
      </c>
      <c r="B116" s="51">
        <v>7960.5</v>
      </c>
      <c r="C116" s="52">
        <v>8330.75</v>
      </c>
      <c r="D116" s="51">
        <v>7723.85</v>
      </c>
      <c r="E116" s="53">
        <v>8322.2000000000007</v>
      </c>
    </row>
    <row r="117" spans="1:5" ht="14.25" customHeight="1">
      <c r="A117" s="50">
        <v>41883</v>
      </c>
      <c r="B117" s="51">
        <v>7990.35</v>
      </c>
      <c r="C117" s="52">
        <v>8180.2</v>
      </c>
      <c r="D117" s="51">
        <v>7841.8</v>
      </c>
      <c r="E117" s="53">
        <v>7964.8</v>
      </c>
    </row>
    <row r="118" spans="1:5" ht="14.25" customHeight="1">
      <c r="A118" s="50">
        <v>41852</v>
      </c>
      <c r="B118" s="51">
        <v>7662.5</v>
      </c>
      <c r="C118" s="52">
        <v>7968.25</v>
      </c>
      <c r="D118" s="51">
        <v>7540.1</v>
      </c>
      <c r="E118" s="53">
        <v>7954.35</v>
      </c>
    </row>
    <row r="119" spans="1:5" ht="14.25" customHeight="1">
      <c r="A119" s="50">
        <v>41821</v>
      </c>
      <c r="B119" s="51">
        <v>7629</v>
      </c>
      <c r="C119" s="52">
        <v>7840.95</v>
      </c>
      <c r="D119" s="51">
        <v>7422.15</v>
      </c>
      <c r="E119" s="53">
        <v>7721.3</v>
      </c>
    </row>
    <row r="120" spans="1:5" ht="14.25" customHeight="1">
      <c r="A120" s="50">
        <v>41791</v>
      </c>
      <c r="B120" s="51">
        <v>7264.05</v>
      </c>
      <c r="C120" s="52">
        <v>7700.05</v>
      </c>
      <c r="D120" s="51">
        <v>7239.5</v>
      </c>
      <c r="E120" s="53">
        <v>7611.35</v>
      </c>
    </row>
    <row r="121" spans="1:5" ht="14.25" customHeight="1">
      <c r="A121" s="50">
        <v>41760</v>
      </c>
      <c r="B121" s="51">
        <v>6709.95</v>
      </c>
      <c r="C121" s="52">
        <v>7563.5</v>
      </c>
      <c r="D121" s="51">
        <v>6638.55</v>
      </c>
      <c r="E121" s="53">
        <v>7229.95</v>
      </c>
    </row>
    <row r="122" spans="1:5" ht="14.25" customHeight="1">
      <c r="A122" s="50">
        <v>41730</v>
      </c>
      <c r="B122" s="51">
        <v>6729.5</v>
      </c>
      <c r="C122" s="52">
        <v>6869.85</v>
      </c>
      <c r="D122" s="51">
        <v>6650.4</v>
      </c>
      <c r="E122" s="53">
        <v>6696.4</v>
      </c>
    </row>
    <row r="123" spans="1:5" ht="14.25" customHeight="1">
      <c r="A123" s="50">
        <v>41699</v>
      </c>
      <c r="B123" s="51">
        <v>6264.35</v>
      </c>
      <c r="C123" s="52">
        <v>6730.05</v>
      </c>
      <c r="D123" s="51">
        <v>6212.25</v>
      </c>
      <c r="E123" s="53">
        <v>6704.2</v>
      </c>
    </row>
    <row r="124" spans="1:5" ht="14.25" customHeight="1">
      <c r="A124" s="50">
        <v>41671</v>
      </c>
      <c r="B124" s="51">
        <v>6058.8</v>
      </c>
      <c r="C124" s="52">
        <v>6282.7</v>
      </c>
      <c r="D124" s="51">
        <v>5933.3</v>
      </c>
      <c r="E124" s="53">
        <v>6276.95</v>
      </c>
    </row>
    <row r="125" spans="1:5" ht="14.25" customHeight="1">
      <c r="A125" s="50">
        <v>41640</v>
      </c>
      <c r="B125" s="51">
        <v>6323.8</v>
      </c>
      <c r="C125" s="52">
        <v>6358.3</v>
      </c>
      <c r="D125" s="51">
        <v>6027.25</v>
      </c>
      <c r="E125" s="53">
        <v>6089.5</v>
      </c>
    </row>
    <row r="126" spans="1:5" ht="14.25" customHeight="1">
      <c r="A126" s="50">
        <v>41609</v>
      </c>
      <c r="B126" s="51">
        <v>6171.15</v>
      </c>
      <c r="C126" s="52">
        <v>6415.25</v>
      </c>
      <c r="D126" s="51">
        <v>6129.95</v>
      </c>
      <c r="E126" s="53">
        <v>6304</v>
      </c>
    </row>
    <row r="127" spans="1:5" ht="14.25" customHeight="1">
      <c r="A127" s="50">
        <v>41579</v>
      </c>
      <c r="B127" s="51">
        <v>6289.75</v>
      </c>
      <c r="C127" s="52">
        <v>6342.95</v>
      </c>
      <c r="D127" s="51">
        <v>5972.45</v>
      </c>
      <c r="E127" s="53">
        <v>6176.1</v>
      </c>
    </row>
    <row r="128" spans="1:5" ht="14.25" customHeight="1">
      <c r="A128" s="50">
        <v>41548</v>
      </c>
      <c r="B128" s="51">
        <v>5756.1</v>
      </c>
      <c r="C128" s="52">
        <v>6309.05</v>
      </c>
      <c r="D128" s="51">
        <v>5700.95</v>
      </c>
      <c r="E128" s="53">
        <v>6299.15</v>
      </c>
    </row>
    <row r="129" spans="1:5" ht="14.25" customHeight="1">
      <c r="A129" s="50">
        <v>41518</v>
      </c>
      <c r="B129" s="51">
        <v>5480.25</v>
      </c>
      <c r="C129" s="52">
        <v>6142.5</v>
      </c>
      <c r="D129" s="51">
        <v>5318.9</v>
      </c>
      <c r="E129" s="53">
        <v>5735.3</v>
      </c>
    </row>
    <row r="130" spans="1:5" ht="14.25" customHeight="1">
      <c r="A130" s="50">
        <v>41487</v>
      </c>
      <c r="B130" s="51">
        <v>5776.9</v>
      </c>
      <c r="C130" s="52">
        <v>5808.5</v>
      </c>
      <c r="D130" s="51">
        <v>5118.8500000000004</v>
      </c>
      <c r="E130" s="53">
        <v>5471.8</v>
      </c>
    </row>
    <row r="131" spans="1:5" ht="14.25" customHeight="1">
      <c r="A131" s="50">
        <v>41456</v>
      </c>
      <c r="B131" s="51">
        <v>5834.1</v>
      </c>
      <c r="C131" s="52">
        <v>6093.35</v>
      </c>
      <c r="D131" s="51">
        <v>5675.75</v>
      </c>
      <c r="E131" s="53">
        <v>5742</v>
      </c>
    </row>
    <row r="132" spans="1:5" ht="14.25" customHeight="1">
      <c r="A132" s="50">
        <v>41426</v>
      </c>
      <c r="B132" s="51">
        <v>5997.35</v>
      </c>
      <c r="C132" s="52">
        <v>6011</v>
      </c>
      <c r="D132" s="51">
        <v>5566.25</v>
      </c>
      <c r="E132" s="53">
        <v>5842.2</v>
      </c>
    </row>
    <row r="133" spans="1:5" ht="14.25" customHeight="1">
      <c r="A133" s="50">
        <v>41395</v>
      </c>
      <c r="B133" s="51">
        <v>5911.4</v>
      </c>
      <c r="C133" s="52">
        <v>6229.45</v>
      </c>
      <c r="D133" s="51">
        <v>5910.95</v>
      </c>
      <c r="E133" s="53">
        <v>5985.95</v>
      </c>
    </row>
    <row r="134" spans="1:5" ht="14.25" customHeight="1">
      <c r="A134" s="50">
        <v>41365</v>
      </c>
      <c r="B134" s="51">
        <v>5697.35</v>
      </c>
      <c r="C134" s="52">
        <v>5962.3</v>
      </c>
      <c r="D134" s="51">
        <v>5477.2</v>
      </c>
      <c r="E134" s="53">
        <v>5930.2</v>
      </c>
    </row>
    <row r="135" spans="1:5" ht="14.25" customHeight="1">
      <c r="A135" s="50">
        <v>41334</v>
      </c>
      <c r="B135" s="51">
        <v>5702.45</v>
      </c>
      <c r="C135" s="52">
        <v>5971.2</v>
      </c>
      <c r="D135" s="51">
        <v>5604.85</v>
      </c>
      <c r="E135" s="53">
        <v>5682.55</v>
      </c>
    </row>
    <row r="136" spans="1:5" ht="14.25" customHeight="1">
      <c r="A136" s="50">
        <v>41306</v>
      </c>
      <c r="B136" s="51">
        <v>6040.95</v>
      </c>
      <c r="C136" s="52">
        <v>6052.95</v>
      </c>
      <c r="D136" s="51">
        <v>5671.9</v>
      </c>
      <c r="E136" s="53">
        <v>5693.05</v>
      </c>
    </row>
    <row r="137" spans="1:5" ht="14.25" customHeight="1">
      <c r="A137" s="50">
        <v>41275</v>
      </c>
      <c r="B137" s="51">
        <v>5937.65</v>
      </c>
      <c r="C137" s="52">
        <v>6111.8</v>
      </c>
      <c r="D137" s="51">
        <v>5935.2</v>
      </c>
      <c r="E137" s="53">
        <v>6034.75</v>
      </c>
    </row>
    <row r="138" spans="1:5" ht="14.25" customHeight="1">
      <c r="A138" s="50">
        <v>41244</v>
      </c>
      <c r="B138" s="51">
        <v>5878.25</v>
      </c>
      <c r="C138" s="52">
        <v>5965.15</v>
      </c>
      <c r="D138" s="51">
        <v>5823.15</v>
      </c>
      <c r="E138" s="53">
        <v>5905.1</v>
      </c>
    </row>
    <row r="139" spans="1:5" ht="14.25" customHeight="1">
      <c r="A139" s="50">
        <v>41214</v>
      </c>
      <c r="B139" s="51">
        <v>5609.85</v>
      </c>
      <c r="C139" s="52">
        <v>5885.25</v>
      </c>
      <c r="D139" s="51">
        <v>5548.35</v>
      </c>
      <c r="E139" s="53">
        <v>5879.85</v>
      </c>
    </row>
    <row r="140" spans="1:5" ht="14.25" customHeight="1">
      <c r="A140" s="50">
        <v>41183</v>
      </c>
      <c r="B140" s="51">
        <v>5704.75</v>
      </c>
      <c r="C140" s="52">
        <v>5815.35</v>
      </c>
      <c r="D140" s="51">
        <v>4888.2</v>
      </c>
      <c r="E140" s="53">
        <v>5619.7</v>
      </c>
    </row>
    <row r="141" spans="1:5" ht="14.25" customHeight="1">
      <c r="A141" s="50">
        <v>41153</v>
      </c>
      <c r="B141" s="51">
        <v>5276.5</v>
      </c>
      <c r="C141" s="52">
        <v>5735.15</v>
      </c>
      <c r="D141" s="51">
        <v>5215.7</v>
      </c>
      <c r="E141" s="53">
        <v>5703.3</v>
      </c>
    </row>
    <row r="142" spans="1:5" ht="14.25" customHeight="1">
      <c r="A142" s="50">
        <v>41122</v>
      </c>
      <c r="B142" s="51">
        <v>5220.7</v>
      </c>
      <c r="C142" s="52">
        <v>5448.6</v>
      </c>
      <c r="D142" s="51">
        <v>5164.6499999999996</v>
      </c>
      <c r="E142" s="53">
        <v>5258.5</v>
      </c>
    </row>
    <row r="143" spans="1:5" ht="14.25" customHeight="1">
      <c r="A143" s="50">
        <v>41091</v>
      </c>
      <c r="B143" s="51">
        <v>5283.85</v>
      </c>
      <c r="C143" s="52">
        <v>5348.55</v>
      </c>
      <c r="D143" s="51">
        <v>5032.3999999999996</v>
      </c>
      <c r="E143" s="53">
        <v>5229</v>
      </c>
    </row>
    <row r="144" spans="1:5" ht="14.25" customHeight="1">
      <c r="A144" s="50">
        <v>41061</v>
      </c>
      <c r="B144" s="51">
        <v>4910.8500000000004</v>
      </c>
      <c r="C144" s="52">
        <v>5286.25</v>
      </c>
      <c r="D144" s="51">
        <v>4770.3500000000004</v>
      </c>
      <c r="E144" s="53">
        <v>5278.9</v>
      </c>
    </row>
    <row r="145" spans="1:5" ht="14.25" customHeight="1">
      <c r="A145" s="50">
        <v>41030</v>
      </c>
      <c r="B145" s="51">
        <v>5254.3</v>
      </c>
      <c r="C145" s="52">
        <v>5279.6</v>
      </c>
      <c r="D145" s="51">
        <v>4788.95</v>
      </c>
      <c r="E145" s="53">
        <v>4924.25</v>
      </c>
    </row>
    <row r="146" spans="1:5" ht="14.25" customHeight="1">
      <c r="A146" s="50">
        <v>41000</v>
      </c>
      <c r="B146" s="51">
        <v>5296.35</v>
      </c>
      <c r="C146" s="52">
        <v>5378.75</v>
      </c>
      <c r="D146" s="51">
        <v>5154.3</v>
      </c>
      <c r="E146" s="53">
        <v>5248.15</v>
      </c>
    </row>
    <row r="147" spans="1:5" ht="14.25" customHeight="1">
      <c r="A147" s="50">
        <v>40969</v>
      </c>
      <c r="B147" s="51">
        <v>5366</v>
      </c>
      <c r="C147" s="52">
        <v>5499.4</v>
      </c>
      <c r="D147" s="51">
        <v>5135.95</v>
      </c>
      <c r="E147" s="53">
        <v>5295.55</v>
      </c>
    </row>
    <row r="148" spans="1:5" ht="14.25" customHeight="1">
      <c r="A148" s="50">
        <v>40940</v>
      </c>
      <c r="B148" s="51">
        <v>5198.1499999999996</v>
      </c>
      <c r="C148" s="52">
        <v>5629.95</v>
      </c>
      <c r="D148" s="51">
        <v>5159</v>
      </c>
      <c r="E148" s="53">
        <v>5385.2</v>
      </c>
    </row>
    <row r="149" spans="1:5" ht="14.25" customHeight="1">
      <c r="A149" s="50">
        <v>40909</v>
      </c>
      <c r="B149" s="51">
        <v>4640.2</v>
      </c>
      <c r="C149" s="52">
        <v>5217</v>
      </c>
      <c r="D149" s="51">
        <v>4588.05</v>
      </c>
      <c r="E149" s="53">
        <v>5199.25</v>
      </c>
    </row>
    <row r="150" spans="1:5" ht="14.25" customHeight="1">
      <c r="A150" s="50">
        <v>40878</v>
      </c>
      <c r="B150" s="51">
        <v>4970.8500000000004</v>
      </c>
      <c r="C150" s="52">
        <v>5099.25</v>
      </c>
      <c r="D150" s="51">
        <v>4531.1499999999996</v>
      </c>
      <c r="E150" s="53">
        <v>4624.3</v>
      </c>
    </row>
    <row r="151" spans="1:5" ht="14.25" customHeight="1">
      <c r="A151" s="50">
        <v>40848</v>
      </c>
      <c r="B151" s="51">
        <v>5278.6</v>
      </c>
      <c r="C151" s="52">
        <v>5326.45</v>
      </c>
      <c r="D151" s="51">
        <v>4639.1000000000004</v>
      </c>
      <c r="E151" s="53">
        <v>4832.05</v>
      </c>
    </row>
    <row r="152" spans="1:5" ht="14.25" customHeight="1">
      <c r="A152" s="50">
        <v>40817</v>
      </c>
      <c r="B152" s="51">
        <v>4874.3999999999996</v>
      </c>
      <c r="C152" s="52">
        <v>5399.7</v>
      </c>
      <c r="D152" s="51">
        <v>4728.3</v>
      </c>
      <c r="E152" s="53">
        <v>5326.6</v>
      </c>
    </row>
    <row r="153" spans="1:5" ht="14.25" customHeight="1">
      <c r="A153" s="50">
        <v>40787</v>
      </c>
      <c r="B153" s="51">
        <v>5109.8</v>
      </c>
      <c r="C153" s="52">
        <v>5169.25</v>
      </c>
      <c r="D153" s="51">
        <v>4758.8500000000004</v>
      </c>
      <c r="E153" s="53">
        <v>4943.25</v>
      </c>
    </row>
    <row r="154" spans="1:5" ht="14.25" customHeight="1">
      <c r="A154" s="50">
        <v>40756</v>
      </c>
      <c r="B154" s="51">
        <v>5527.5</v>
      </c>
      <c r="C154" s="52">
        <v>5551.9</v>
      </c>
      <c r="D154" s="51">
        <v>4720</v>
      </c>
      <c r="E154" s="53">
        <v>5001</v>
      </c>
    </row>
    <row r="155" spans="1:5" ht="14.25" customHeight="1">
      <c r="A155" s="50">
        <v>40725</v>
      </c>
      <c r="B155" s="51">
        <v>5705.75</v>
      </c>
      <c r="C155" s="52">
        <v>5740.4</v>
      </c>
      <c r="D155" s="51">
        <v>5453.95</v>
      </c>
      <c r="E155" s="53">
        <v>5482</v>
      </c>
    </row>
    <row r="156" spans="1:5" ht="14.25" customHeight="1">
      <c r="A156" s="50">
        <v>40695</v>
      </c>
      <c r="B156" s="51">
        <v>5561.05</v>
      </c>
      <c r="C156" s="52">
        <v>5657.9</v>
      </c>
      <c r="D156" s="51">
        <v>5195.8999999999996</v>
      </c>
      <c r="E156" s="53">
        <v>5647.4</v>
      </c>
    </row>
    <row r="157" spans="1:5" ht="14.25" customHeight="1">
      <c r="A157" s="50">
        <v>40664</v>
      </c>
      <c r="B157" s="51">
        <v>5766.9</v>
      </c>
      <c r="C157" s="52">
        <v>5775.25</v>
      </c>
      <c r="D157" s="51">
        <v>5328.7</v>
      </c>
      <c r="E157" s="53">
        <v>5560.15</v>
      </c>
    </row>
    <row r="158" spans="1:5" ht="14.25" customHeight="1">
      <c r="A158" s="50">
        <v>40634</v>
      </c>
      <c r="B158" s="51">
        <v>5835</v>
      </c>
      <c r="C158" s="52">
        <v>5944.45</v>
      </c>
      <c r="D158" s="51">
        <v>5693.25</v>
      </c>
      <c r="E158" s="53">
        <v>5749.5</v>
      </c>
    </row>
    <row r="159" spans="1:5" ht="14.25" customHeight="1">
      <c r="A159" s="50">
        <v>40603</v>
      </c>
      <c r="B159" s="51">
        <v>5382</v>
      </c>
      <c r="C159" s="52">
        <v>5872</v>
      </c>
      <c r="D159" s="51">
        <v>5348.2</v>
      </c>
      <c r="E159" s="53">
        <v>5833.75</v>
      </c>
    </row>
    <row r="160" spans="1:5" ht="14.25" customHeight="1">
      <c r="A160" s="50">
        <v>40575</v>
      </c>
      <c r="B160" s="51">
        <v>5537.3</v>
      </c>
      <c r="C160" s="52">
        <v>5599.25</v>
      </c>
      <c r="D160" s="51">
        <v>5177.7</v>
      </c>
      <c r="E160" s="53">
        <v>5333.25</v>
      </c>
    </row>
    <row r="161" spans="1:5" ht="14.25" customHeight="1">
      <c r="A161" s="50">
        <v>40544</v>
      </c>
      <c r="B161" s="51">
        <v>6177.45</v>
      </c>
      <c r="C161" s="52">
        <v>6181.05</v>
      </c>
      <c r="D161" s="51">
        <v>5416.65</v>
      </c>
      <c r="E161" s="53">
        <v>5505.9</v>
      </c>
    </row>
    <row r="162" spans="1:5" ht="14.25" customHeight="1">
      <c r="A162" s="50">
        <v>40513</v>
      </c>
      <c r="B162" s="51">
        <v>5871</v>
      </c>
      <c r="C162" s="52">
        <v>6147.3</v>
      </c>
      <c r="D162" s="51">
        <v>5721.15</v>
      </c>
      <c r="E162" s="53">
        <v>6134.5</v>
      </c>
    </row>
    <row r="163" spans="1:5" ht="14.25" customHeight="1">
      <c r="A163" s="50">
        <v>40483</v>
      </c>
      <c r="B163" s="51">
        <v>6092.3</v>
      </c>
      <c r="C163" s="52">
        <v>6338.5</v>
      </c>
      <c r="D163" s="51">
        <v>5690.35</v>
      </c>
      <c r="E163" s="53">
        <v>5862.7</v>
      </c>
    </row>
    <row r="164" spans="1:5" ht="14.25" customHeight="1">
      <c r="A164" s="50">
        <v>40452</v>
      </c>
      <c r="B164" s="51">
        <v>6030.3</v>
      </c>
      <c r="C164" s="52">
        <v>6284.1</v>
      </c>
      <c r="D164" s="51">
        <v>5937.1</v>
      </c>
      <c r="E164" s="53">
        <v>6017.7</v>
      </c>
    </row>
    <row r="165" spans="1:5" ht="14.25" customHeight="1">
      <c r="A165" s="50">
        <v>40422</v>
      </c>
      <c r="B165" s="51">
        <v>5403.05</v>
      </c>
      <c r="C165" s="52">
        <v>6073.5</v>
      </c>
      <c r="D165" s="51">
        <v>5403.05</v>
      </c>
      <c r="E165" s="53">
        <v>6029.95</v>
      </c>
    </row>
    <row r="166" spans="1:5" ht="14.25" customHeight="1">
      <c r="A166" s="50">
        <v>40391</v>
      </c>
      <c r="B166" s="51">
        <v>5369.55</v>
      </c>
      <c r="C166" s="52">
        <v>5549.8</v>
      </c>
      <c r="D166" s="51">
        <v>5348.9</v>
      </c>
      <c r="E166" s="53">
        <v>5402.4</v>
      </c>
    </row>
    <row r="167" spans="1:5" ht="14.25" customHeight="1">
      <c r="A167" s="50">
        <v>40360</v>
      </c>
      <c r="B167" s="51">
        <v>5312.05</v>
      </c>
      <c r="C167" s="52">
        <v>5477.5</v>
      </c>
      <c r="D167" s="51">
        <v>5225.6000000000004</v>
      </c>
      <c r="E167" s="53">
        <v>5367.6</v>
      </c>
    </row>
    <row r="168" spans="1:5" ht="14.25" customHeight="1">
      <c r="A168" s="50">
        <v>40330</v>
      </c>
      <c r="B168" s="51">
        <v>5086.25</v>
      </c>
      <c r="C168" s="52">
        <v>5366.75</v>
      </c>
      <c r="D168" s="51">
        <v>4961.05</v>
      </c>
      <c r="E168" s="53">
        <v>5312.5</v>
      </c>
    </row>
    <row r="169" spans="1:5" ht="14.25" customHeight="1">
      <c r="A169" s="50">
        <v>40299</v>
      </c>
      <c r="B169" s="51">
        <v>5278.4</v>
      </c>
      <c r="C169" s="52">
        <v>5278.7</v>
      </c>
      <c r="D169" s="51">
        <v>4786.45</v>
      </c>
      <c r="E169" s="53">
        <v>5086.3</v>
      </c>
    </row>
    <row r="170" spans="1:5" ht="14.25" customHeight="1">
      <c r="A170" s="50">
        <v>40269</v>
      </c>
      <c r="B170" s="51">
        <v>5249.2</v>
      </c>
      <c r="C170" s="52">
        <v>5399.65</v>
      </c>
      <c r="D170" s="51">
        <v>5160.8999999999996</v>
      </c>
      <c r="E170" s="53">
        <v>5278</v>
      </c>
    </row>
    <row r="171" spans="1:5" ht="14.25" customHeight="1">
      <c r="A171" s="50">
        <v>40238</v>
      </c>
      <c r="B171" s="51">
        <v>4935.6000000000004</v>
      </c>
      <c r="C171" s="52">
        <v>5329.55</v>
      </c>
      <c r="D171" s="51">
        <v>4935.3500000000004</v>
      </c>
      <c r="E171" s="53">
        <v>5249.1</v>
      </c>
    </row>
    <row r="172" spans="1:5" ht="14.25" customHeight="1">
      <c r="A172" s="50">
        <v>40210</v>
      </c>
      <c r="B172" s="51">
        <v>4882.05</v>
      </c>
      <c r="C172" s="52">
        <v>4992</v>
      </c>
      <c r="D172" s="51">
        <v>4675.3999999999996</v>
      </c>
      <c r="E172" s="53">
        <v>4922.3</v>
      </c>
    </row>
    <row r="173" spans="1:5" ht="14.25" customHeight="1">
      <c r="A173" s="54">
        <v>40179</v>
      </c>
      <c r="B173" s="55">
        <v>5200.8999999999996</v>
      </c>
      <c r="C173" s="56">
        <v>5310.85</v>
      </c>
      <c r="D173" s="55">
        <v>4766</v>
      </c>
      <c r="E173" s="57">
        <v>4882.05</v>
      </c>
    </row>
  </sheetData>
  <pageMargins left="0.7" right="0.7" top="0.75" bottom="0.75" header="0" footer="0"/>
  <pageSetup orientation="portrait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0"/>
  <sheetViews>
    <sheetView tabSelected="1" workbookViewId="0"/>
  </sheetViews>
  <sheetFormatPr defaultColWidth="14.44140625" defaultRowHeight="15" customHeight="1"/>
  <cols>
    <col min="1" max="1" width="11.33203125" customWidth="1"/>
    <col min="2" max="3" width="8.6640625" customWidth="1"/>
    <col min="4" max="4" width="20.33203125" customWidth="1"/>
    <col min="5" max="5" width="19.5546875" customWidth="1"/>
    <col min="6" max="6" width="8.6640625" customWidth="1"/>
    <col min="7" max="7" width="10.44140625" customWidth="1"/>
    <col min="8" max="8" width="12" customWidth="1"/>
    <col min="9" max="9" width="14.33203125" customWidth="1"/>
    <col min="10" max="10" width="8.6640625" customWidth="1"/>
    <col min="11" max="11" width="11.88671875" customWidth="1"/>
    <col min="12" max="12" width="13.88671875" customWidth="1"/>
    <col min="13" max="13" width="12.88671875" customWidth="1"/>
    <col min="14" max="14" width="8.6640625" customWidth="1"/>
    <col min="15" max="15" width="12.109375" customWidth="1"/>
    <col min="16" max="16" width="13" customWidth="1"/>
    <col min="17" max="17" width="12.5546875" customWidth="1"/>
  </cols>
  <sheetData>
    <row r="1" spans="1:17" ht="14.25" customHeight="1">
      <c r="A1" s="25"/>
      <c r="B1" s="58">
        <v>44652</v>
      </c>
      <c r="C1" s="61" t="s">
        <v>54</v>
      </c>
      <c r="D1" s="62"/>
      <c r="E1" s="62"/>
      <c r="G1" s="4" t="s">
        <v>6</v>
      </c>
      <c r="H1" s="4" t="s">
        <v>7</v>
      </c>
      <c r="I1" s="4"/>
      <c r="K1" s="4" t="s">
        <v>6</v>
      </c>
      <c r="L1" s="4" t="s">
        <v>7</v>
      </c>
      <c r="M1" s="4"/>
      <c r="O1" s="4" t="s">
        <v>6</v>
      </c>
      <c r="P1" s="4" t="s">
        <v>7</v>
      </c>
      <c r="Q1" s="4"/>
    </row>
    <row r="2" spans="1:17" ht="14.25" customHeight="1">
      <c r="C2" s="1" t="s">
        <v>1</v>
      </c>
      <c r="D2" s="2" t="s">
        <v>2</v>
      </c>
      <c r="E2" s="3" t="s">
        <v>3</v>
      </c>
      <c r="G2" s="13" t="s">
        <v>5</v>
      </c>
      <c r="H2" s="14">
        <v>40235</v>
      </c>
      <c r="K2" s="13" t="s">
        <v>23</v>
      </c>
      <c r="L2" s="14">
        <v>41830</v>
      </c>
      <c r="O2" s="13" t="s">
        <v>22</v>
      </c>
      <c r="P2" s="14">
        <v>43132</v>
      </c>
    </row>
    <row r="3" spans="1:17" ht="14.25" customHeight="1">
      <c r="C3" s="5" t="s">
        <v>5</v>
      </c>
      <c r="D3" s="6">
        <v>40235</v>
      </c>
      <c r="E3" s="7">
        <f>CORREL('NSE MONEYCONTROL CORRELATION'!$G$5:$G$8,'NSE MONEYCONTROL CORRELATION'!$H$5:$H$8)</f>
        <v>0.41646658094030448</v>
      </c>
    </row>
    <row r="4" spans="1:17" ht="14.25" customHeight="1">
      <c r="A4" s="25" t="e">
        <v>#REF!</v>
      </c>
      <c r="C4" s="5" t="s">
        <v>14</v>
      </c>
      <c r="D4" s="6">
        <v>40602</v>
      </c>
      <c r="E4" s="7">
        <f>CORREL('NSE MONEYCONTROL CORRELATION'!$G$14:$G$17,'NSE MONEYCONTROL CORRELATION'!$H$14:$H$17)</f>
        <v>-0.24690134995574228</v>
      </c>
      <c r="G4" s="23" t="s">
        <v>20</v>
      </c>
      <c r="H4" s="24" t="s">
        <v>13</v>
      </c>
      <c r="I4" s="13" t="s">
        <v>3</v>
      </c>
      <c r="K4" s="23" t="s">
        <v>20</v>
      </c>
      <c r="L4" s="24" t="s">
        <v>13</v>
      </c>
      <c r="M4" s="13" t="s">
        <v>3</v>
      </c>
      <c r="O4" s="23" t="s">
        <v>20</v>
      </c>
      <c r="P4" s="24" t="s">
        <v>13</v>
      </c>
      <c r="Q4" s="13" t="s">
        <v>3</v>
      </c>
    </row>
    <row r="5" spans="1:17" ht="14.25" customHeight="1">
      <c r="C5" s="5" t="s">
        <v>17</v>
      </c>
      <c r="D5" s="6">
        <v>40984</v>
      </c>
      <c r="E5" s="7">
        <f>CORREL('NSE MONEYCONTROL CORRELATION'!$G$23:$G$26,'NSE MONEYCONTROL CORRELATION'!$H$23:$H$26)</f>
        <v>-0.99773772437174346</v>
      </c>
      <c r="G5" s="18">
        <v>40179</v>
      </c>
      <c r="H5" s="46">
        <v>5310.85</v>
      </c>
      <c r="I5" s="13">
        <f>CORREL('NSE MONEYCONTROL CORRELATION'!$G$5:$G$8,'NSE MONEYCONTROL CORRELATION'!$H$5:$H$8)</f>
        <v>0.41646658094030448</v>
      </c>
      <c r="K5" s="18">
        <v>41791</v>
      </c>
      <c r="L5" s="46">
        <v>7700.05</v>
      </c>
      <c r="M5" s="13">
        <f>CORREL('NSE MONEYCONTROL CORRELATION'!$K$5:$K$8,'NSE MONEYCONTROL CORRELATION'!$L$5:$L$8)</f>
        <v>0.99347487405683099</v>
      </c>
      <c r="O5" s="18">
        <v>43101</v>
      </c>
      <c r="P5" s="46">
        <v>11171.55</v>
      </c>
      <c r="Q5" s="13">
        <f>CORREL('NSE MONEYCONTROL CORRELATION'!$O$5:$O$8,'NSE MONEYCONTROL CORRELATION'!$P$5:$P$8)</f>
        <v>-0.76008606113121868</v>
      </c>
    </row>
    <row r="6" spans="1:17" ht="14.25" customHeight="1">
      <c r="C6" s="5" t="s">
        <v>19</v>
      </c>
      <c r="D6" s="6">
        <v>41333</v>
      </c>
      <c r="E6" s="7">
        <f>CORREL('NSE MONEYCONTROL CORRELATION'!$G$32:$G$35,'NSE MONEYCONTROL CORRELATION'!$H$32:$H$35)</f>
        <v>-0.95990230636908569</v>
      </c>
      <c r="G6" s="18">
        <v>40210</v>
      </c>
      <c r="H6" s="46">
        <v>4992</v>
      </c>
      <c r="I6" s="25"/>
      <c r="K6" s="18">
        <v>41821</v>
      </c>
      <c r="L6" s="46">
        <v>7840.95</v>
      </c>
      <c r="M6" s="25"/>
      <c r="O6" s="18">
        <v>43132</v>
      </c>
      <c r="P6" s="46">
        <v>11117.35</v>
      </c>
      <c r="Q6" s="25"/>
    </row>
    <row r="7" spans="1:17" ht="14.25" customHeight="1">
      <c r="C7" s="5" t="s">
        <v>23</v>
      </c>
      <c r="D7" s="6">
        <v>41830</v>
      </c>
      <c r="E7" s="7">
        <f>CORREL('NSE MONEYCONTROL CORRELATION'!$K$5:$K$8,'NSE MONEYCONTROL CORRELATION'!$L$5:$L$8)</f>
        <v>0.99347487405683099</v>
      </c>
      <c r="G7" s="18">
        <v>40238</v>
      </c>
      <c r="H7" s="46">
        <v>5329.55</v>
      </c>
      <c r="I7" s="25"/>
      <c r="K7" s="18">
        <v>41852</v>
      </c>
      <c r="L7" s="46">
        <v>7968.25</v>
      </c>
      <c r="M7" s="25"/>
      <c r="O7" s="18">
        <v>43160</v>
      </c>
      <c r="P7" s="46">
        <v>10525.5</v>
      </c>
      <c r="Q7" s="25"/>
    </row>
    <row r="8" spans="1:17" ht="14.25" customHeight="1">
      <c r="C8" s="5" t="s">
        <v>25</v>
      </c>
      <c r="D8" s="6">
        <v>42063</v>
      </c>
      <c r="E8" s="7">
        <f>CORREL('NSE MONEYCONTROL CORRELATION'!$K$14:$K$17,'NSE MONEYCONTROL CORRELATION'!$L$14:$L$17)</f>
        <v>-0.3280414060538363</v>
      </c>
      <c r="G8" s="18">
        <v>40269</v>
      </c>
      <c r="H8" s="46">
        <v>5399.65</v>
      </c>
      <c r="I8" s="25"/>
      <c r="K8" s="18">
        <v>41883</v>
      </c>
      <c r="L8" s="46">
        <v>8180.2</v>
      </c>
      <c r="M8" s="25"/>
      <c r="O8" s="18">
        <v>43191</v>
      </c>
      <c r="P8" s="46">
        <v>10759</v>
      </c>
      <c r="Q8" s="25"/>
    </row>
    <row r="9" spans="1:17" ht="14.25" customHeight="1">
      <c r="C9" s="5" t="s">
        <v>16</v>
      </c>
      <c r="D9" s="6">
        <v>42429</v>
      </c>
      <c r="E9" s="7">
        <f>CORREL('NSE MONEYCONTROL CORRELATION'!$K$23:$K$26,'NSE MONEYCONTROL CORRELATION'!$L$23:$L$26)</f>
        <v>0.16021856005873336</v>
      </c>
    </row>
    <row r="10" spans="1:17" ht="14.25" customHeight="1">
      <c r="C10" s="5" t="s">
        <v>18</v>
      </c>
      <c r="D10" s="6">
        <v>42767</v>
      </c>
      <c r="E10" s="7">
        <f>CORREL('NSE MONEYCONTROL CORRELATION'!$K$32:$K$35,'NSE MONEYCONTROL CORRELATION'!$L$32:$L$35)</f>
        <v>0.98787150799225842</v>
      </c>
      <c r="G10" s="4" t="s">
        <v>6</v>
      </c>
      <c r="H10" s="4" t="s">
        <v>7</v>
      </c>
      <c r="I10" s="4"/>
      <c r="K10" s="4" t="s">
        <v>6</v>
      </c>
      <c r="L10" s="4" t="s">
        <v>7</v>
      </c>
      <c r="M10" s="4"/>
      <c r="O10" s="4" t="s">
        <v>6</v>
      </c>
      <c r="P10" s="4" t="s">
        <v>7</v>
      </c>
      <c r="Q10" s="4"/>
    </row>
    <row r="11" spans="1:17" ht="14.25" customHeight="1">
      <c r="C11" s="5" t="s">
        <v>22</v>
      </c>
      <c r="D11" s="6">
        <v>43132</v>
      </c>
      <c r="E11" s="7">
        <f>CORREL('NSE MONEYCONTROL CORRELATION'!$O$5:$O$8,'NSE MONEYCONTROL CORRELATION'!$P$5:$P$8)</f>
        <v>-0.76008606113121868</v>
      </c>
      <c r="G11" s="13" t="s">
        <v>14</v>
      </c>
      <c r="H11" s="14">
        <v>40602</v>
      </c>
      <c r="K11" s="13" t="s">
        <v>25</v>
      </c>
      <c r="L11" s="14">
        <v>42063</v>
      </c>
      <c r="O11" s="13" t="s">
        <v>24</v>
      </c>
      <c r="P11" s="14">
        <v>43651</v>
      </c>
    </row>
    <row r="12" spans="1:17" ht="14.25" customHeight="1">
      <c r="C12" s="5" t="s">
        <v>24</v>
      </c>
      <c r="D12" s="6">
        <v>43651</v>
      </c>
      <c r="E12" s="7">
        <f>CORREL('NSE MONEYCONTROL CORRELATION'!$O$14:$O$17,'NSE MONEYCONTROL CORRELATION'!$P$14:$P$17)</f>
        <v>-0.63638474920905574</v>
      </c>
    </row>
    <row r="13" spans="1:17" ht="14.25" customHeight="1">
      <c r="C13" s="5" t="s">
        <v>26</v>
      </c>
      <c r="D13" s="6">
        <v>43862</v>
      </c>
      <c r="E13" s="7">
        <f>CORREL('NSE MONEYCONTROL CORRELATION'!$O$23:$O$26,'NSE MONEYCONTROL CORRELATION'!$P$23:$P$26)</f>
        <v>-0.94076302334053286</v>
      </c>
      <c r="G13" s="23" t="s">
        <v>20</v>
      </c>
      <c r="H13" s="24" t="s">
        <v>13</v>
      </c>
      <c r="I13" s="13" t="s">
        <v>3</v>
      </c>
      <c r="K13" s="23" t="s">
        <v>20</v>
      </c>
      <c r="L13" s="24" t="s">
        <v>13</v>
      </c>
      <c r="M13" s="13" t="s">
        <v>3</v>
      </c>
      <c r="O13" s="23" t="s">
        <v>20</v>
      </c>
      <c r="P13" s="24" t="s">
        <v>13</v>
      </c>
      <c r="Q13" s="13" t="s">
        <v>3</v>
      </c>
    </row>
    <row r="14" spans="1:17" ht="14.25" customHeight="1">
      <c r="C14" s="5" t="s">
        <v>27</v>
      </c>
      <c r="D14" s="6">
        <v>44228</v>
      </c>
      <c r="E14" s="7">
        <f>CORREL('NSE MONEYCONTROL CORRELATION'!$O$32:$O$35,'NSE MONEYCONTROL CORRELATION'!$P$32:$P$35)</f>
        <v>0.3319010984136318</v>
      </c>
      <c r="G14" s="18">
        <v>40544</v>
      </c>
      <c r="H14" s="46">
        <v>6181.05</v>
      </c>
      <c r="I14" s="13">
        <f>CORREL('NSE MONEYCONTROL CORRELATION'!$G$14:$G$17,'NSE MONEYCONTROL CORRELATION'!$H$14:$H$17)</f>
        <v>-0.24690134995574228</v>
      </c>
      <c r="K14" s="18">
        <v>42005</v>
      </c>
      <c r="L14" s="46">
        <v>8996.6</v>
      </c>
      <c r="M14" s="13">
        <f>CORREL('NSE MONEYCONTROL CORRELATION'!$K$14:$K$17,'NSE MONEYCONTROL CORRELATION'!$L$14:$L$17)</f>
        <v>-0.3280414060538363</v>
      </c>
      <c r="O14" s="18">
        <v>43617</v>
      </c>
      <c r="P14" s="46">
        <v>12103.05</v>
      </c>
      <c r="Q14" s="13">
        <f>CORREL('NSE MONEYCONTROL CORRELATION'!$O$14:$O$17,'NSE MONEYCONTROL CORRELATION'!$P$14:$P$17)</f>
        <v>-0.63638474920905574</v>
      </c>
    </row>
    <row r="15" spans="1:17" ht="14.25" customHeight="1">
      <c r="C15" s="31" t="s">
        <v>28</v>
      </c>
      <c r="D15" s="32">
        <v>44593</v>
      </c>
      <c r="E15" s="28">
        <f>CORREL('NSE MONEYCONTROL CORRELATION'!$C$31:$C$34,'NSE MONEYCONTROL CORRELATION'!$D$31:$D$34)</f>
        <v>-0.34611171586875616</v>
      </c>
      <c r="G15" s="18">
        <v>40575</v>
      </c>
      <c r="H15" s="46">
        <v>5599.25</v>
      </c>
      <c r="I15" s="25"/>
      <c r="K15" s="18">
        <v>42036</v>
      </c>
      <c r="L15" s="46">
        <v>8941.1</v>
      </c>
      <c r="M15" s="25"/>
      <c r="O15" s="18">
        <v>43647</v>
      </c>
      <c r="P15" s="46">
        <v>11981.75</v>
      </c>
      <c r="Q15" s="25"/>
    </row>
    <row r="16" spans="1:17" ht="14.25" customHeight="1">
      <c r="C16" s="31"/>
      <c r="D16" s="32"/>
      <c r="E16" s="46">
        <f>SUBTOTAL(101,'NSE MONEYCONTROL CORRELATION'!$E$3:$E$15)</f>
        <v>-0.1789227472952471</v>
      </c>
      <c r="G16" s="18">
        <v>40603</v>
      </c>
      <c r="H16" s="46">
        <v>5872</v>
      </c>
      <c r="I16" s="25"/>
      <c r="K16" s="18">
        <v>42064</v>
      </c>
      <c r="L16" s="46">
        <v>9119.2000000000007</v>
      </c>
      <c r="M16" s="25"/>
      <c r="O16" s="18">
        <v>43678</v>
      </c>
      <c r="P16" s="46">
        <v>11181.45</v>
      </c>
      <c r="Q16" s="25"/>
    </row>
    <row r="17" spans="3:17" ht="14.25" customHeight="1">
      <c r="G17" s="18">
        <v>40634</v>
      </c>
      <c r="H17" s="46">
        <v>5944.45</v>
      </c>
      <c r="I17" s="25"/>
      <c r="K17" s="18">
        <v>42095</v>
      </c>
      <c r="L17" s="46">
        <v>8844.7999999999993</v>
      </c>
      <c r="M17" s="25"/>
      <c r="O17" s="18">
        <v>43709</v>
      </c>
      <c r="P17" s="46">
        <v>11694.85</v>
      </c>
      <c r="Q17" s="25"/>
    </row>
    <row r="18" spans="3:17" ht="14.25" customHeight="1">
      <c r="C18" s="4" t="s">
        <v>6</v>
      </c>
      <c r="D18" s="4" t="s">
        <v>7</v>
      </c>
      <c r="E18" s="4"/>
    </row>
    <row r="19" spans="3:17" ht="14.25" customHeight="1">
      <c r="C19" s="13"/>
      <c r="D19" s="14"/>
      <c r="G19" s="4" t="s">
        <v>6</v>
      </c>
      <c r="H19" s="4" t="s">
        <v>7</v>
      </c>
      <c r="I19" s="4"/>
      <c r="K19" s="4" t="s">
        <v>6</v>
      </c>
      <c r="L19" s="4" t="s">
        <v>7</v>
      </c>
      <c r="M19" s="4"/>
      <c r="O19" s="4" t="s">
        <v>6</v>
      </c>
      <c r="P19" s="4" t="s">
        <v>7</v>
      </c>
      <c r="Q19" s="4"/>
    </row>
    <row r="20" spans="3:17" ht="14.25" customHeight="1">
      <c r="G20" s="13" t="s">
        <v>17</v>
      </c>
      <c r="H20" s="14">
        <v>40984</v>
      </c>
      <c r="K20" s="13" t="s">
        <v>16</v>
      </c>
      <c r="L20" s="14">
        <v>42429</v>
      </c>
      <c r="O20" s="13" t="s">
        <v>26</v>
      </c>
      <c r="P20" s="14">
        <v>43862</v>
      </c>
    </row>
    <row r="21" spans="3:17" ht="14.25" customHeight="1">
      <c r="C21" s="23" t="s">
        <v>20</v>
      </c>
      <c r="D21" s="24" t="s">
        <v>13</v>
      </c>
      <c r="E21" s="13" t="s">
        <v>3</v>
      </c>
    </row>
    <row r="22" spans="3:17" ht="14.25" customHeight="1">
      <c r="C22" s="18"/>
      <c r="D22" s="46"/>
      <c r="E22" s="13" t="e">
        <f>CORREL('NSE MONEYCONTROL CORRELATION'!$C$22:$C$25,'NSE MONEYCONTROL CORRELATION'!$D$22:$D$25)</f>
        <v>#DIV/0!</v>
      </c>
      <c r="G22" s="23" t="s">
        <v>20</v>
      </c>
      <c r="H22" s="24" t="s">
        <v>13</v>
      </c>
      <c r="I22" s="13" t="s">
        <v>3</v>
      </c>
      <c r="K22" s="23" t="s">
        <v>20</v>
      </c>
      <c r="L22" s="24" t="s">
        <v>13</v>
      </c>
      <c r="M22" s="13" t="s">
        <v>3</v>
      </c>
      <c r="O22" s="23" t="s">
        <v>20</v>
      </c>
      <c r="P22" s="24" t="s">
        <v>13</v>
      </c>
      <c r="Q22" s="13" t="s">
        <v>3</v>
      </c>
    </row>
    <row r="23" spans="3:17" ht="14.25" customHeight="1">
      <c r="C23" s="18"/>
      <c r="D23" s="46"/>
      <c r="E23" s="25"/>
      <c r="G23" s="18">
        <v>40940</v>
      </c>
      <c r="H23" s="46">
        <v>5629.95</v>
      </c>
      <c r="I23" s="13">
        <f>CORREL('NSE MONEYCONTROL CORRELATION'!$G$23:$G$26,'NSE MONEYCONTROL CORRELATION'!$H$23:$H$26)</f>
        <v>-0.99773772437174346</v>
      </c>
      <c r="K23" s="18">
        <v>42370</v>
      </c>
      <c r="L23" s="46">
        <v>7972.55</v>
      </c>
      <c r="M23" s="13">
        <f>CORREL('NSE MONEYCONTROL CORRELATION'!$K$23:$K$26,'NSE MONEYCONTROL CORRELATION'!$L$23:$L$26)</f>
        <v>0.16021856005873336</v>
      </c>
      <c r="O23" s="18">
        <v>43831</v>
      </c>
      <c r="P23" s="46">
        <v>12430.5</v>
      </c>
      <c r="Q23" s="13">
        <f>CORREL('NSE MONEYCONTROL CORRELATION'!$O$23:$O$26,'NSE MONEYCONTROL CORRELATION'!$P$23:$P$26)</f>
        <v>-0.94076302334053286</v>
      </c>
    </row>
    <row r="24" spans="3:17" ht="14.25" customHeight="1">
      <c r="C24" s="18"/>
      <c r="D24" s="46"/>
      <c r="E24" s="25"/>
      <c r="G24" s="18">
        <v>40969</v>
      </c>
      <c r="H24" s="46">
        <v>5499.4</v>
      </c>
      <c r="I24" s="25"/>
      <c r="K24" s="18">
        <v>42401</v>
      </c>
      <c r="L24" s="46">
        <v>7600.45</v>
      </c>
      <c r="M24" s="25"/>
      <c r="O24" s="18">
        <v>43862</v>
      </c>
      <c r="P24" s="46">
        <v>12246.7</v>
      </c>
      <c r="Q24" s="25"/>
    </row>
    <row r="25" spans="3:17" ht="14.25" customHeight="1">
      <c r="C25" s="18"/>
      <c r="D25" s="46"/>
      <c r="E25" s="25"/>
      <c r="G25" s="18">
        <v>41000</v>
      </c>
      <c r="H25" s="46">
        <v>5378.75</v>
      </c>
      <c r="I25" s="25"/>
      <c r="K25" s="18">
        <v>42430</v>
      </c>
      <c r="L25" s="46">
        <v>7777.6</v>
      </c>
      <c r="M25" s="25"/>
      <c r="O25" s="18">
        <v>43891</v>
      </c>
      <c r="P25" s="46">
        <v>11433</v>
      </c>
      <c r="Q25" s="25"/>
    </row>
    <row r="26" spans="3:17" ht="14.25" customHeight="1">
      <c r="G26" s="18">
        <v>41030</v>
      </c>
      <c r="H26" s="46">
        <v>5279.6</v>
      </c>
      <c r="I26" s="25"/>
      <c r="K26" s="18">
        <v>42461</v>
      </c>
      <c r="L26" s="46">
        <v>7992</v>
      </c>
      <c r="M26" s="25"/>
      <c r="O26" s="18">
        <v>43922</v>
      </c>
      <c r="P26" s="46">
        <v>9889.0499999999993</v>
      </c>
      <c r="Q26" s="25"/>
    </row>
    <row r="27" spans="3:17" ht="14.25" customHeight="1">
      <c r="C27" s="4" t="s">
        <v>6</v>
      </c>
      <c r="D27" s="4" t="s">
        <v>7</v>
      </c>
      <c r="E27" s="4"/>
    </row>
    <row r="28" spans="3:17" ht="14.25" customHeight="1">
      <c r="C28" s="13" t="s">
        <v>28</v>
      </c>
      <c r="D28" s="14">
        <v>44593</v>
      </c>
      <c r="G28" s="4" t="s">
        <v>6</v>
      </c>
      <c r="H28" s="4" t="s">
        <v>7</v>
      </c>
      <c r="I28" s="4"/>
      <c r="K28" s="4" t="s">
        <v>6</v>
      </c>
      <c r="L28" s="4" t="s">
        <v>7</v>
      </c>
      <c r="M28" s="4"/>
      <c r="O28" s="4" t="s">
        <v>6</v>
      </c>
      <c r="P28" s="4" t="s">
        <v>7</v>
      </c>
      <c r="Q28" s="4"/>
    </row>
    <row r="29" spans="3:17" ht="14.25" customHeight="1">
      <c r="G29" s="13" t="s">
        <v>19</v>
      </c>
      <c r="H29" s="14">
        <v>41333</v>
      </c>
      <c r="K29" s="13" t="s">
        <v>18</v>
      </c>
      <c r="L29" s="14">
        <v>42767</v>
      </c>
      <c r="O29" s="13" t="s">
        <v>27</v>
      </c>
      <c r="P29" s="14">
        <v>44228</v>
      </c>
    </row>
    <row r="30" spans="3:17" ht="14.25" customHeight="1">
      <c r="C30" s="23" t="s">
        <v>20</v>
      </c>
      <c r="D30" s="24" t="s">
        <v>13</v>
      </c>
      <c r="E30" s="13" t="s">
        <v>3</v>
      </c>
    </row>
    <row r="31" spans="3:17" ht="14.25" customHeight="1">
      <c r="C31" s="18">
        <v>44562</v>
      </c>
      <c r="D31" s="46">
        <v>18350.95</v>
      </c>
      <c r="E31" s="13">
        <f>CORREL('NSE MONEYCONTROL CORRELATION'!$C$31:$C$34,'NSE MONEYCONTROL CORRELATION'!$D$31:$D$34)</f>
        <v>-0.34611171586875616</v>
      </c>
      <c r="G31" s="23" t="s">
        <v>20</v>
      </c>
      <c r="H31" s="24" t="s">
        <v>13</v>
      </c>
      <c r="I31" s="13" t="s">
        <v>3</v>
      </c>
      <c r="K31" s="23" t="s">
        <v>20</v>
      </c>
      <c r="L31" s="24" t="s">
        <v>13</v>
      </c>
      <c r="M31" s="13" t="s">
        <v>3</v>
      </c>
      <c r="O31" s="23" t="s">
        <v>20</v>
      </c>
      <c r="P31" s="24" t="s">
        <v>13</v>
      </c>
      <c r="Q31" s="13" t="s">
        <v>3</v>
      </c>
    </row>
    <row r="32" spans="3:17" ht="14.25" customHeight="1">
      <c r="C32" s="18">
        <v>44593</v>
      </c>
      <c r="D32" s="46">
        <v>17794.599999999999</v>
      </c>
      <c r="E32" s="25"/>
      <c r="G32" s="18">
        <v>41275</v>
      </c>
      <c r="H32" s="46">
        <v>6111.8</v>
      </c>
      <c r="I32" s="13">
        <f>CORREL('NSE MONEYCONTROL CORRELATION'!$G$32:$G$35,'NSE MONEYCONTROL CORRELATION'!$H$32:$H$35)</f>
        <v>-0.95990230636908569</v>
      </c>
      <c r="K32" s="18">
        <v>42736</v>
      </c>
      <c r="L32" s="46">
        <v>8672.7000000000007</v>
      </c>
      <c r="M32" s="13">
        <f>CORREL('NSE MONEYCONTROL CORRELATION'!$K$32:$K$35,'NSE MONEYCONTROL CORRELATION'!$L$32:$L$35)</f>
        <v>0.98787150799225842</v>
      </c>
      <c r="O32" s="18">
        <v>44197</v>
      </c>
      <c r="P32" s="46">
        <v>14753.55</v>
      </c>
      <c r="Q32" s="13">
        <f>CORREL('NSE MONEYCONTROL CORRELATION'!$O$32:$O$35,'NSE MONEYCONTROL CORRELATION'!$P$32:$P$35)</f>
        <v>0.3319010984136318</v>
      </c>
    </row>
    <row r="33" spans="3:17" ht="14.25" customHeight="1">
      <c r="C33" s="18">
        <v>44621</v>
      </c>
      <c r="D33" s="46">
        <v>17559.8</v>
      </c>
      <c r="E33" s="25"/>
      <c r="G33" s="18">
        <v>41306</v>
      </c>
      <c r="H33" s="46">
        <v>6052.95</v>
      </c>
      <c r="I33" s="25"/>
      <c r="K33" s="18">
        <v>42767</v>
      </c>
      <c r="L33" s="46">
        <v>8982.15</v>
      </c>
      <c r="M33" s="25"/>
      <c r="O33" s="18">
        <v>44228</v>
      </c>
      <c r="P33" s="46">
        <v>15431.75</v>
      </c>
      <c r="Q33" s="25"/>
    </row>
    <row r="34" spans="3:17" ht="14.25" customHeight="1">
      <c r="C34" s="18">
        <v>44652</v>
      </c>
      <c r="D34" s="46">
        <v>18114.650000000001</v>
      </c>
      <c r="E34" s="25"/>
      <c r="G34" s="18">
        <v>41334</v>
      </c>
      <c r="H34" s="46">
        <v>5971.2</v>
      </c>
      <c r="I34" s="25"/>
      <c r="K34" s="18">
        <v>42795</v>
      </c>
      <c r="L34" s="46">
        <v>9218.4</v>
      </c>
      <c r="M34" s="25"/>
      <c r="O34" s="18">
        <v>44256</v>
      </c>
      <c r="P34" s="46">
        <v>15336.3</v>
      </c>
      <c r="Q34" s="25"/>
    </row>
    <row r="35" spans="3:17" ht="14.25" customHeight="1">
      <c r="G35" s="18">
        <v>41365</v>
      </c>
      <c r="H35" s="46">
        <v>5962.3</v>
      </c>
      <c r="I35" s="25"/>
      <c r="K35" s="18">
        <v>42826</v>
      </c>
      <c r="L35" s="46">
        <v>9367.15</v>
      </c>
      <c r="M35" s="25"/>
      <c r="O35" s="18">
        <v>44287</v>
      </c>
      <c r="P35" s="46">
        <v>15044.35</v>
      </c>
      <c r="Q35" s="25"/>
    </row>
    <row r="36" spans="3:17" ht="14.25" customHeight="1"/>
    <row r="37" spans="3:17" ht="14.25" customHeight="1"/>
    <row r="38" spans="3:17" ht="14.25" customHeight="1"/>
    <row r="39" spans="3:17" ht="14.25" customHeight="1"/>
    <row r="40" spans="3:17" ht="14.25" customHeight="1"/>
    <row r="41" spans="3:17" ht="14.25" customHeight="1"/>
    <row r="42" spans="3:17" ht="14.25" customHeight="1"/>
    <row r="43" spans="3:17" ht="14.25" customHeight="1"/>
    <row r="44" spans="3:17" ht="14.25" customHeight="1"/>
    <row r="45" spans="3:17" ht="14.25" customHeight="1"/>
    <row r="46" spans="3:17" ht="14.25" customHeight="1"/>
    <row r="47" spans="3:17" ht="14.25" customHeight="1"/>
    <row r="48" spans="3:17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mergeCells count="1">
    <mergeCell ref="C1:E1"/>
  </mergeCells>
  <pageMargins left="0.7" right="0.7" top="0.75" bottom="0.75" header="0" footer="0"/>
  <pageSetup orientation="landscape"/>
  <tableParts count="15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BSE DATA AND CORRELATION</vt:lpstr>
      <vt:lpstr>BSE CORRELATION WITH PIVOTTABLE</vt:lpstr>
      <vt:lpstr>NSE DATA</vt:lpstr>
      <vt:lpstr>NSE CORRELATION WITH PIVOTTABLE</vt:lpstr>
      <vt:lpstr>NSE MONEYCONTROL DATA</vt:lpstr>
      <vt:lpstr>NSE MONEYCONTROL CORRELATION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</dc:creator>
  <cp:lastModifiedBy>kc</cp:lastModifiedBy>
  <dcterms:created xsi:type="dcterms:W3CDTF">2024-04-09T13:07:39Z</dcterms:created>
  <dcterms:modified xsi:type="dcterms:W3CDTF">2026-04-01T18:19:13Z</dcterms:modified>
</cp:coreProperties>
</file>