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E DATA AND CORRELATION" sheetId="1" r:id="rId4"/>
    <sheet state="visible" name="BSE CORRELATION WITH PIVOTTABLE" sheetId="2" r:id="rId5"/>
    <sheet state="visible" name="NSE DATA" sheetId="3" r:id="rId6"/>
    <sheet state="visible" name="NSE CORRELATION WITH PIVOTTABLE" sheetId="4" r:id="rId7"/>
    <sheet state="visible" name="NSE MONEYCONTROL DATA" sheetId="5" r:id="rId8"/>
    <sheet state="visible" name="NSE MONEYCONTROL CORRELATION" sheetId="6" r:id="rId9"/>
  </sheets>
  <definedNames/>
  <calcPr/>
  <pivotCaches>
    <pivotCache cacheId="0" r:id="rId10"/>
    <pivotCache cacheId="1" r:id="rId11"/>
    <pivotCache cacheId="2" r:id="rId12"/>
  </pivotCaches>
</workbook>
</file>

<file path=xl/sharedStrings.xml><?xml version="1.0" encoding="utf-8"?>
<sst xmlns="http://schemas.openxmlformats.org/spreadsheetml/2006/main" count="419" uniqueCount="55">
  <si>
    <t>BSE HISTORICAL DATA</t>
  </si>
  <si>
    <t>Years</t>
  </si>
  <si>
    <t>Budget launch Date</t>
  </si>
  <si>
    <t>Correlation</t>
  </si>
  <si>
    <t>Lets find correlation of budget and BSE value</t>
  </si>
  <si>
    <t>2010 - 11</t>
  </si>
  <si>
    <t>YEAR</t>
  </si>
  <si>
    <t>Date</t>
  </si>
  <si>
    <t>Budget Launch Date</t>
  </si>
  <si>
    <t>Month</t>
  </si>
  <si>
    <t>Open</t>
  </si>
  <si>
    <t>High</t>
  </si>
  <si>
    <t>Low</t>
  </si>
  <si>
    <t>Close</t>
  </si>
  <si>
    <t>2011 - 12</t>
  </si>
  <si>
    <t>2010-11</t>
  </si>
  <si>
    <t>2016 - 17</t>
  </si>
  <si>
    <t>2012 - 13</t>
  </si>
  <si>
    <t>2017 - 18</t>
  </si>
  <si>
    <t>2013 - 14</t>
  </si>
  <si>
    <t>Months</t>
  </si>
  <si>
    <t>Value</t>
  </si>
  <si>
    <t>2018 - 19</t>
  </si>
  <si>
    <t>2014 - 15</t>
  </si>
  <si>
    <t>2019 - 20</t>
  </si>
  <si>
    <t>2015 - 16</t>
  </si>
  <si>
    <t>2020 - 21</t>
  </si>
  <si>
    <t>2021 - 22</t>
  </si>
  <si>
    <t>2022 - 23</t>
  </si>
  <si>
    <t>2023 - 24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</si>
  <si>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</si>
  <si>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</si>
  <si>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</si>
  <si>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</si>
  <si>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</si>
  <si>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</si>
  <si>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</si>
  <si>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</si>
  <si>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</si>
  <si>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</si>
  <si>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</si>
  <si>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</si>
  <si>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</si>
  <si>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(All)</t>
  </si>
  <si>
    <t>NSE HISTORICAL INDEX DATA (09-11-15 to 09-04-2024)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</si>
  <si>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</si>
  <si>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</si>
  <si>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</si>
  <si>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</si>
  <si>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</si>
  <si>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</si>
  <si>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(â‚¹ Cr)</t>
  </si>
  <si>
    <t>Dates</t>
  </si>
  <si>
    <t>Jab-24</t>
  </si>
  <si>
    <t>NSE CORRELATION WITH BUDGET LAUNCH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</si>
</sst>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12">
    <font>
      <sz val="11.0"/>
      <color/>
      <name val="Arial"/>
      <scheme val="minor"/>
    </font>
    <font>
      <b/>
      <sz val="11.0"/>
      <color/>
      <name val="Calibri"/>
    </font>
    <font/>
    <font>
      <b/>
      <sz val="11.0"/>
      <color rgb="FFFFFFFF"/>
      <name val="Calibri"/>
    </font>
    <font>
      <sz val="11.0"/>
      <color rgb="FFFFFFFF"/>
      <name val="Calibri"/>
    </font>
    <font>
      <sz val="11.0"/>
      <color/>
      <name val="Calibri"/>
    </font>
    <font>
      <color rgb="FFFFFFFF"/>
    </font>
    <font>
      <sz val="8.0"/>
      <color rgb="FFFFFFFF"/>
      <name val="MyFirstFont"/>
    </font>
    <font>
      <sz val="8.0"/>
      <color rgb="FF000000"/>
      <name val="MyFirstFont"/>
    </font>
    <font>
      <b/>
      <sz val="7.0"/>
      <color rgb="FF000000"/>
      <name val="Arial"/>
    </font>
    <font>
      <sz val="7.0"/>
      <color rgb="FF5C5C5C"/>
      <name val="Arial"/>
    </font>
    <font>
      <sz val="7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0486B"/>
        <bgColor rgb="FF10486B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2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E9E9E9"/>
      </right>
      <top/>
      <bottom style="medium">
        <color rgb="FFE9E9E9"/>
      </bottom>
    </border>
    <border>
      <left/>
      <right/>
      <top/>
      <bottom style="medium">
        <color rgb="FFE9E9E9"/>
      </bottom>
    </border>
    <border>
      <left/>
      <right style="medium">
        <color rgb="FFE9E9E9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3" numFmtId="0" xfId="0" applyBorder="1" applyFont="1"/>
    <xf borderId="3" fillId="0" fontId="3" numFmtId="15" xfId="0" applyBorder="1" applyFont="1" applyNumberFormat="1"/>
    <xf borderId="1" fillId="0" fontId="4" numFmtId="0" xfId="0" applyBorder="1" applyFont="1"/>
    <xf borderId="0" fillId="0" fontId="1" numFmtId="0" xfId="0" applyAlignment="1" applyFont="1">
      <alignment horizontal="center"/>
    </xf>
    <xf borderId="4" fillId="0" fontId="5" numFmtId="0" xfId="0" applyBorder="1" applyFont="1"/>
    <xf borderId="5" fillId="0" fontId="5" numFmtId="15" xfId="0" applyBorder="1" applyFont="1" applyNumberFormat="1"/>
    <xf borderId="6" fillId="0" fontId="5" numFmtId="0" xfId="0" applyBorder="1" applyFont="1"/>
    <xf borderId="0" fillId="0" fontId="6" numFmtId="0" xfId="0" applyFont="1"/>
    <xf borderId="7" fillId="2" fontId="7" numFmtId="0" xfId="0" applyAlignment="1" applyBorder="1" applyFill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0" fillId="0" fontId="5" numFmtId="164" xfId="0" applyFont="1" applyNumberFormat="1"/>
    <xf borderId="6" fillId="0" fontId="5" numFmtId="0" xfId="0" applyBorder="1" applyFont="1"/>
    <xf borderId="6" fillId="0" fontId="5" numFmtId="15" xfId="0" applyBorder="1" applyFont="1" applyNumberFormat="1"/>
    <xf borderId="6" fillId="3" fontId="5" numFmtId="0" xfId="0" applyBorder="1" applyFill="1" applyFont="1"/>
    <xf borderId="6" fillId="3" fontId="5" numFmtId="15" xfId="0" applyBorder="1" applyFont="1" applyNumberFormat="1"/>
    <xf borderId="6" fillId="3" fontId="5" numFmtId="164" xfId="0" applyBorder="1" applyFont="1" applyNumberFormat="1"/>
    <xf borderId="10" fillId="4" fontId="8" numFmtId="17" xfId="0" applyAlignment="1" applyBorder="1" applyFill="1" applyFont="1" applyNumberFormat="1">
      <alignment horizontal="center" shrinkToFit="0" vertical="center" wrapText="1"/>
    </xf>
    <xf borderId="6" fillId="4" fontId="8" numFmtId="4" xfId="0" applyAlignment="1" applyBorder="1" applyFont="1" applyNumberFormat="1">
      <alignment horizontal="center" shrinkToFit="0" vertical="center" wrapText="1"/>
    </xf>
    <xf borderId="11" fillId="4" fontId="8" numFmtId="4" xfId="0" applyAlignment="1" applyBorder="1" applyFont="1" applyNumberFormat="1">
      <alignment horizontal="center" shrinkToFit="0" vertical="center" wrapText="1"/>
    </xf>
    <xf borderId="6" fillId="0" fontId="5" numFmtId="15" xfId="0" applyBorder="1" applyFont="1" applyNumberFormat="1"/>
    <xf borderId="6" fillId="0" fontId="5" numFmtId="164" xfId="0" applyBorder="1" applyFont="1" applyNumberFormat="1"/>
    <xf borderId="2" fillId="0" fontId="4" numFmtId="17" xfId="0" applyBorder="1" applyFont="1" applyNumberFormat="1"/>
    <xf borderId="3" fillId="0" fontId="4" numFmtId="0" xfId="0" applyBorder="1" applyFont="1"/>
    <xf borderId="0" fillId="0" fontId="5" numFmtId="0" xfId="0" applyFont="1"/>
    <xf borderId="12" fillId="4" fontId="8" numFmtId="17" xfId="0" applyAlignment="1" applyBorder="1" applyFont="1" applyNumberFormat="1">
      <alignment horizontal="center" shrinkToFit="0" vertical="center" wrapText="1"/>
    </xf>
    <xf borderId="13" fillId="4" fontId="8" numFmtId="4" xfId="0" applyAlignment="1" applyBorder="1" applyFont="1" applyNumberFormat="1">
      <alignment horizontal="center" shrinkToFit="0" vertical="center" wrapText="1"/>
    </xf>
    <xf borderId="14" fillId="0" fontId="5" numFmtId="0" xfId="0" applyBorder="1" applyFont="1"/>
    <xf borderId="14" fillId="0" fontId="5" numFmtId="15" xfId="0" applyBorder="1" applyFont="1" applyNumberFormat="1"/>
    <xf borderId="14" fillId="0" fontId="5" numFmtId="164" xfId="0" applyBorder="1" applyFont="1" applyNumberFormat="1"/>
    <xf borderId="15" fillId="0" fontId="5" numFmtId="0" xfId="0" applyBorder="1" applyFont="1"/>
    <xf borderId="16" fillId="0" fontId="5" numFmtId="15" xfId="0" applyBorder="1" applyFont="1" applyNumberFormat="1"/>
    <xf borderId="15" fillId="0" fontId="4" numFmtId="0" xfId="0" applyBorder="1" applyFont="1"/>
    <xf borderId="16" fillId="0" fontId="4" numFmtId="15" xfId="0" applyBorder="1" applyFont="1" applyNumberFormat="1"/>
    <xf borderId="0" fillId="0" fontId="4" numFmtId="164" xfId="0" applyFont="1" applyNumberFormat="1"/>
    <xf borderId="0" fillId="0" fontId="5" numFmtId="15" xfId="0" applyFont="1" applyNumberFormat="1"/>
    <xf borderId="4" fillId="0" fontId="5" numFmtId="0" xfId="0" applyBorder="1" applyFont="1"/>
    <xf borderId="17" fillId="4" fontId="8" numFmtId="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/>
    </xf>
    <xf borderId="18" fillId="0" fontId="2" numFmtId="0" xfId="0" applyBorder="1" applyFont="1"/>
    <xf borderId="4" fillId="0" fontId="2" numFmtId="0" xfId="0" applyBorder="1" applyFont="1"/>
    <xf borderId="2" fillId="0" fontId="4" numFmtId="0" xfId="0" applyBorder="1" applyFont="1"/>
    <xf borderId="19" fillId="0" fontId="4" numFmtId="0" xfId="0" applyBorder="1" applyFont="1"/>
    <xf borderId="4" fillId="0" fontId="5" numFmtId="15" xfId="0" applyBorder="1" applyFont="1" applyNumberFormat="1"/>
    <xf borderId="5" fillId="0" fontId="5" numFmtId="0" xfId="0" applyBorder="1" applyFont="1"/>
    <xf borderId="15" fillId="0" fontId="5" numFmtId="15" xfId="0" applyBorder="1" applyFont="1" applyNumberFormat="1"/>
    <xf borderId="16" fillId="0" fontId="5" numFmtId="0" xfId="0" applyBorder="1" applyFont="1"/>
    <xf borderId="0" fillId="0" fontId="5" numFmtId="15" xfId="0" applyAlignment="1" applyFont="1" applyNumberFormat="1">
      <alignment horizontal="left"/>
    </xf>
    <xf borderId="0" fillId="0" fontId="5" numFmtId="0" xfId="0" applyFont="1"/>
    <xf borderId="20" fillId="5" fontId="9" numFmtId="0" xfId="0" applyAlignment="1" applyBorder="1" applyFill="1" applyFont="1">
      <alignment horizontal="left" shrinkToFit="0" vertical="top" wrapText="1"/>
    </xf>
    <xf borderId="20" fillId="5" fontId="9" numFmtId="0" xfId="0" applyAlignment="1" applyBorder="1" applyFont="1">
      <alignment horizontal="right" shrinkToFit="0" vertical="top" wrapText="1"/>
    </xf>
    <xf borderId="21" fillId="5" fontId="9" numFmtId="0" xfId="0" applyAlignment="1" applyBorder="1" applyFont="1">
      <alignment horizontal="right" shrinkToFit="0" vertical="top" wrapText="1"/>
    </xf>
    <xf borderId="20" fillId="4" fontId="10" numFmtId="17" xfId="0" applyAlignment="1" applyBorder="1" applyFont="1" applyNumberFormat="1">
      <alignment horizontal="left" shrinkToFit="0" vertical="top" wrapText="1"/>
    </xf>
    <xf borderId="20" fillId="4" fontId="10" numFmtId="0" xfId="0" applyAlignment="1" applyBorder="1" applyFont="1">
      <alignment horizontal="right" shrinkToFit="0" vertical="top" wrapText="1"/>
    </xf>
    <xf borderId="20" fillId="4" fontId="11" numFmtId="0" xfId="0" applyAlignment="1" applyBorder="1" applyFont="1">
      <alignment horizontal="right" shrinkToFit="0" vertical="top" wrapText="1"/>
    </xf>
    <xf borderId="21" fillId="4" fontId="10" numFmtId="0" xfId="0" applyAlignment="1" applyBorder="1" applyFont="1">
      <alignment horizontal="right" shrinkToFit="0" vertical="top" wrapText="1"/>
    </xf>
    <xf borderId="22" fillId="4" fontId="10" numFmtId="17" xfId="0" applyAlignment="1" applyBorder="1" applyFont="1" applyNumberFormat="1">
      <alignment horizontal="left" shrinkToFit="0" vertical="top" wrapText="1"/>
    </xf>
    <xf borderId="22" fillId="4" fontId="10" numFmtId="0" xfId="0" applyAlignment="1" applyBorder="1" applyFont="1">
      <alignment horizontal="right" shrinkToFit="0" vertical="top" wrapText="1"/>
    </xf>
    <xf borderId="22" fillId="4" fontId="11" numFmtId="0" xfId="0" applyAlignment="1" applyBorder="1" applyFont="1">
      <alignment horizontal="right" shrinkToFit="0" vertical="top" wrapText="1"/>
    </xf>
    <xf borderId="23" fillId="4" fontId="10" numFmtId="0" xfId="0" applyAlignment="1" applyBorder="1" applyFont="1">
      <alignment horizontal="right" shrinkToFit="0" vertical="top" wrapText="1"/>
    </xf>
    <xf borderId="0" fillId="0" fontId="5" numFmtId="17" xfId="0" applyAlignment="1" applyFont="1" applyNumberFormat="1">
      <alignment horizontal="left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48135"/>
          <bgColor rgb="FF548135"/>
        </patternFill>
      </fill>
      <border/>
    </dxf>
  </dxfs>
  <tableStyles count="65">
    <tableStyle count="4" pivot="0" name="BSE DATA AND CORRELATION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BSE DATA AND CORRELATION-style 2">
      <tableStyleElement dxfId="1" type="headerRow"/>
      <tableStyleElement dxfId="3" type="firstRowStripe"/>
      <tableStyleElement dxfId="3" type="secondRowStripe"/>
      <tableStyleElement dxfId="3" type="totalRow"/>
    </tableStyle>
    <tableStyle count="3" pivot="0" name="BSE DATA AND CORRELATION-style 3">
      <tableStyleElement dxfId="1" type="headerRow"/>
      <tableStyleElement dxfId="3" type="firstRowStripe"/>
      <tableStyleElement dxfId="3" type="secondRowStripe"/>
    </tableStyle>
    <tableStyle count="3" pivot="0" name="BSE DATA AND CORRELATION-style 4">
      <tableStyleElement dxfId="1" type="headerRow"/>
      <tableStyleElement dxfId="2" type="firstRowStripe"/>
      <tableStyleElement dxfId="3" type="secondRowStripe"/>
    </tableStyle>
    <tableStyle count="3" pivot="0" name="BSE DATA AND CORRELATION-style 5">
      <tableStyleElement dxfId="1" type="headerRow"/>
      <tableStyleElement dxfId="2" type="firstRowStripe"/>
      <tableStyleElement dxfId="3" type="secondRowStripe"/>
    </tableStyle>
    <tableStyle count="3" pivot="0" name="BSE DATA AND CORRELATION-style 6">
      <tableStyleElement dxfId="1" type="headerRow"/>
      <tableStyleElement dxfId="2" type="firstRowStripe"/>
      <tableStyleElement dxfId="3" type="secondRowStripe"/>
    </tableStyle>
    <tableStyle count="3" pivot="0" name="BSE DATA AND CORRELATION-style 7">
      <tableStyleElement dxfId="1" type="headerRow"/>
      <tableStyleElement dxfId="2" type="firstRowStripe"/>
      <tableStyleElement dxfId="3" type="secondRowStripe"/>
    </tableStyle>
    <tableStyle count="3" pivot="0" name="BSE DATA AND CORRELATION-style 8">
      <tableStyleElement dxfId="1" type="headerRow"/>
      <tableStyleElement dxfId="2" type="firstRowStripe"/>
      <tableStyleElement dxfId="3" type="secondRowStripe"/>
    </tableStyle>
    <tableStyle count="3" pivot="0" name="BSE DATA AND CORRELATION-style 9">
      <tableStyleElement dxfId="1" type="headerRow"/>
      <tableStyleElement dxfId="2" type="firstRowStripe"/>
      <tableStyleElement dxfId="3" type="secondRowStripe"/>
    </tableStyle>
    <tableStyle count="3" pivot="0" name="BSE DATA AND CORRELATION-style 10">
      <tableStyleElement dxfId="1" type="headerRow"/>
      <tableStyleElement dxfId="2" type="firstRowStripe"/>
      <tableStyleElement dxfId="3" type="secondRowStripe"/>
    </tableStyle>
    <tableStyle count="3" pivot="0" name="BSE DATA AND CORRELATION-style 11">
      <tableStyleElement dxfId="1" type="headerRow"/>
      <tableStyleElement dxfId="2" type="firstRowStripe"/>
      <tableStyleElement dxfId="3" type="secondRowStripe"/>
    </tableStyle>
    <tableStyle count="3" pivot="0" name="BSE DATA AND CORRELATION-style 12">
      <tableStyleElement dxfId="1" type="headerRow"/>
      <tableStyleElement dxfId="2" type="firstRowStripe"/>
      <tableStyleElement dxfId="3" type="secondRowStripe"/>
    </tableStyle>
    <tableStyle count="3" pivot="0" name="BSE DATA AND CORRELATION-style 13">
      <tableStyleElement dxfId="1" type="headerRow"/>
      <tableStyleElement dxfId="2" type="firstRowStripe"/>
      <tableStyleElement dxfId="3" type="secondRowStripe"/>
    </tableStyle>
    <tableStyle count="3" pivot="0" name="BSE DATA AND CORRELATION-style 14">
      <tableStyleElement dxfId="1" type="headerRow"/>
      <tableStyleElement dxfId="2" type="firstRowStripe"/>
      <tableStyleElement dxfId="3" type="secondRowStripe"/>
    </tableStyle>
    <tableStyle count="3" pivot="0" name="BSE DATA AND CORRELATION-style 15">
      <tableStyleElement dxfId="1" type="headerRow"/>
      <tableStyleElement dxfId="2" type="firstRowStripe"/>
      <tableStyleElement dxfId="3" type="secondRowStripe"/>
    </tableStyle>
    <tableStyle count="3" pivot="0" name="BSE DATA AND CORRELATION-style 16">
      <tableStyleElement dxfId="1" type="headerRow"/>
      <tableStyleElement dxfId="2" type="firstRowStripe"/>
      <tableStyleElement dxfId="3" type="secondRowStripe"/>
    </tableStyle>
    <tableStyle count="3" pivot="0" name="BSE DATA AND CORRELATION-style 17">
      <tableStyleElement dxfId="1" type="headerRow"/>
      <tableStyleElement dxfId="2" type="firstRowStripe"/>
      <tableStyleElement dxfId="3" type="secondRowStripe"/>
    </tableStyle>
    <tableStyle count="3" pivot="0" name="BSE DATA AND CORRELATION-style 18">
      <tableStyleElement dxfId="1" type="headerRow"/>
      <tableStyleElement dxfId="2" type="firstRowStripe"/>
      <tableStyleElement dxfId="3" type="secondRowStripe"/>
    </tableStyle>
    <tableStyle count="3" pivot="0" name="BSE CORRELATION WITH PIVOTTABLE-style">
      <tableStyleElement dxfId="1" type="headerRow"/>
      <tableStyleElement dxfId="2" type="firstRowStripe"/>
      <tableStyleElement dxfId="3" type="secondRowStripe"/>
    </tableStyle>
    <tableStyle count="3" pivot="0" name="BSE CORRELATION WITH PIVOTTABLE-style 2">
      <tableStyleElement dxfId="1" type="headerRow"/>
      <tableStyleElement dxfId="2" type="firstRowStripe"/>
      <tableStyleElement dxfId="3" type="secondRowStripe"/>
    </tableStyle>
    <tableStyle count="3" pivot="0" name="BSE CORRELATION WITH PIVOTTABLE-style 3">
      <tableStyleElement dxfId="1" type="headerRow"/>
      <tableStyleElement dxfId="2" type="firstRowStripe"/>
      <tableStyleElement dxfId="3" type="secondRowStripe"/>
    </tableStyle>
    <tableStyle count="3" pivot="0" name="BSE CORRELATION WITH PIVOTTABLE-style 4">
      <tableStyleElement dxfId="1" type="headerRow"/>
      <tableStyleElement dxfId="2" type="firstRowStripe"/>
      <tableStyleElement dxfId="3" type="secondRowStripe"/>
    </tableStyle>
    <tableStyle count="3" pivot="0" name="BSE CORRELATION WITH PIVOTTABLE-style 5">
      <tableStyleElement dxfId="1" type="headerRow"/>
      <tableStyleElement dxfId="2" type="firstRowStripe"/>
      <tableStyleElement dxfId="3" type="secondRowStripe"/>
    </tableStyle>
    <tableStyle count="3" pivot="0" name="BSE CORRELATION WITH PIVOTTABLE-style 6">
      <tableStyleElement dxfId="1" type="headerRow"/>
      <tableStyleElement dxfId="2" type="firstRowStripe"/>
      <tableStyleElement dxfId="3" type="secondRowStripe"/>
    </tableStyle>
    <tableStyle count="3" pivot="0" name="BSE CORRELATION WITH PIVOTTABLE-style 7">
      <tableStyleElement dxfId="1" type="headerRow"/>
      <tableStyleElement dxfId="2" type="firstRowStripe"/>
      <tableStyleElement dxfId="3" type="secondRowStripe"/>
    </tableStyle>
    <tableStyle count="3" pivot="0" name="BSE CORRELATION WITH PIVOTTABLE-style 8">
      <tableStyleElement dxfId="1" type="headerRow"/>
      <tableStyleElement dxfId="2" type="firstRowStripe"/>
      <tableStyleElement dxfId="3" type="secondRowStripe"/>
    </tableStyle>
    <tableStyle count="3" pivot="0" name="BSE CORRELATION WITH PIVOTTABLE-style 9">
      <tableStyleElement dxfId="1" type="headerRow"/>
      <tableStyleElement dxfId="2" type="firstRowStripe"/>
      <tableStyleElement dxfId="3" type="secondRowStripe"/>
    </tableStyle>
    <tableStyle count="3" pivot="0" name="BSE CORRELATION WITH PIVOTTABLE-style 10">
      <tableStyleElement dxfId="1" type="headerRow"/>
      <tableStyleElement dxfId="2" type="firstRowStripe"/>
      <tableStyleElement dxfId="3" type="secondRowStripe"/>
    </tableStyle>
    <tableStyle count="3" pivot="0" name="BSE CORRELATION WITH PIVOTTABLE-style 11">
      <tableStyleElement dxfId="1" type="headerRow"/>
      <tableStyleElement dxfId="2" type="firstRowStripe"/>
      <tableStyleElement dxfId="3" type="secondRowStripe"/>
    </tableStyle>
    <tableStyle count="3" pivot="0" name="BSE CORRELATION WITH PIVOTTABLE-style 12">
      <tableStyleElement dxfId="1" type="headerRow"/>
      <tableStyleElement dxfId="2" type="firstRowStripe"/>
      <tableStyleElement dxfId="3" type="secondRowStripe"/>
    </tableStyle>
    <tableStyle count="3" pivot="0" name="BSE CORRELATION WITH PIVOTTABLE-style 13">
      <tableStyleElement dxfId="1" type="headerRow"/>
      <tableStyleElement dxfId="2" type="firstRowStripe"/>
      <tableStyleElement dxfId="3" type="secondRowStripe"/>
    </tableStyle>
    <tableStyle count="3" pivot="0" name="BSE CORRELATION WITH PIVOTTABLE-style 14">
      <tableStyleElement dxfId="1" type="headerRow"/>
      <tableStyleElement dxfId="2" type="firstRowStripe"/>
      <tableStyleElement dxfId="3" type="secondRowStripe"/>
    </tableStyle>
    <tableStyle count="3" pivot="0" name="BSE CORRELATION WITH PIVOTTABLE-style 15">
      <tableStyleElement dxfId="1" type="headerRow"/>
      <tableStyleElement dxfId="2" type="firstRowStripe"/>
      <tableStyleElement dxfId="3" type="secondRowStripe"/>
    </tableStyle>
    <tableStyle count="3" pivot="0" name="NSE DATA-style">
      <tableStyleElement dxfId="4" type="headerRow"/>
      <tableStyleElement dxfId="3" type="firstRowStripe"/>
      <tableStyleElement dxfId="3" type="secondRowStripe"/>
    </tableStyle>
    <tableStyle count="3" pivot="0" name="NSE DATA-style 2">
      <tableStyleElement dxfId="4" type="headerRow"/>
      <tableStyleElement dxfId="5" type="firstRowStripe"/>
      <tableStyleElement dxfId="6" type="secondRowStripe"/>
    </tableStyle>
    <tableStyle count="3" pivot="0" name="NSE DATA-style 3">
      <tableStyleElement dxfId="4" type="headerRow"/>
      <tableStyleElement dxfId="3" type="firstRowStripe"/>
      <tableStyleElement dxfId="3" type="secondRowStripe"/>
    </tableStyle>
    <tableStyle count="3" pivot="0" name="NSE DATA-style 4">
      <tableStyleElement dxfId="4" type="headerRow"/>
      <tableStyleElement dxfId="3" type="firstRowStripe"/>
      <tableStyleElement dxfId="3" type="secondRowStripe"/>
    </tableStyle>
    <tableStyle count="4" pivot="0" name="NSE CORRELATION WITH PIVOTTABLE-style">
      <tableStyleElement dxfId="4" type="headerRow"/>
      <tableStyleElement dxfId="3" type="firstRowStripe"/>
      <tableStyleElement dxfId="3" type="secondRowStripe"/>
      <tableStyleElement dxfId="3" type="totalRow"/>
    </tableStyle>
    <tableStyle count="3" pivot="0" name="NSE CORRELATION WITH PIVOTTABLE-style 2">
      <tableStyleElement dxfId="4" type="headerRow"/>
      <tableStyleElement dxfId="3" type="firstRowStripe"/>
      <tableStyleElement dxfId="3" type="secondRowStripe"/>
    </tableStyle>
    <tableStyle count="3" pivot="0" name="NSE CORRELATION WITH PIVOTTABLE-style 3">
      <tableStyleElement dxfId="4" type="headerRow"/>
      <tableStyleElement dxfId="3" type="firstRowStripe"/>
      <tableStyleElement dxfId="3" type="secondRowStripe"/>
    </tableStyle>
    <tableStyle count="3" pivot="0" name="NSE CORRELATION WITH PIVOTTABLE-style 4">
      <tableStyleElement dxfId="4" type="headerRow"/>
      <tableStyleElement dxfId="3" type="firstRowStripe"/>
      <tableStyleElement dxfId="3" type="secondRowStripe"/>
    </tableStyle>
    <tableStyle count="3" pivot="0" name="NSE CORRELATION WITH PIVOTTABLE-style 5">
      <tableStyleElement dxfId="4" type="headerRow"/>
      <tableStyleElement dxfId="3" type="firstRowStripe"/>
      <tableStyleElement dxfId="3" type="secondRowStripe"/>
    </tableStyle>
    <tableStyle count="3" pivot="0" name="NSE CORRELATION WITH PIVOTTABLE-style 6">
      <tableStyleElement dxfId="4" type="headerRow"/>
      <tableStyleElement dxfId="3" type="firstRowStripe"/>
      <tableStyleElement dxfId="3" type="secondRowStripe"/>
    </tableStyle>
    <tableStyle count="3" pivot="0" name="NSE CORRELATION WITH PIVOTTABLE-style 7">
      <tableStyleElement dxfId="4" type="headerRow"/>
      <tableStyleElement dxfId="3" type="firstRowStripe"/>
      <tableStyleElement dxfId="3" type="secondRowStripe"/>
    </tableStyle>
    <tableStyle count="3" pivot="0" name="NSE CORRELATION WITH PIVOTTABLE-style 8">
      <tableStyleElement dxfId="4" type="headerRow"/>
      <tableStyleElement dxfId="3" type="firstRowStripe"/>
      <tableStyleElement dxfId="3" type="secondRowStripe"/>
    </tableStyle>
    <tableStyle count="3" pivot="0" name="NSE CORRELATION WITH PIVOTTABLE-style 9">
      <tableStyleElement dxfId="4" type="headerRow"/>
      <tableStyleElement dxfId="3" type="firstRowStripe"/>
      <tableStyleElement dxfId="3" type="secondRowStripe"/>
    </tableStyle>
    <tableStyle count="3" pivot="0" name="NSE CORRELATION WITH PIVOTTABLE-style 10">
      <tableStyleElement dxfId="4" type="headerRow"/>
      <tableStyleElement dxfId="3" type="firstRowStripe"/>
      <tableStyleElement dxfId="3" type="secondRowStripe"/>
    </tableStyle>
    <tableStyle count="3" pivot="0" name="NSE MONEYCONTROL DATA-style">
      <tableStyleElement dxfId="7" type="headerRow"/>
      <tableStyleElement dxfId="8" type="firstRowStripe"/>
      <tableStyleElement dxfId="1" type="secondRowStripe"/>
    </tableStyle>
    <tableStyle count="3" pivot="0" name="NSE MONEYCONTROL DATA-style 2">
      <tableStyleElement dxfId="4" type="headerRow"/>
      <tableStyleElement dxfId="3" type="firstRowStripe"/>
      <tableStyleElement dxfId="3" type="secondRowStripe"/>
    </tableStyle>
    <tableStyle count="3" pivot="0" name="NSE MONEYCONTROL DATA-style 3">
      <tableStyleElement dxfId="1" type="headerRow"/>
      <tableStyleElement dxfId="2" type="firstRowStripe"/>
      <tableStyleElement dxfId="3" type="secondRowStripe"/>
    </tableStyle>
    <tableStyle count="4" pivot="0" name="NSE MONEYCONTROL CORRELATION-style">
      <tableStyleElement dxfId="4" type="headerRow"/>
      <tableStyleElement dxfId="3" type="firstRowStripe"/>
      <tableStyleElement dxfId="3" type="secondRowStripe"/>
      <tableStyleElement dxfId="3" type="totalRow"/>
    </tableStyle>
    <tableStyle count="3" pivot="0" name="NSE MONEYCONTROL CORRELATION-style 2">
      <tableStyleElement dxfId="1" type="headerRow"/>
      <tableStyleElement dxfId="2" type="firstRowStripe"/>
      <tableStyleElement dxfId="3" type="secondRowStripe"/>
    </tableStyle>
    <tableStyle count="3" pivot="0" name="NSE MONEYCONTROL CORRELATION-style 3">
      <tableStyleElement dxfId="1" type="headerRow"/>
      <tableStyleElement dxfId="2" type="firstRowStripe"/>
      <tableStyleElement dxfId="3" type="secondRowStripe"/>
    </tableStyle>
    <tableStyle count="3" pivot="0" name="NSE MONEYCONTROL CORRELATION-style 4">
      <tableStyleElement dxfId="1" type="headerRow"/>
      <tableStyleElement dxfId="2" type="firstRowStripe"/>
      <tableStyleElement dxfId="3" type="secondRowStripe"/>
    </tableStyle>
    <tableStyle count="3" pivot="0" name="NSE MONEYCONTROL CORRELATION-style 5">
      <tableStyleElement dxfId="1" type="headerRow"/>
      <tableStyleElement dxfId="2" type="firstRowStripe"/>
      <tableStyleElement dxfId="3" type="secondRowStripe"/>
    </tableStyle>
    <tableStyle count="3" pivot="0" name="NSE MONEYCONTROL CORRELATION-style 6">
      <tableStyleElement dxfId="1" type="headerRow"/>
      <tableStyleElement dxfId="2" type="firstRowStripe"/>
      <tableStyleElement dxfId="3" type="secondRowStripe"/>
    </tableStyle>
    <tableStyle count="3" pivot="0" name="NSE MONEYCONTROL CORRELATION-style 7">
      <tableStyleElement dxfId="1" type="headerRow"/>
      <tableStyleElement dxfId="2" type="firstRowStripe"/>
      <tableStyleElement dxfId="3" type="secondRowStripe"/>
    </tableStyle>
    <tableStyle count="3" pivot="0" name="NSE MONEYCONTROL CORRELATION-style 8">
      <tableStyleElement dxfId="1" type="headerRow"/>
      <tableStyleElement dxfId="2" type="firstRowStripe"/>
      <tableStyleElement dxfId="3" type="secondRowStripe"/>
    </tableStyle>
    <tableStyle count="3" pivot="0" name="NSE MONEYCONTROL CORRELATION-style 9">
      <tableStyleElement dxfId="1" type="headerRow"/>
      <tableStyleElement dxfId="2" type="firstRowStripe"/>
      <tableStyleElement dxfId="3" type="secondRowStripe"/>
    </tableStyle>
    <tableStyle count="3" pivot="0" name="NSE MONEYCONTROL CORRELATION-style 10">
      <tableStyleElement dxfId="1" type="headerRow"/>
      <tableStyleElement dxfId="2" type="firstRowStripe"/>
      <tableStyleElement dxfId="3" type="secondRowStripe"/>
    </tableStyle>
    <tableStyle count="3" pivot="0" name="NSE MONEYCONTROL CORRELATION-style 11">
      <tableStyleElement dxfId="1" type="headerRow"/>
      <tableStyleElement dxfId="2" type="firstRowStripe"/>
      <tableStyleElement dxfId="3" type="secondRowStripe"/>
    </tableStyle>
    <tableStyle count="3" pivot="0" name="NSE MONEYCONTROL CORRELATION-style 12">
      <tableStyleElement dxfId="1" type="headerRow"/>
      <tableStyleElement dxfId="2" type="firstRowStripe"/>
      <tableStyleElement dxfId="3" type="secondRowStripe"/>
    </tableStyle>
    <tableStyle count="3" pivot="0" name="NSE MONEYCONTROL CORRELATION-style 13">
      <tableStyleElement dxfId="1" type="headerRow"/>
      <tableStyleElement dxfId="2" type="firstRowStripe"/>
      <tableStyleElement dxfId="3" type="secondRowStripe"/>
    </tableStyle>
    <tableStyle count="3" pivot="0" name="NSE MONEYCONTROL CORRELATION-style 14">
      <tableStyleElement dxfId="1" type="headerRow"/>
      <tableStyleElement dxfId="2" type="firstRowStripe"/>
      <tableStyleElement dxfId="3" type="secondRowStripe"/>
    </tableStyle>
    <tableStyle count="3" pivot="0" name="NSE MONEYCONTROL CORRELATION-style 15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E174" sheet="BSE DATA AND CORRELATION"/>
  </cacheSource>
  <cacheFields>
    <cacheField name="Month" numFmtId="17">
      <sharedItems containsSemiMixedTypes="0" containsDate="1" containsString="0">
        <d v="2010-01-01T00:00:00Z"/>
        <d v="2010-02-01T00:00:00Z"/>
        <d v="2010-03-01T00:00:00Z"/>
        <d v="2010-04-01T00:00:00Z"/>
        <d v="2010-05-01T00:00:00Z"/>
        <d v="2010-06-01T00:00:00Z"/>
        <d v="2010-07-01T00:00:00Z"/>
        <d v="2010-08-01T00:00:00Z"/>
        <d v="2010-09-01T00:00:00Z"/>
        <d v="2010-10-01T00:00:00Z"/>
        <d v="2010-11-01T00:00:00Z"/>
        <d v="2010-12-01T00:00:00Z"/>
        <d v="2011-01-01T00:00:00Z"/>
        <d v="2011-02-01T00:00:00Z"/>
        <d v="2011-03-01T00:00:00Z"/>
        <d v="2011-04-01T00:00:00Z"/>
        <d v="2011-05-01T00:00:00Z"/>
        <d v="2011-06-01T00:00:00Z"/>
        <d v="2011-07-01T00:00:00Z"/>
        <d v="2011-08-01T00:00:00Z"/>
        <d v="2011-09-01T00:00:00Z"/>
        <d v="2011-10-01T00:00:00Z"/>
        <d v="2011-11-01T00:00:00Z"/>
        <d v="2011-12-01T00:00:00Z"/>
        <d v="2012-01-01T00:00:00Z"/>
        <d v="2012-02-01T00:00:00Z"/>
        <d v="2012-03-01T00:00:00Z"/>
        <d v="2012-04-01T00:00:00Z"/>
        <d v="2012-05-01T00:00:00Z"/>
        <d v="2012-06-01T00:00:00Z"/>
        <d v="2012-07-01T00:00:00Z"/>
        <d v="2012-08-01T00:00:00Z"/>
        <d v="2012-09-01T00:00:00Z"/>
        <d v="2012-10-01T00:00:00Z"/>
        <d v="2012-11-01T00:00:00Z"/>
        <d v="2012-12-01T00:00:00Z"/>
        <d v="2013-01-01T00:00:00Z"/>
        <d v="2013-02-01T00:00:00Z"/>
        <d v="2013-03-01T00:00:00Z"/>
        <d v="2013-04-01T00:00:00Z"/>
        <d v="2013-05-01T00:00:00Z"/>
        <d v="2013-06-01T00:00:00Z"/>
        <d v="2013-07-01T00:00:00Z"/>
        <d v="2013-08-01T00:00:00Z"/>
        <d v="2013-09-01T00:00:00Z"/>
        <d v="2013-10-01T00:00:00Z"/>
        <d v="2013-11-01T00:00:00Z"/>
        <d v="2013-12-01T00:00:00Z"/>
        <d v="2014-01-01T00:00:00Z"/>
        <d v="2014-02-01T00:00:00Z"/>
        <d v="2014-03-01T00:00:00Z"/>
        <d v="2014-04-01T00:00:00Z"/>
        <d v="2014-05-01T00:00:00Z"/>
        <d v="2014-06-01T00:00:00Z"/>
        <d v="2014-07-01T00:00:00Z"/>
        <d v="2014-08-01T00:00:00Z"/>
        <d v="2014-09-01T00:00:00Z"/>
        <d v="2014-10-01T00:00:00Z"/>
        <d v="2014-11-01T00:00:00Z"/>
        <d v="2014-12-01T00:00:00Z"/>
        <d v="2015-02-01T00:00:00Z"/>
        <d v="2015-03-01T00:00:00Z"/>
        <d v="2015-04-01T00:00:00Z"/>
        <d v="2015-05-01T00:00:00Z"/>
        <d v="2015-06-01T00:00:00Z"/>
        <d v="2015-07-01T00:00:00Z"/>
        <d v="2015-08-01T00:00:00Z"/>
        <d v="2015-09-01T00:00:00Z"/>
        <d v="2015-10-01T00:00:00Z"/>
        <d v="2015-11-01T00:00:00Z"/>
        <d v="2015-12-01T00:00:00Z"/>
        <d v="2016-01-01T00:00:00Z"/>
        <d v="2016-02-01T00:00:00Z"/>
        <d v="2016-03-01T00:00:00Z"/>
        <d v="2016-04-01T00:00:00Z"/>
        <d v="2016-05-01T00:00:00Z"/>
        <d v="2016-06-01T00:00:00Z"/>
        <d v="2016-07-01T00:00:00Z"/>
        <d v="2016-08-01T00:00:00Z"/>
        <d v="2016-09-01T00:00:00Z"/>
        <d v="2016-10-01T00:00:00Z"/>
        <d v="2016-11-01T00:00:00Z"/>
        <d v="2016-12-01T00:00:00Z"/>
        <d v="2017-01-01T00:00:00Z"/>
        <d v="2017-02-01T00:00:00Z"/>
        <d v="2017-03-01T00:00:00Z"/>
        <d v="2017-04-01T00:00:00Z"/>
        <d v="2017-05-01T00:00:00Z"/>
        <d v="2017-06-01T00:00:00Z"/>
        <d v="2017-07-01T00:00:00Z"/>
        <d v="2017-08-01T00:00:00Z"/>
        <d v="2017-09-01T00:00:00Z"/>
        <d v="2017-10-01T00:00:00Z"/>
        <d v="2017-11-01T00:00:00Z"/>
        <d v="2017-12-01T00:00:00Z"/>
        <d v="2018-01-01T00:00:00Z"/>
        <d v="2018-02-01T00:00:00Z"/>
        <d v="2018-03-01T00:00:00Z"/>
        <d v="2018-04-01T00:00:00Z"/>
        <d v="2018-05-01T00:00:00Z"/>
        <d v="2018-06-01T00:00:00Z"/>
        <d v="2018-07-01T00:00:00Z"/>
        <d v="2018-08-01T00:00:00Z"/>
        <d v="2018-09-01T00:00:00Z"/>
        <d v="2018-10-01T00:00:00Z"/>
        <d v="2018-11-01T00:00:00Z"/>
        <d v="2018-12-01T00:00:00Z"/>
        <d v="2019-01-01T00:00:00Z"/>
        <d v="2019-02-01T00:00:00Z"/>
        <d v="2019-03-01T00:00:00Z"/>
        <d v="2019-04-01T00:00:00Z"/>
        <d v="2019-05-01T00:00:00Z"/>
        <d v="2019-06-01T00:00:00Z"/>
        <d v="2019-07-01T00:00:00Z"/>
        <d v="2019-08-01T00:00:00Z"/>
        <d v="2019-09-01T00:00:00Z"/>
        <d v="2019-10-01T00:00:00Z"/>
        <d v="2019-11-01T00:00:00Z"/>
        <d v="2019-12-01T00:00:00Z"/>
        <d v="2020-01-01T00:00:00Z"/>
        <d v="2020-02-01T00:00:00Z"/>
        <d v="2020-03-01T00:00:00Z"/>
        <d v="2020-04-01T00:00:00Z"/>
        <d v="2020-05-01T00:00:00Z"/>
        <d v="2020-06-01T00:00:00Z"/>
        <d v="2020-07-01T00:00:00Z"/>
        <d v="2020-08-01T00:00:00Z"/>
        <d v="2020-09-01T00:00:00Z"/>
        <d v="2020-10-01T00:00:00Z"/>
        <d v="2020-11-01T00:00:00Z"/>
        <d v="2020-12-01T00:00:00Z"/>
        <d v="2021-01-01T00:00:00Z"/>
        <d v="2021-02-01T00:00:00Z"/>
        <d v="2021-03-01T00:00:00Z"/>
        <d v="2021-04-01T00:00:00Z"/>
        <d v="2021-05-01T00:00:00Z"/>
        <d v="2021-06-01T00:00:00Z"/>
        <d v="2021-07-01T00:00:00Z"/>
        <d v="2021-08-01T00:00:00Z"/>
        <d v="2021-09-01T00:00:00Z"/>
        <d v="2021-10-01T00:00:00Z"/>
        <d v="2021-11-01T00:00:00Z"/>
        <d v="2021-12-01T00:00:00Z"/>
        <d v="2022-01-01T00:00:00Z"/>
        <d v="2022-02-01T00:00:00Z"/>
        <d v="2022-03-01T00:00:00Z"/>
        <d v="2022-04-01T00:00:00Z"/>
        <d v="2022-05-01T00:00:00Z"/>
        <d v="2022-06-01T00:00:00Z"/>
        <d v="2022-07-01T00:00:00Z"/>
        <d v="2022-08-01T00:00:00Z"/>
        <d v="2022-09-01T00:00:00Z"/>
        <d v="2022-10-01T00:00:00Z"/>
        <d v="2022-11-01T00:00:00Z"/>
        <d v="2022-12-01T00:00:00Z"/>
        <d v="2023-01-01T00:00:00Z"/>
        <d v="2023-02-01T00:00:00Z"/>
        <d v="2023-03-01T00:00:00Z"/>
        <d v="2023-04-01T00:00:00Z"/>
        <d v="2023-05-01T00:00:00Z"/>
        <d v="2023-06-01T00:00:00Z"/>
        <d v="2023-07-01T00:00:00Z"/>
        <d v="2023-08-01T00:00:00Z"/>
        <d v="2023-09-01T00:00:00Z"/>
        <d v="2023-10-01T00:00:00Z"/>
        <d v="2023-11-01T00:00:00Z"/>
        <d v="2023-12-01T00:00:00Z"/>
        <d v="2024-01-01T00:00:00Z"/>
        <d v="2024-02-01T00:00:00Z"/>
        <d v="2024-03-01T00:00:00Z"/>
        <d v="2024-04-01T00:00:00Z"/>
      </sharedItems>
    </cacheField>
    <cacheField name="Open" numFmtId="4">
      <sharedItems containsSemiMixedTypes="0" containsString="0" containsNumber="1">
        <n v="17473.45"/>
        <n v="16339.32"/>
        <n v="16438.45"/>
        <n v="17555.04"/>
        <n v="17536.86"/>
        <n v="16942.82"/>
        <n v="17679.34"/>
        <n v="17911.31"/>
        <n v="18027.12"/>
        <n v="20094.1"/>
        <n v="20272.49"/>
        <n v="19529.99"/>
        <n v="20621.61"/>
        <n v="18425.18"/>
        <n v="17982.28"/>
        <n v="19463.11"/>
        <n v="19224.05"/>
        <n v="18527.12"/>
        <n v="18974.96"/>
        <n v="18352.23"/>
        <n v="16963.67"/>
        <n v="16255.97"/>
        <n v="17540.55"/>
        <n v="16555.93"/>
        <n v="15534.67"/>
        <n v="17179.64"/>
        <n v="17714.62"/>
        <n v="17429.96"/>
        <n v="17370.93"/>
        <n v="16217.48"/>
        <n v="17438.68"/>
        <n v="17244.44"/>
        <n v="17465.6"/>
        <n v="18784.64"/>
        <n v="18487.9"/>
        <n v="19342.83"/>
        <n v="19513.45"/>
        <n v="19907.21"/>
        <n v="18876.68"/>
        <n v="18890.81"/>
        <n v="19459.33"/>
        <n v="19859.22"/>
        <n v="19352.48"/>
        <n v="19443.29"/>
        <n v="18691.83"/>
        <n v="19452.05"/>
        <n v="21158.81"/>
        <n v="20771.27"/>
        <n v="21222.19"/>
        <n v="20479.03"/>
        <n v="21079.27"/>
        <n v="22455.23"/>
        <n v="22493.59"/>
        <n v="24368.96"/>
        <n v="25469.94"/>
        <n v="25753.92"/>
        <n v="26733.18"/>
        <n v="26681.47"/>
        <n v="27943.04"/>
        <n v="28748.22"/>
        <n v="29143.63"/>
        <n v="29533.42"/>
        <n v="27954.86"/>
        <n v="27204.63"/>
        <n v="27770.79"/>
        <n v="27823.65"/>
        <n v="28089.09"/>
        <n v="26127.04"/>
        <n v="26344.19"/>
        <n v="26641.69"/>
        <n v="26201.27"/>
        <n v="26101.5"/>
        <n v="24982.22"/>
        <n v="23153.32"/>
        <n v="25301.7"/>
        <n v="25565.44"/>
        <n v="26684.46"/>
        <n v="27064.33"/>
        <n v="28083.08"/>
        <n v="28459.09"/>
        <n v="27997.29"/>
        <n v="27966.18"/>
        <n v="26756.66"/>
        <n v="26711.15"/>
        <n v="27669.08"/>
        <n v="28849.04"/>
        <n v="29737.73"/>
        <n v="30021.49"/>
        <n v="31117.09"/>
        <n v="31156.04"/>
        <n v="32579.8"/>
        <n v="31769.34"/>
        <n v="31537.81"/>
        <n v="33344.23"/>
        <n v="33247.66"/>
        <n v="34059.99"/>
        <n v="36048.99"/>
        <n v="34141.22"/>
        <n v="33030.87"/>
        <n v="35328.91"/>
        <n v="35373.98"/>
        <n v="35545.22"/>
        <n v="37643.87"/>
        <n v="38915.91"/>
        <n v="36274.25"/>
        <n v="34650.63"/>
        <n v="36396.69"/>
        <n v="36161.8"/>
        <n v="36311.74"/>
        <n v="36018.49"/>
        <n v="38858.88"/>
        <n v="39036.51"/>
        <n v="39806.86"/>
        <n v="39543.73"/>
        <n v="37387.18"/>
        <n v="37181.76"/>
        <n v="38813.48"/>
        <n v="40196.07"/>
        <n v="41072.94"/>
        <n v="41349.36"/>
        <n v="40753.18"/>
        <n v="38910.95"/>
        <n v="29505.33"/>
        <n v="32748.14"/>
        <n v="32906.05"/>
        <n v="35009.59"/>
        <n v="37595.73"/>
        <n v="38754.0"/>
        <n v="38410.2"/>
        <n v="39880.38"/>
        <n v="44435.83"/>
        <n v="47785.28"/>
        <n v="46617.95"/>
        <n v="49747.71"/>
        <n v="49868.53"/>
        <n v="48356.01"/>
        <n v="52067.51"/>
        <n v="52638.5"/>
        <n v="52901.28"/>
        <n v="57763.53"/>
        <n v="58889.77"/>
        <n v="59577.48"/>
        <n v="57365.85"/>
        <n v="58310.09"/>
        <n v="58672.86"/>
        <n v="55629.3"/>
        <n v="58530.73"/>
        <n v="56429.45"/>
        <n v="55588.27"/>
        <n v="52863.34"/>
        <n v="57823.1"/>
        <n v="58710.53"/>
        <n v="57403.92"/>
        <n v="61065.58"/>
        <n v="63357.99"/>
        <n v="60871.24"/>
        <n v="60001.17"/>
        <n v="59136.48"/>
        <n v="59131.16"/>
        <n v="61301.61"/>
        <n v="62736.47"/>
        <n v="64836.16"/>
        <n v="66532.98"/>
        <n v="64855.51"/>
        <n v="65813.42"/>
        <n v="63829.87"/>
        <n v="67181.15"/>
        <n v="72218.39"/>
        <n v="71998.78"/>
        <n v="72606.31"/>
        <n v="73968.62"/>
      </sharedItems>
    </cacheField>
    <cacheField name="High" numFmtId="4">
      <sharedItems containsSemiMixedTypes="0" containsString="0" containsNumber="1">
        <n v="17790.33"/>
        <n v="16669.25"/>
        <n v="17793.01"/>
        <n v="18047.86"/>
        <n v="17536.86"/>
        <n v="17919.62"/>
        <n v="18237.56"/>
        <n v="18475.27"/>
        <n v="20267.98"/>
        <n v="20854.55"/>
        <n v="21108.64"/>
        <n v="20552.03"/>
        <n v="20664.8"/>
        <n v="18690.97"/>
        <n v="19575.16"/>
        <n v="19811.14"/>
        <n v="19253.87"/>
        <n v="18873.39"/>
        <n v="19131.7"/>
        <n v="18440.07"/>
        <n v="17211.8"/>
        <n v="17908.13"/>
        <n v="17702.26"/>
        <n v="17003.71"/>
        <n v="17258.97"/>
        <n v="18523.78"/>
        <n v="18040.69"/>
        <n v="17664.1"/>
        <n v="17432.33"/>
        <n v="17448.48"/>
        <n v="17631.19"/>
        <n v="17972.54"/>
        <n v="18869.94"/>
        <n v="19137.29"/>
        <n v="19372.7"/>
        <n v="19612.18"/>
        <n v="20203.66"/>
        <n v="19966.69"/>
        <n v="19754.66"/>
        <n v="19622.68"/>
        <n v="20443.62"/>
        <n v="19860.19"/>
        <n v="20351.06"/>
        <n v="19569.2"/>
        <n v="72998.07"/>
        <n v="21205.44"/>
        <n v="21321.53"/>
        <n v="21483.74"/>
        <n v="21409.66"/>
        <n v="21140.51"/>
        <n v="22467.21"/>
        <n v="22939.31"/>
        <n v="25375.63"/>
        <n v="25725.12"/>
        <n v="26300.17"/>
        <n v="26674.38"/>
        <n v="27354.99"/>
        <n v="27894.32"/>
        <n v="28822.37"/>
        <n v="28809.64"/>
        <n v="29560.32"/>
        <n v="30024.74"/>
        <n v="29094.61"/>
        <n v="28071.16"/>
        <n v="27968.75"/>
        <n v="28578.33"/>
        <n v="28417.59"/>
        <n v="26471.82"/>
        <n v="27618.14"/>
        <n v="26824.3"/>
        <n v="26256.42"/>
        <n v="26197.27"/>
        <n v="25002.32"/>
        <n v="25479.62"/>
        <n v="26100.54"/>
        <n v="26837.2"/>
        <n v="27105.41"/>
        <n v="28240.2"/>
        <n v="28532.25"/>
        <n v="29077.28"/>
        <n v="28477.65"/>
        <n v="28029.8"/>
        <n v="26803.76"/>
        <n v="27980.39"/>
        <n v="29065.31"/>
        <n v="29824.62"/>
        <n v="30184.22"/>
        <n v="31255.28"/>
        <n v="31522.87"/>
        <n v="32672.66"/>
        <n v="32686.48"/>
        <n v="32524.11"/>
        <n v="33340.17"/>
        <n v="33865.95"/>
        <n v="34137.97"/>
        <n v="36443.98"/>
        <n v="36256.83"/>
        <n v="34278.63"/>
        <n v="35213.3"/>
        <n v="35993.53"/>
        <n v="35877.41"/>
        <n v="37644.59"/>
        <n v="38989.65"/>
        <n v="38934.35"/>
        <n v="36616.64"/>
        <n v="36389.22"/>
        <n v="36554.99"/>
        <n v="36701.03"/>
        <n v="37172.18"/>
        <n v="38748.54"/>
        <n v="39487.45"/>
        <n v="40124.96"/>
        <n v="40312.07"/>
        <n v="40032.41"/>
        <n v="37807.55"/>
        <n v="39441.12"/>
        <n v="40392.22"/>
        <n v="41163.79"/>
        <n v="41809.96"/>
        <n v="42273.87"/>
        <n v="41709.3"/>
        <n v="39083.17"/>
        <n v="33887.25"/>
        <n v="32845.48"/>
        <n v="35706.55"/>
        <n v="38617.03"/>
        <n v="40010.17"/>
        <n v="39359.51"/>
        <n v="41048.05"/>
        <n v="44825.37"/>
        <n v="47896.97"/>
        <n v="50184.01"/>
        <n v="52516.76"/>
        <n v="51821.84"/>
        <n v="50375.77"/>
        <n v="52013.22"/>
        <n v="53126.73"/>
        <n v="53290.81"/>
        <n v="57625.26"/>
        <n v="60412.32"/>
        <n v="62245.43"/>
        <n v="61036.56"/>
        <n v="59203.37"/>
        <n v="61475.15"/>
        <n v="59618.51"/>
        <n v="58890.92"/>
        <n v="60845.1"/>
        <n v="57184.21"/>
        <n v="56432.65"/>
        <n v="57619.27"/>
        <n v="60411.2"/>
        <n v="60676.12"/>
        <n v="60786.7"/>
        <n v="63303.01"/>
        <n v="63583.07"/>
        <n v="61343.96"/>
        <n v="61682.25"/>
        <n v="60498.48"/>
        <n v="61209.46"/>
        <n v="63036.12"/>
        <n v="64768.58"/>
        <n v="67619.17"/>
        <n v="66658.12"/>
        <n v="67927.23"/>
        <n v="66592.16"/>
        <n v="67069.89"/>
        <n v="72484.34"/>
        <n v="73427.59"/>
        <n v="73413.93"/>
        <n v="74245.17"/>
        <n v="75124.28"/>
      </sharedItems>
    </cacheField>
    <cacheField name="Low" numFmtId="4">
      <sharedItems containsSemiMixedTypes="0" containsString="0" containsNumber="1">
        <n v="15982.08"/>
        <n v="15651.99"/>
        <n v="16438.45"/>
        <n v="17276.8"/>
        <n v="15960.15"/>
        <n v="16318.39"/>
        <n v="17395.58"/>
        <n v="17819.99"/>
        <n v="18027.12"/>
        <n v="19768.96"/>
        <n v="18954.82"/>
        <n v="19074.57"/>
        <n v="18038.48"/>
        <n v="17295.62"/>
        <n v="17792.17"/>
        <n v="18976.19"/>
        <n v="17786.13"/>
        <n v="17314.38"/>
        <n v="18131.86"/>
        <n v="15765.53"/>
        <n v="15801.01"/>
        <n v="15745.43"/>
        <n v="15478.69"/>
        <n v="15135.86"/>
        <n v="15358.02"/>
        <n v="17061.55"/>
        <n v="16920.61"/>
        <n v="17010.16"/>
        <n v="15809.71"/>
        <n v="15748.98"/>
        <n v="16598.48"/>
        <n v="17026.97"/>
        <n v="17250.8"/>
        <n v="18393.42"/>
        <n v="18255.69"/>
        <n v="19149.03"/>
        <n v="19508.93"/>
        <n v="18793.97"/>
        <n v="18568.43"/>
        <n v="18144.22"/>
        <n v="19451.26"/>
        <n v="18467.16"/>
        <n v="19126.82"/>
        <n v="17448.71"/>
        <n v="18166.17"/>
        <n v="19264.72"/>
        <n v="20137.67"/>
        <n v="20568.7"/>
        <n v="20343.78"/>
        <n v="19963.12"/>
        <n v="20920.98"/>
        <n v="22197.51"/>
        <n v="22277.04"/>
        <n v="24270.2"/>
        <n v="24892.0"/>
        <n v="25232.82"/>
        <n v="26220.49"/>
        <n v="25910.77"/>
        <n v="27739.56"/>
        <n v="26469.42"/>
        <n v="28044.49"/>
        <n v="27248.45"/>
        <n v="26897.54"/>
        <n v="26423.99"/>
        <n v="26307.07"/>
        <n v="27416.39"/>
        <n v="25298.42"/>
        <n v="24833.54"/>
        <n v="26168.71"/>
        <n v="25451.42"/>
        <n v="24867.73"/>
        <n v="23839.76"/>
        <n v="22494.61"/>
        <n v="23133.18"/>
        <n v="24523.2"/>
        <n v="25057.93"/>
        <n v="25911.33"/>
        <n v="27034.14"/>
        <n v="27627.97"/>
        <n v="27716.78"/>
        <n v="27488.3"/>
        <n v="25717.93"/>
        <n v="25753.74"/>
        <n v="26447.06"/>
        <n v="27590.1"/>
        <n v="28716.21"/>
        <n v="29241.48"/>
        <n v="29804.12"/>
        <n v="30680.66"/>
        <n v="31017.11"/>
        <n v="31128.02"/>
        <n v="31081.83"/>
        <n v="31440.48"/>
        <n v="32683.59"/>
        <n v="32565.16"/>
        <n v="33703.37"/>
        <n v="33482.81"/>
        <n v="32483.84"/>
        <n v="32972.56"/>
        <n v="34302.89"/>
        <n v="34784.68"/>
        <n v="35106.57"/>
        <n v="37128.99"/>
        <n v="35985.63"/>
        <n v="33291.58"/>
        <n v="34303.38"/>
        <n v="34426.29"/>
        <n v="35375.51"/>
        <n v="35287.16"/>
        <n v="35926.94"/>
        <n v="38460.25"/>
        <n v="36956.1"/>
        <n v="38870.96"/>
        <n v="37128.26"/>
        <n v="36102.35"/>
        <n v="35987.8"/>
        <n v="37415.83"/>
        <n v="40014.23"/>
        <n v="40135.37"/>
        <n v="40476.55"/>
        <n v="38219.97"/>
        <n v="25638.9"/>
        <n v="27500.79"/>
        <n v="29968.45"/>
        <n v="32348.1"/>
        <n v="34927.2"/>
        <n v="36911.23"/>
        <n v="36495.98"/>
        <n v="38410.2"/>
        <n v="39334.92"/>
        <n v="44118.1"/>
        <n v="46160.46"/>
        <n v="46433.65"/>
        <n v="48236.35"/>
        <n v="47204.5"/>
        <n v="48028.07"/>
        <n v="51450.58"/>
        <n v="51802.73"/>
        <n v="52804.08"/>
        <n v="57263.9"/>
        <n v="58551.14"/>
        <n v="56382.93"/>
        <n v="55132.68"/>
        <n v="56409.63"/>
        <n v="54383.2"/>
        <n v="52260.82"/>
        <n v="56009.07"/>
        <n v="52632.48"/>
        <n v="50921.22"/>
        <n v="52094.25"/>
        <n v="57367.47"/>
        <n v="56147.23"/>
        <n v="56683.4"/>
        <n v="60425.47"/>
        <n v="59754.1"/>
        <n v="58699.2"/>
        <n v="58795.97"/>
        <n v="57084.91"/>
        <n v="58793.08"/>
        <n v="61002.17"/>
        <n v="62359.14"/>
        <n v="64836.16"/>
        <n v="64723.63"/>
        <n v="64818.37"/>
        <n v="63092.98"/>
        <n v="63550.46"/>
        <n v="67149.07"/>
        <n v="70001.6"/>
        <n v="70809.84"/>
        <n v="71674.42"/>
        <n v="73485.12"/>
      </sharedItems>
    </cacheField>
    <cacheField name="Close" numFmtId="4">
      <sharedItems containsSemiMixedTypes="0" containsString="0" containsNumber="1">
        <n v="16357.96"/>
        <n v="16429.55"/>
        <n v="17527.77"/>
        <n v="17558.71"/>
        <n v="16944.63"/>
        <n v="17700.9"/>
        <n v="17868.29"/>
        <n v="17971.12"/>
        <n v="20069.12"/>
        <n v="20032.34"/>
        <n v="19521.25"/>
        <n v="20509.09"/>
        <n v="18327.76"/>
        <n v="17823.4"/>
        <n v="19445.22"/>
        <n v="19135.96"/>
        <n v="18503.28"/>
        <n v="18845.87"/>
        <n v="18197.2"/>
        <n v="16676.75"/>
        <n v="16453.76"/>
        <n v="17705.01"/>
        <n v="16123.46"/>
        <n v="15454.92"/>
        <n v="17193.55"/>
        <n v="17752.68"/>
        <n v="17404.2"/>
        <n v="17318.81"/>
        <n v="16218.53"/>
        <n v="17429.98"/>
        <n v="17236.18"/>
        <n v="17429.56"/>
        <n v="18762.74"/>
        <n v="18505.38"/>
        <n v="19339.9"/>
        <n v="19426.71"/>
        <n v="19894.98"/>
        <n v="18861.54"/>
        <n v="18835.77"/>
        <n v="19504.18"/>
        <n v="19760.3"/>
        <n v="19395.81"/>
        <n v="19345.7"/>
        <n v="18619.72"/>
        <n v="19379.77"/>
        <n v="21164.52"/>
        <n v="20791.93"/>
        <n v="21170.68"/>
        <n v="20513.85"/>
        <n v="21120.12"/>
        <n v="22386.27"/>
        <n v="22417.8"/>
        <n v="24217.34"/>
        <n v="25413.78"/>
        <n v="25894.97"/>
        <n v="26638.11"/>
        <n v="26630.51"/>
        <n v="27865.83"/>
        <n v="28693.99"/>
        <n v="27499.42"/>
        <n v="29361.5"/>
        <n v="27957.49"/>
        <n v="27011.31"/>
        <n v="27828.44"/>
        <n v="27780.83"/>
        <n v="28114.56"/>
        <n v="26283.09"/>
        <n v="26154.83"/>
        <n v="26656.83"/>
        <n v="26145.67"/>
        <n v="26117.54"/>
        <n v="24870.69"/>
        <n v="23002.0"/>
        <n v="25341.86"/>
        <n v="25606.62"/>
        <n v="26667.96"/>
        <n v="26999.72"/>
        <n v="28051.86"/>
        <n v="28452.17"/>
        <n v="27865.96"/>
        <n v="27930.21"/>
        <n v="26652.81"/>
        <n v="26626.46"/>
        <n v="27655.96"/>
        <n v="28743.32"/>
        <n v="29620.5"/>
        <n v="29918.4"/>
        <n v="31145.8"/>
        <n v="30921.61"/>
        <n v="32514.94"/>
        <n v="31730.49"/>
        <n v="31283.72"/>
        <n v="33213.13"/>
        <n v="33149.35"/>
        <n v="34056.83"/>
        <n v="35965.02"/>
        <n v="34184.04"/>
        <n v="32968.68"/>
        <n v="35160.36"/>
        <n v="35322.38"/>
        <n v="35423.48"/>
        <n v="37606.58"/>
        <n v="38645.07"/>
        <n v="36227.14"/>
        <n v="34442.05"/>
        <n v="36194.3"/>
        <n v="36068.33"/>
        <n v="36256.69"/>
        <n v="35867.44"/>
        <n v="38672.91"/>
        <n v="39031.55"/>
        <n v="39714.2"/>
        <n v="39394.64"/>
        <n v="37481.12"/>
        <n v="37332.79"/>
        <n v="38667.33"/>
        <n v="40129.05"/>
        <n v="40793.81"/>
        <n v="41253.74"/>
        <n v="40723.49"/>
        <n v="38297.29"/>
        <n v="29468.49"/>
        <n v="33717.62"/>
        <n v="32424.1"/>
        <n v="34915.8"/>
        <n v="37606.89"/>
        <n v="38628.29"/>
        <n v="38067.93"/>
        <n v="39614.07"/>
        <n v="44149.72"/>
        <n v="47751.33"/>
        <n v="46285.77"/>
        <n v="49099.99"/>
        <n v="49509.15"/>
        <n v="48782.36"/>
        <n v="51937.44"/>
        <n v="52482.71"/>
        <n v="52586.84"/>
        <n v="57552.39"/>
        <n v="59126.36"/>
        <n v="59306.93"/>
        <n v="57064.87"/>
        <n v="58253.82"/>
        <n v="58014.17"/>
        <n v="56247.28"/>
        <n v="58568.51"/>
        <n v="57060.87"/>
        <n v="55566.41"/>
        <n v="53018.94"/>
        <n v="57570.25"/>
        <n v="59537.07"/>
        <n v="57426.92"/>
        <n v="60746.59"/>
        <n v="63099.65"/>
        <n v="60840.74"/>
        <n v="59549.9"/>
        <n v="58962.12"/>
        <n v="58991.52"/>
        <n v="61112.44"/>
        <n v="62622.24"/>
        <n v="64718.56"/>
        <n v="66527.67"/>
        <n v="64831.41"/>
        <n v="65828.41"/>
        <n v="63874.93"/>
        <n v="66988.44"/>
        <n v="72240.26"/>
        <n v="71752.11"/>
        <n v="72500.3"/>
        <n v="73651.35"/>
        <n v="74683.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G2084" sheet="NSE DATA"/>
  </cacheSource>
  <cacheFields>
    <cacheField name="Date " numFmtId="15">
      <sharedItems containsSemiMixedTypes="0" containsDate="1" containsString="0">
        <d v="2015-11-09T00:00:00Z"/>
        <d v="2015-11-10T00:00:00Z"/>
        <d v="2015-11-11T00:00:00Z"/>
        <d v="2015-11-13T00:00:00Z"/>
        <d v="2015-11-16T00:00:00Z"/>
        <d v="2015-11-17T00:00:00Z"/>
        <d v="2015-11-18T00:00:00Z"/>
        <d v="2015-11-19T00:00:00Z"/>
        <d v="2015-11-20T00:00:00Z"/>
        <d v="2015-11-23T00:00:00Z"/>
        <d v="2015-11-24T00:00:00Z"/>
        <d v="2015-11-26T00:00:00Z"/>
        <d v="2015-11-27T00:00:00Z"/>
        <d v="2015-11-30T00:00:00Z"/>
        <d v="2015-12-01T00:00:00Z"/>
        <d v="2015-12-02T00:00:00Z"/>
        <d v="2015-12-03T00:00:00Z"/>
        <d v="2015-12-04T00:00:00Z"/>
        <d v="2015-12-07T00:00:00Z"/>
        <d v="2015-12-08T00:00:00Z"/>
        <d v="2015-12-09T00:00:00Z"/>
        <d v="2015-12-10T00:00:00Z"/>
        <d v="2015-12-11T00:00:00Z"/>
        <d v="2015-12-14T00:00:00Z"/>
        <d v="2015-12-15T00:00:00Z"/>
        <d v="2015-12-16T00:00:00Z"/>
        <d v="2015-12-17T00:00:00Z"/>
        <d v="2015-12-18T00:00:00Z"/>
        <d v="2015-12-21T00:00:00Z"/>
        <d v="2015-12-22T00:00:00Z"/>
        <d v="2015-12-23T00:00:00Z"/>
        <d v="2015-12-24T00:00:00Z"/>
        <d v="2015-12-28T00:00:00Z"/>
        <d v="2015-12-29T00:00:00Z"/>
        <d v="2015-12-30T00:00:00Z"/>
        <d v="2015-12-31T00:00:00Z"/>
        <d v="2016-01-01T00:00:00Z"/>
        <d v="2016-01-04T00:00:00Z"/>
        <d v="2016-01-05T00:00:00Z"/>
        <d v="2016-01-06T00:00:00Z"/>
        <d v="2016-01-07T00:00:00Z"/>
        <d v="2016-01-08T00:00:00Z"/>
        <d v="2016-01-11T00:00:00Z"/>
        <d v="2016-01-12T00:00:00Z"/>
        <d v="2016-01-13T00:00:00Z"/>
        <d v="2016-01-14T00:00:00Z"/>
        <d v="2016-01-15T00:00:00Z"/>
        <d v="2016-01-18T00:00:00Z"/>
        <d v="2016-01-19T00:00:00Z"/>
        <d v="2016-01-20T00:00:00Z"/>
        <d v="2016-01-21T00:00:00Z"/>
        <d v="2016-01-22T00:00:00Z"/>
        <d v="2016-01-25T00:00:00Z"/>
        <d v="2016-01-27T00:00:00Z"/>
        <d v="2016-01-28T00:00:00Z"/>
        <d v="2016-01-29T00:00:00Z"/>
        <d v="2016-02-01T00:00:00Z"/>
        <d v="2016-02-02T00:00:00Z"/>
        <d v="2016-02-03T00:00:00Z"/>
        <d v="2016-02-04T00:00:00Z"/>
        <d v="2016-02-05T00:00:00Z"/>
        <d v="2016-02-08T00:00:00Z"/>
        <d v="2016-02-09T00:00:00Z"/>
        <d v="2016-02-10T00:00:00Z"/>
        <d v="2016-02-11T00:00:00Z"/>
        <d v="2016-02-12T00:00:00Z"/>
        <d v="2016-02-15T00:00:00Z"/>
        <d v="2016-02-16T00:00:00Z"/>
        <d v="2016-02-17T00:00:00Z"/>
        <d v="2016-02-18T00:00:00Z"/>
        <d v="2016-02-19T00:00:00Z"/>
        <d v="2016-02-22T00:00:00Z"/>
        <d v="2016-02-23T00:00:00Z"/>
        <d v="2016-02-24T00:00:00Z"/>
        <d v="2016-02-25T00:00:00Z"/>
        <d v="2016-02-26T00:00:00Z"/>
        <d v="2016-02-29T00:00:00Z"/>
        <d v="2016-03-01T00:00:00Z"/>
        <d v="2016-03-02T00:00:00Z"/>
        <d v="2016-03-03T00:00:00Z"/>
        <d v="2016-03-04T00:00:00Z"/>
        <d v="2016-03-08T00:00:00Z"/>
        <d v="2016-03-09T00:00:00Z"/>
        <d v="2016-03-10T00:00:00Z"/>
        <d v="2016-03-11T00:00:00Z"/>
        <d v="2016-03-14T00:00:00Z"/>
        <d v="2016-03-15T00:00:00Z"/>
        <d v="2016-03-16T00:00:00Z"/>
        <d v="2016-03-17T00:00:00Z"/>
        <d v="2016-03-18T00:00:00Z"/>
        <d v="2016-03-21T00:00:00Z"/>
        <d v="2016-03-22T00:00:00Z"/>
        <d v="2016-03-23T00:00:00Z"/>
        <d v="2016-03-28T00:00:00Z"/>
        <d v="2016-03-29T00:00:00Z"/>
        <d v="2016-03-30T00:00:00Z"/>
        <d v="2016-03-31T00:00:00Z"/>
        <d v="2016-04-01T00:00:00Z"/>
        <d v="2016-04-04T00:00:00Z"/>
        <d v="2016-04-05T00:00:00Z"/>
        <d v="2016-04-06T00:00:00Z"/>
        <d v="2016-04-07T00:00:00Z"/>
        <d v="2016-04-08T00:00:00Z"/>
        <d v="2016-04-11T00:00:00Z"/>
        <d v="2016-04-12T00:00:00Z"/>
        <d v="2016-04-13T00:00:00Z"/>
        <d v="2016-04-18T00:00:00Z"/>
        <d v="2016-04-20T00:00:00Z"/>
        <d v="2016-04-21T00:00:00Z"/>
        <d v="2016-04-22T00:00:00Z"/>
        <d v="2016-04-25T00:00:00Z"/>
        <d v="2016-04-26T00:00:00Z"/>
        <d v="2016-04-27T00:00:00Z"/>
        <d v="2016-04-28T00:00:00Z"/>
        <d v="2016-04-29T00:00:00Z"/>
        <d v="2016-05-02T00:00:00Z"/>
        <d v="2016-05-03T00:00:00Z"/>
        <d v="2016-05-04T00:00:00Z"/>
        <d v="2016-05-05T00:00:00Z"/>
        <d v="2016-05-06T00:00:00Z"/>
        <d v="2016-05-09T00:00:00Z"/>
        <d v="2016-05-10T00:00:00Z"/>
        <d v="2016-05-11T00:00:00Z"/>
        <d v="2016-05-12T00:00:00Z"/>
        <d v="2016-05-13T00:00:00Z"/>
        <d v="2016-05-16T00:00:00Z"/>
        <d v="2016-05-17T00:00:00Z"/>
        <d v="2016-05-18T00:00:00Z"/>
        <d v="2016-05-19T00:00:00Z"/>
        <d v="2016-05-20T00:00:00Z"/>
        <d v="2016-05-23T00:00:00Z"/>
        <d v="2016-05-24T00:00:00Z"/>
        <d v="2016-05-25T00:00:00Z"/>
        <d v="2016-05-26T00:00:00Z"/>
        <d v="2016-05-27T00:00:00Z"/>
        <d v="2016-05-30T00:00:00Z"/>
        <d v="2016-05-31T00:00:00Z"/>
        <d v="2016-06-01T00:00:00Z"/>
        <d v="2016-06-02T00:00:00Z"/>
        <d v="2016-06-03T00:00:00Z"/>
        <d v="2016-06-06T00:00:00Z"/>
        <d v="2016-06-07T00:00:00Z"/>
        <d v="2016-06-08T00:00:00Z"/>
        <d v="2016-06-09T00:00:00Z"/>
        <d v="2016-06-10T00:00:00Z"/>
        <d v="2016-06-13T00:00:00Z"/>
        <d v="2016-06-14T00:00:00Z"/>
        <d v="2016-06-15T00:00:00Z"/>
        <d v="2016-06-16T00:00:00Z"/>
        <d v="2016-06-17T00:00:00Z"/>
        <d v="2016-06-20T00:00:00Z"/>
        <d v="2016-06-21T00:00:00Z"/>
        <d v="2016-06-22T00:00:00Z"/>
        <d v="2016-06-23T00:00:00Z"/>
        <d v="2016-06-24T00:00:00Z"/>
        <d v="2016-06-27T00:00:00Z"/>
        <d v="2016-06-28T00:00:00Z"/>
        <d v="2016-06-29T00:00:00Z"/>
        <d v="2016-06-30T00:00:00Z"/>
        <d v="2016-07-01T00:00:00Z"/>
        <d v="2016-07-04T00:00:00Z"/>
        <d v="2016-07-05T00:00:00Z"/>
        <d v="2016-07-07T00:00:00Z"/>
        <d v="2016-07-08T00:00:00Z"/>
        <d v="2016-07-11T00:00:00Z"/>
        <d v="2016-07-12T00:00:00Z"/>
        <d v="2016-07-13T00:00:00Z"/>
        <d v="2016-07-14T00:00:00Z"/>
        <d v="2016-07-15T00:00:00Z"/>
        <d v="2016-07-18T00:00:00Z"/>
        <d v="2016-07-19T00:00:00Z"/>
        <d v="2016-07-20T00:00:00Z"/>
        <d v="2016-07-21T00:00:00Z"/>
        <d v="2016-07-22T00:00:00Z"/>
        <d v="2016-07-25T00:00:00Z"/>
        <d v="2016-07-26T00:00:00Z"/>
        <d v="2016-07-27T00:00:00Z"/>
        <d v="2016-07-28T00:00:00Z"/>
        <d v="2016-07-29T00:00:00Z"/>
        <d v="2016-08-01T00:00:00Z"/>
        <d v="2016-08-02T00:00:00Z"/>
        <d v="2016-08-03T00:00:00Z"/>
        <d v="2016-08-04T00:00:00Z"/>
        <d v="2016-08-05T00:00:00Z"/>
        <d v="2016-08-08T00:00:00Z"/>
        <d v="2016-08-09T00:00:00Z"/>
        <d v="2016-08-10T00:00:00Z"/>
        <d v="2016-08-11T00:00:00Z"/>
        <d v="2016-08-12T00:00:00Z"/>
        <d v="2016-08-16T00:00:00Z"/>
        <d v="2016-08-17T00:00:00Z"/>
        <d v="2016-08-18T00:00:00Z"/>
        <d v="2016-08-19T00:00:00Z"/>
        <d v="2016-08-22T00:00:00Z"/>
        <d v="2016-08-23T00:00:00Z"/>
        <d v="2016-08-24T00:00:00Z"/>
        <d v="2016-08-25T00:00:00Z"/>
        <d v="2016-08-26T00:00:00Z"/>
        <d v="2016-08-29T00:00:00Z"/>
        <d v="2016-08-30T00:00:00Z"/>
        <d v="2016-08-31T00:00:00Z"/>
        <d v="2016-09-01T00:00:00Z"/>
        <d v="2016-09-02T00:00:00Z"/>
        <d v="2016-09-06T00:00:00Z"/>
        <d v="2016-09-07T00:00:00Z"/>
        <d v="2016-09-08T00:00:00Z"/>
        <d v="2016-09-09T00:00:00Z"/>
        <d v="2016-09-12T00:00:00Z"/>
        <d v="2016-09-14T00:00:00Z"/>
        <d v="2016-09-15T00:00:00Z"/>
        <d v="2016-09-16T00:00:00Z"/>
        <d v="2016-09-19T00:00:00Z"/>
        <d v="2016-09-20T00:00:00Z"/>
        <d v="2016-09-21T00:00:00Z"/>
        <d v="2016-09-22T00:00:00Z"/>
        <d v="2016-09-23T00:00:00Z"/>
        <d v="2016-09-26T00:00:00Z"/>
        <d v="2016-09-27T00:00:00Z"/>
        <d v="2016-09-28T00:00:00Z"/>
        <d v="2016-09-29T00:00:00Z"/>
        <d v="2016-09-30T00:00:00Z"/>
        <d v="2016-10-03T00:00:00Z"/>
        <d v="2016-10-04T00:00:00Z"/>
        <d v="2016-10-05T00:00:00Z"/>
        <d v="2016-10-06T00:00:00Z"/>
        <d v="2016-10-07T00:00:00Z"/>
        <d v="2016-10-10T00:00:00Z"/>
        <d v="2016-10-13T00:00:00Z"/>
        <d v="2016-10-14T00:00:00Z"/>
        <d v="2016-10-17T00:00:00Z"/>
        <d v="2016-10-18T00:00:00Z"/>
        <d v="2016-10-19T00:00:00Z"/>
        <d v="2016-10-20T00:00:00Z"/>
        <d v="2016-10-21T00:00:00Z"/>
        <d v="2016-10-24T00:00:00Z"/>
        <d v="2016-10-25T00:00:00Z"/>
        <d v="2016-10-26T00:00:00Z"/>
        <d v="2016-10-27T00:00:00Z"/>
        <d v="2016-10-28T00:00:00Z"/>
        <d v="2016-10-30T00:00:00Z"/>
        <d v="2016-11-01T00:00:00Z"/>
        <d v="2016-11-02T00:00:00Z"/>
        <d v="2016-11-03T00:00:00Z"/>
        <d v="2016-11-04T00:00:00Z"/>
        <d v="2016-11-07T00:00:00Z"/>
        <d v="2016-11-08T00:00:00Z"/>
        <d v="2016-11-09T00:00:00Z"/>
        <d v="2016-11-10T00:00:00Z"/>
        <d v="2016-11-11T00:00:00Z"/>
        <d v="2016-11-15T00:00:00Z"/>
        <d v="2016-11-16T00:00:00Z"/>
        <d v="2016-11-17T00:00:00Z"/>
        <d v="2016-11-18T00:00:00Z"/>
        <d v="2016-11-21T00:00:00Z"/>
        <d v="2016-11-22T00:00:00Z"/>
        <d v="2016-11-23T00:00:00Z"/>
        <d v="2016-11-24T00:00:00Z"/>
        <d v="2016-11-25T00:00:00Z"/>
        <d v="2016-11-28T00:00:00Z"/>
        <d v="2016-11-29T00:00:00Z"/>
        <d v="2016-11-30T00:00:00Z"/>
        <d v="2016-12-01T00:00:00Z"/>
        <d v="2016-12-02T00:00:00Z"/>
        <d v="2016-12-05T00:00:00Z"/>
        <d v="2016-12-06T00:00:00Z"/>
        <d v="2016-12-07T00:00:00Z"/>
        <d v="2016-12-08T00:00:00Z"/>
        <d v="2016-12-09T00:00:00Z"/>
        <d v="2016-12-12T00:00:00Z"/>
        <d v="2016-12-13T00:00:00Z"/>
        <d v="2016-12-14T00:00:00Z"/>
        <d v="2016-12-15T00:00:00Z"/>
        <d v="2016-12-16T00:00:00Z"/>
        <d v="2016-12-19T00:00:00Z"/>
        <d v="2016-12-20T00:00:00Z"/>
        <d v="2016-12-21T00:00:00Z"/>
        <d v="2016-12-22T00:00:00Z"/>
        <d v="2016-12-23T00:00:00Z"/>
        <d v="2016-12-26T00:00:00Z"/>
        <d v="2016-12-27T00:00:00Z"/>
        <d v="2016-12-28T00:00:00Z"/>
        <d v="2016-12-29T00:00:00Z"/>
        <d v="2016-12-30T00:00:00Z"/>
        <d v="2017-01-02T00:00:00Z"/>
        <d v="2017-01-03T00:00:00Z"/>
        <d v="2017-01-04T00:00:00Z"/>
        <d v="2017-01-05T00:00:00Z"/>
        <d v="2017-01-06T00:00:00Z"/>
        <d v="2017-01-09T00:00:00Z"/>
        <d v="2017-01-10T00:00:00Z"/>
        <d v="2017-01-11T00:00:00Z"/>
        <d v="2017-01-12T00:00:00Z"/>
        <d v="2017-01-13T00:00:00Z"/>
        <d v="2017-01-16T00:00:00Z"/>
        <d v="2017-01-17T00:00:00Z"/>
        <d v="2017-01-18T00:00:00Z"/>
        <d v="2017-01-19T00:00:00Z"/>
        <d v="2017-01-20T00:00:00Z"/>
        <d v="2017-01-23T00:00:00Z"/>
        <d v="2017-01-24T00:00:00Z"/>
        <d v="2017-01-25T00:00:00Z"/>
        <d v="2017-01-27T00:00:00Z"/>
        <d v="2017-01-30T00:00:00Z"/>
        <d v="2017-01-31T00:00:00Z"/>
        <d v="2017-02-01T00:00:00Z"/>
        <d v="2017-02-02T00:00:00Z"/>
        <d v="2017-02-03T00:00:00Z"/>
        <d v="2017-02-06T00:00:00Z"/>
        <d v="2017-02-07T00:00:00Z"/>
        <d v="2017-02-08T00:00:00Z"/>
        <d v="2017-02-09T00:00:00Z"/>
        <d v="2017-02-10T00:00:00Z"/>
        <d v="2017-02-13T00:00:00Z"/>
        <d v="2017-02-14T00:00:00Z"/>
        <d v="2017-02-15T00:00:00Z"/>
        <d v="2017-02-16T00:00:00Z"/>
        <d v="2017-02-17T00:00:00Z"/>
        <d v="2017-02-20T00:00:00Z"/>
        <d v="2017-02-21T00:00:00Z"/>
        <d v="2017-02-22T00:00:00Z"/>
        <d v="2017-02-23T00:00:00Z"/>
        <d v="2017-02-27T00:00:00Z"/>
        <d v="2017-02-28T00:00:00Z"/>
        <d v="2017-03-01T00:00:00Z"/>
        <d v="2017-03-02T00:00:00Z"/>
        <d v="2017-03-03T00:00:00Z"/>
        <d v="2017-03-06T00:00:00Z"/>
        <d v="2017-03-07T00:00:00Z"/>
        <d v="2017-03-08T00:00:00Z"/>
        <d v="2017-03-09T00:00:00Z"/>
        <d v="2017-03-10T00:00:00Z"/>
        <d v="2017-03-14T00:00:00Z"/>
        <d v="2017-03-15T00:00:00Z"/>
        <d v="2017-03-16T00:00:00Z"/>
        <d v="2017-03-17T00:00:00Z"/>
        <d v="2017-03-20T00:00:00Z"/>
        <d v="2017-03-21T00:00:00Z"/>
        <d v="2017-03-22T00:00:00Z"/>
        <d v="2017-03-23T00:00:00Z"/>
        <d v="2017-03-24T00:00:00Z"/>
        <d v="2017-03-27T00:00:00Z"/>
        <d v="2017-03-28T00:00:00Z"/>
        <d v="2017-03-29T00:00:00Z"/>
        <d v="2017-03-30T00:00:00Z"/>
        <d v="2017-03-31T00:00:00Z"/>
        <d v="2017-04-03T00:00:00Z"/>
        <d v="2017-04-05T00:00:00Z"/>
        <d v="2017-04-06T00:00:00Z"/>
        <d v="2017-04-07T00:00:00Z"/>
        <d v="2017-04-10T00:00:00Z"/>
        <d v="2017-04-11T00:00:00Z"/>
        <d v="2017-04-12T00:00:00Z"/>
        <d v="2017-04-13T00:00:00Z"/>
        <d v="2017-04-17T00:00:00Z"/>
        <d v="2017-04-18T00:00:00Z"/>
        <d v="2017-04-19T00:00:00Z"/>
        <d v="2017-04-20T00:00:00Z"/>
        <d v="2017-04-21T00:00:00Z"/>
        <d v="2017-04-24T00:00:00Z"/>
        <d v="2017-04-25T00:00:00Z"/>
        <d v="2017-04-26T00:00:00Z"/>
        <d v="2017-04-27T00:00:00Z"/>
        <d v="2017-04-28T00:00:00Z"/>
        <d v="2017-05-02T00:00:00Z"/>
        <d v="2017-05-03T00:00:00Z"/>
        <d v="2017-05-04T00:00:00Z"/>
        <d v="2017-05-05T00:00:00Z"/>
        <d v="2017-05-08T00:00:00Z"/>
        <d v="2017-05-09T00:00:00Z"/>
        <d v="2017-05-10T00:00:00Z"/>
        <d v="2017-05-11T00:00:00Z"/>
        <d v="2017-05-12T00:00:00Z"/>
        <d v="2017-05-15T00:00:00Z"/>
        <d v="2017-05-16T00:00:00Z"/>
        <d v="2017-05-17T00:00:00Z"/>
        <d v="2017-05-18T00:00:00Z"/>
        <d v="2017-05-19T00:00:00Z"/>
        <d v="2017-05-22T00:00:00Z"/>
        <d v="2017-05-23T00:00:00Z"/>
        <d v="2017-05-24T00:00:00Z"/>
        <d v="2017-05-25T00:00:00Z"/>
        <d v="2017-05-26T00:00:00Z"/>
        <d v="2017-05-29T00:00:00Z"/>
        <d v="2017-05-30T00:00:00Z"/>
        <d v="2017-05-31T00:00:00Z"/>
        <d v="2017-06-01T00:00:00Z"/>
        <d v="2017-06-02T00:00:00Z"/>
        <d v="2017-06-05T00:00:00Z"/>
        <d v="2017-06-06T00:00:00Z"/>
        <d v="2017-06-07T00:00:00Z"/>
        <d v="2017-06-08T00:00:00Z"/>
        <d v="2017-06-09T00:00:00Z"/>
        <d v="2017-06-12T00:00:00Z"/>
        <d v="2017-06-13T00:00:00Z"/>
        <d v="2017-06-14T00:00:00Z"/>
        <d v="2017-06-15T00:00:00Z"/>
        <d v="2017-06-16T00:00:00Z"/>
        <d v="2017-06-19T00:00:00Z"/>
        <d v="2017-06-20T00:00:00Z"/>
        <d v="2017-06-21T00:00:00Z"/>
        <d v="2017-06-22T00:00:00Z"/>
        <d v="2017-06-23T00:00:00Z"/>
        <d v="2017-06-27T00:00:00Z"/>
        <d v="2017-06-28T00:00:00Z"/>
        <d v="2017-06-29T00:00:00Z"/>
        <d v="2017-06-30T00:00:00Z"/>
        <d v="2017-07-03T00:00:00Z"/>
        <d v="2017-07-04T00:00:00Z"/>
        <d v="2017-07-05T00:00:00Z"/>
        <d v="2017-07-06T00:00:00Z"/>
        <d v="2017-07-07T00:00:00Z"/>
        <d v="2017-07-10T00:00:00Z"/>
        <d v="2017-07-11T00:00:00Z"/>
        <d v="2017-07-12T00:00:00Z"/>
        <d v="2017-07-13T00:00:00Z"/>
        <d v="2017-07-14T00:00:00Z"/>
        <d v="2017-07-17T00:00:00Z"/>
        <d v="2017-07-18T00:00:00Z"/>
        <d v="2017-07-19T00:00:00Z"/>
        <d v="2017-07-20T00:00:00Z"/>
        <d v="2017-07-21T00:00:00Z"/>
        <d v="2017-07-24T00:00:00Z"/>
        <d v="2017-07-25T00:00:00Z"/>
        <d v="2017-07-26T00:00:00Z"/>
        <d v="2017-07-27T00:00:00Z"/>
        <d v="2017-07-28T00:00:00Z"/>
        <d v="2017-07-31T00:00:00Z"/>
        <d v="2017-08-01T00:00:00Z"/>
        <d v="2017-08-02T00:00:00Z"/>
        <d v="2017-08-03T00:00:00Z"/>
        <d v="2017-08-04T00:00:00Z"/>
        <d v="2017-08-07T00:00:00Z"/>
        <d v="2017-08-08T00:00:00Z"/>
        <d v="2017-08-09T00:00:00Z"/>
        <d v="2017-08-10T00:00:00Z"/>
        <d v="2017-08-11T00:00:00Z"/>
        <d v="2017-08-14T00:00:00Z"/>
        <d v="2017-08-16T00:00:00Z"/>
        <d v="2017-08-17T00:00:00Z"/>
        <d v="2017-08-18T00:00:00Z"/>
        <d v="2017-08-21T00:00:00Z"/>
        <d v="2017-08-22T00:00:00Z"/>
        <d v="2017-08-23T00:00:00Z"/>
        <d v="2017-08-24T00:00:00Z"/>
        <d v="2017-08-28T00:00:00Z"/>
        <d v="2017-08-29T00:00:00Z"/>
        <d v="2017-08-30T00:00:00Z"/>
        <d v="2017-08-31T00:00:00Z"/>
        <d v="2017-09-01T00:00:00Z"/>
        <d v="2017-09-04T00:00:00Z"/>
        <d v="2017-09-05T00:00:00Z"/>
        <d v="2017-09-06T00:00:00Z"/>
        <d v="2017-09-07T00:00:00Z"/>
        <d v="2017-09-08T00:00:00Z"/>
        <d v="2017-09-11T00:00:00Z"/>
        <d v="2017-09-12T00:00:00Z"/>
        <d v="2017-09-13T00:00:00Z"/>
        <d v="2017-09-14T00:00:00Z"/>
        <d v="2017-09-15T00:00:00Z"/>
        <d v="2017-09-18T00:00:00Z"/>
        <d v="2017-09-19T00:00:00Z"/>
        <d v="2017-09-20T00:00:00Z"/>
        <d v="2017-09-21T00:00:00Z"/>
        <d v="2017-09-22T00:00:00Z"/>
        <d v="2017-09-25T00:00:00Z"/>
        <d v="2017-09-26T00:00:00Z"/>
        <d v="2017-09-27T00:00:00Z"/>
        <d v="2017-09-28T00:00:00Z"/>
        <d v="2017-09-29T00:00:00Z"/>
        <d v="2017-10-03T00:00:00Z"/>
        <d v="2017-10-04T00:00:00Z"/>
        <d v="2017-10-05T00:00:00Z"/>
        <d v="2017-10-06T00:00:00Z"/>
        <d v="2017-10-09T00:00:00Z"/>
        <d v="2017-10-10T00:00:00Z"/>
        <d v="2017-10-11T00:00:00Z"/>
        <d v="2017-10-12T00:00:00Z"/>
        <d v="2017-10-13T00:00:00Z"/>
        <d v="2017-10-16T00:00:00Z"/>
        <d v="2017-10-17T00:00:00Z"/>
        <d v="2017-10-18T00:00:00Z"/>
        <d v="2017-10-19T00:00:00Z"/>
        <d v="2017-10-23T00:00:00Z"/>
        <d v="2017-10-24T00:00:00Z"/>
        <d v="2017-10-25T00:00:00Z"/>
        <d v="2017-10-26T00:00:00Z"/>
        <d v="2017-10-27T00:00:00Z"/>
        <d v="2017-10-30T00:00:00Z"/>
        <d v="2017-10-31T00:00:00Z"/>
        <d v="2017-11-01T00:00:00Z"/>
        <d v="2017-11-02T00:00:00Z"/>
        <d v="2017-11-03T00:00:00Z"/>
        <d v="2017-11-06T00:00:00Z"/>
        <d v="2017-11-07T00:00:00Z"/>
        <d v="2017-11-08T00:00:00Z"/>
        <d v="2017-11-09T00:00:00Z"/>
        <d v="2017-11-10T00:00:00Z"/>
        <d v="2017-11-13T00:00:00Z"/>
        <d v="2017-11-14T00:00:00Z"/>
        <d v="2017-11-15T00:00:00Z"/>
        <d v="2017-11-16T00:00:00Z"/>
        <d v="2017-11-17T00:00:00Z"/>
        <d v="2017-11-20T00:00:00Z"/>
        <d v="2017-11-21T00:00:00Z"/>
        <d v="2017-11-22T00:00:00Z"/>
        <d v="2017-11-23T00:00:00Z"/>
        <d v="2017-11-24T00:00:00Z"/>
        <d v="2017-11-27T00:00:00Z"/>
        <d v="2017-11-28T00:00:00Z"/>
        <d v="2017-11-29T00:00:00Z"/>
        <d v="2017-11-30T00:00:00Z"/>
        <d v="2017-12-01T00:00:00Z"/>
        <d v="2017-12-04T00:00:00Z"/>
        <d v="2017-12-05T00:00:00Z"/>
        <d v="2017-12-06T00:00:00Z"/>
        <d v="2017-12-07T00:00:00Z"/>
        <d v="2017-12-08T00:00:00Z"/>
        <d v="2017-12-11T00:00:00Z"/>
        <d v="2017-12-12T00:00:00Z"/>
        <d v="2017-12-13T00:00:00Z"/>
        <d v="2017-12-14T00:00:00Z"/>
        <d v="2017-12-15T00:00:00Z"/>
        <d v="2017-12-18T00:00:00Z"/>
        <d v="2017-12-19T00:00:00Z"/>
        <d v="2017-12-20T00:00:00Z"/>
        <d v="2017-12-21T00:00:00Z"/>
        <d v="2017-12-22T00:00:00Z"/>
        <d v="2017-12-26T00:00:00Z"/>
        <d v="2017-12-27T00:00:00Z"/>
        <d v="2017-12-28T00:00:00Z"/>
        <d v="2017-12-29T00:00:00Z"/>
        <d v="2018-01-01T00:00:00Z"/>
        <d v="2018-01-02T00:00:00Z"/>
        <d v="2018-01-03T00:00:00Z"/>
        <d v="2018-01-04T00:00:00Z"/>
        <d v="2018-01-05T00:00:00Z"/>
        <d v="2018-01-08T00:00:00Z"/>
        <d v="2018-01-09T00:00:00Z"/>
        <d v="2018-01-10T00:00:00Z"/>
        <d v="2018-01-11T00:00:00Z"/>
        <d v="2018-01-12T00:00:00Z"/>
        <d v="2018-01-15T00:00:00Z"/>
        <d v="2018-01-16T00:00:00Z"/>
        <d v="2018-01-17T00:00:00Z"/>
        <d v="2018-01-18T00:00:00Z"/>
        <d v="2018-01-19T00:00:00Z"/>
        <d v="2018-01-22T00:00:00Z"/>
        <d v="2018-01-23T00:00:00Z"/>
        <d v="2018-01-24T00:00:00Z"/>
        <d v="2018-01-25T00:00:00Z"/>
        <d v="2018-01-29T00:00:00Z"/>
        <d v="2018-01-30T00:00:00Z"/>
        <d v="2018-01-31T00:00:00Z"/>
        <d v="2018-02-01T00:00:00Z"/>
        <d v="2018-02-02T00:00:00Z"/>
        <d v="2018-02-05T00:00:00Z"/>
        <d v="2018-02-06T00:00:00Z"/>
        <d v="2018-02-07T00:00:00Z"/>
        <d v="2018-02-08T00:00:00Z"/>
        <d v="2018-02-09T00:00:00Z"/>
        <d v="2018-02-12T00:00:00Z"/>
        <d v="2018-02-14T00:00:00Z"/>
        <d v="2018-02-15T00:00:00Z"/>
        <d v="2018-02-16T00:00:00Z"/>
        <d v="2018-02-19T00:00:00Z"/>
        <d v="2018-02-20T00:00:00Z"/>
        <d v="2018-02-21T00:00:00Z"/>
        <d v="2018-02-22T00:00:00Z"/>
        <d v="2018-02-23T00:00:00Z"/>
        <d v="2018-02-26T00:00:00Z"/>
        <d v="2018-02-27T00:00:00Z"/>
        <d v="2018-02-28T00:00:00Z"/>
        <d v="2018-03-01T00:00:00Z"/>
        <d v="2018-03-05T00:00:00Z"/>
        <d v="2018-03-06T00:00:00Z"/>
        <d v="2018-03-07T00:00:00Z"/>
        <d v="2018-03-08T00:00:00Z"/>
        <d v="2018-03-09T00:00:00Z"/>
        <d v="2018-03-12T00:00:00Z"/>
        <d v="2018-03-13T00:00:00Z"/>
        <d v="2018-03-14T00:00:00Z"/>
        <d v="2018-03-15T00:00:00Z"/>
        <d v="2018-03-16T00:00:00Z"/>
        <d v="2018-03-19T00:00:00Z"/>
        <d v="2018-03-20T00:00:00Z"/>
        <d v="2018-03-21T00:00:00Z"/>
        <d v="2018-03-22T00:00:00Z"/>
        <d v="2018-03-23T00:00:00Z"/>
        <d v="2018-03-26T00:00:00Z"/>
        <d v="2018-03-27T00:00:00Z"/>
        <d v="2018-03-28T00:00:00Z"/>
        <d v="2018-04-02T00:00:00Z"/>
        <d v="2018-04-03T00:00:00Z"/>
        <d v="2018-04-04T00:00:00Z"/>
        <d v="2018-04-05T00:00:00Z"/>
        <d v="2018-04-06T00:00:00Z"/>
        <d v="2018-04-09T00:00:00Z"/>
        <d v="2018-04-10T00:00:00Z"/>
        <d v="2018-04-11T00:00:00Z"/>
        <d v="2018-04-12T00:00:00Z"/>
        <d v="2018-04-13T00:00:00Z"/>
        <d v="2018-04-16T00:00:00Z"/>
        <d v="2018-04-17T00:00:00Z"/>
        <d v="2018-04-18T00:00:00Z"/>
        <d v="2018-04-19T00:00:00Z"/>
        <d v="2018-04-20T00:00:00Z"/>
        <d v="2018-04-23T00:00:00Z"/>
        <d v="2018-04-24T00:00:00Z"/>
        <d v="2018-04-25T00:00:00Z"/>
        <d v="2018-04-26T00:00:00Z"/>
        <d v="2018-04-27T00:00:00Z"/>
        <d v="2018-04-30T00:00:00Z"/>
        <d v="2018-05-02T00:00:00Z"/>
        <d v="2018-05-03T00:00:00Z"/>
        <d v="2018-05-04T00:00:00Z"/>
        <d v="2018-05-07T00:00:00Z"/>
        <d v="2018-05-08T00:00:00Z"/>
        <d v="2018-05-09T00:00:00Z"/>
        <d v="2018-05-10T00:00:00Z"/>
        <d v="2018-05-11T00:00:00Z"/>
        <d v="2018-05-14T00:00:00Z"/>
        <d v="2018-05-15T00:00:00Z"/>
        <d v="2018-05-16T00:00:00Z"/>
        <d v="2018-05-17T00:00:00Z"/>
        <d v="2018-05-18T00:00:00Z"/>
        <d v="2018-05-21T00:00:00Z"/>
        <d v="2018-05-22T00:00:00Z"/>
        <d v="2018-05-23T00:00:00Z"/>
        <d v="2018-05-24T00:00:00Z"/>
        <d v="2018-05-25T00:00:00Z"/>
        <d v="2018-05-28T00:00:00Z"/>
        <d v="2018-05-29T00:00:00Z"/>
        <d v="2018-05-30T00:00:00Z"/>
        <d v="2018-05-31T00:00:00Z"/>
        <d v="2018-06-01T00:00:00Z"/>
        <d v="2018-06-04T00:00:00Z"/>
        <d v="2018-06-05T00:00:00Z"/>
        <d v="2018-06-06T00:00:00Z"/>
        <d v="2018-06-07T00:00:00Z"/>
        <d v="2018-06-08T00:00:00Z"/>
        <d v="2018-06-11T00:00:00Z"/>
        <d v="2018-06-12T00:00:00Z"/>
        <d v="2018-06-13T00:00:00Z"/>
        <d v="2018-06-14T00:00:00Z"/>
        <d v="2018-06-15T00:00:00Z"/>
        <d v="2018-06-18T00:00:00Z"/>
        <d v="2018-06-19T00:00:00Z"/>
        <d v="2018-06-20T00:00:00Z"/>
        <d v="2018-06-21T00:00:00Z"/>
        <d v="2018-06-22T00:00:00Z"/>
        <d v="2018-06-25T00:00:00Z"/>
        <d v="2018-06-26T00:00:00Z"/>
        <d v="2018-06-27T00:00:00Z"/>
        <d v="2018-06-28T00:00:00Z"/>
        <d v="2018-06-29T00:00:00Z"/>
        <d v="2018-07-02T00:00:00Z"/>
        <d v="2018-07-03T00:00:00Z"/>
        <d v="2018-07-04T00:00:00Z"/>
        <d v="2018-07-05T00:00:00Z"/>
        <d v="2018-07-06T00:00:00Z"/>
        <d v="2018-07-09T00:00:00Z"/>
        <d v="2018-07-10T00:00:00Z"/>
        <d v="2018-07-11T00:00:00Z"/>
        <d v="2018-07-12T00:00:00Z"/>
        <d v="2018-07-13T00:00:00Z"/>
        <d v="2018-07-16T00:00:00Z"/>
        <d v="2018-07-17T00:00:00Z"/>
        <d v="2018-07-18T00:00:00Z"/>
        <d v="2018-07-19T00:00:00Z"/>
        <d v="2018-07-20T00:00:00Z"/>
        <d v="2018-07-23T00:00:00Z"/>
        <d v="2018-07-24T00:00:00Z"/>
        <d v="2018-07-25T00:00:00Z"/>
        <d v="2018-07-26T00:00:00Z"/>
        <d v="2018-07-27T00:00:00Z"/>
        <d v="2018-07-30T00:00:00Z"/>
        <d v="2018-07-31T00:00:00Z"/>
        <d v="2018-08-01T00:00:00Z"/>
        <d v="2018-08-02T00:00:00Z"/>
        <d v="2018-08-03T00:00:00Z"/>
        <d v="2018-08-06T00:00:00Z"/>
        <d v="2018-08-07T00:00:00Z"/>
        <d v="2018-08-08T00:00:00Z"/>
        <d v="2018-08-09T00:00:00Z"/>
        <d v="2018-08-10T00:00:00Z"/>
        <d v="2018-08-13T00:00:00Z"/>
        <d v="2018-08-14T00:00:00Z"/>
        <d v="2018-08-16T00:00:00Z"/>
        <d v="2018-08-17T00:00:00Z"/>
        <d v="2018-08-20T00:00:00Z"/>
        <d v="2018-08-21T00:00:00Z"/>
        <d v="2018-08-23T00:00:00Z"/>
        <d v="2018-08-24T00:00:00Z"/>
        <d v="2018-08-27T00:00:00Z"/>
        <d v="2018-08-28T00:00:00Z"/>
        <d v="2018-08-29T00:00:00Z"/>
        <d v="2018-08-30T00:00:00Z"/>
        <d v="2018-08-31T00:00:00Z"/>
        <d v="2018-09-03T00:00:00Z"/>
        <d v="2018-09-04T00:00:00Z"/>
        <d v="2018-09-05T00:00:00Z"/>
        <d v="2018-09-06T00:00:00Z"/>
        <d v="2018-09-07T00:00:00Z"/>
        <d v="2018-09-10T00:00:00Z"/>
        <d v="2018-09-11T00:00:00Z"/>
        <d v="2018-09-12T00:00:00Z"/>
        <d v="2018-09-14T00:00:00Z"/>
        <d v="2018-09-17T00:00:00Z"/>
        <d v="2018-09-18T00:00:00Z"/>
        <d v="2018-09-19T00:00:00Z"/>
        <d v="2018-09-21T00:00:00Z"/>
        <d v="2018-09-24T00:00:00Z"/>
        <d v="2018-09-25T00:00:00Z"/>
        <d v="2018-09-26T00:00:00Z"/>
        <d v="2018-09-27T00:00:00Z"/>
        <d v="2018-09-28T00:00:00Z"/>
        <d v="2018-10-01T00:00:00Z"/>
        <d v="2018-10-03T00:00:00Z"/>
        <d v="2018-10-04T00:00:00Z"/>
        <d v="2018-10-05T00:00:00Z"/>
        <d v="2018-10-08T00:00:00Z"/>
        <d v="2018-10-09T00:00:00Z"/>
        <d v="2018-10-10T00:00:00Z"/>
        <d v="2018-10-11T00:00:00Z"/>
        <d v="2018-10-12T00:00:00Z"/>
        <d v="2018-10-15T00:00:00Z"/>
        <d v="2018-10-16T00:00:00Z"/>
        <d v="2018-10-17T00:00:00Z"/>
        <d v="2018-10-19T00:00:00Z"/>
        <d v="2018-10-22T00:00:00Z"/>
        <d v="2018-10-23T00:00:00Z"/>
        <d v="2018-10-24T00:00:00Z"/>
        <d v="2018-10-25T00:00:00Z"/>
        <d v="2018-10-26T00:00:00Z"/>
        <d v="2018-10-29T00:00:00Z"/>
        <d v="2018-10-30T00:00:00Z"/>
        <d v="2018-10-31T00:00:00Z"/>
        <d v="2018-11-01T00:00:00Z"/>
        <d v="2018-11-02T00:00:00Z"/>
        <d v="2018-11-05T00:00:00Z"/>
        <d v="2018-11-06T00:00:00Z"/>
        <d v="2018-11-07T00:00:00Z"/>
        <d v="2018-11-09T00:00:00Z"/>
        <d v="2018-11-12T00:00:00Z"/>
        <d v="2018-11-13T00:00:00Z"/>
        <d v="2018-11-14T00:00:00Z"/>
        <d v="2018-11-15T00:00:00Z"/>
        <d v="2018-11-16T00:00:00Z"/>
        <d v="2018-11-19T00:00:00Z"/>
        <d v="2018-11-20T00:00:00Z"/>
        <d v="2018-11-21T00:00:00Z"/>
        <d v="2018-11-22T00:00:00Z"/>
        <d v="2018-11-26T00:00:00Z"/>
        <d v="2018-11-27T00:00:00Z"/>
        <d v="2018-11-28T00:00:00Z"/>
        <d v="2018-11-29T00:00:00Z"/>
        <d v="2018-11-30T00:00:00Z"/>
        <d v="2018-12-03T00:00:00Z"/>
        <d v="2018-12-04T00:00:00Z"/>
        <d v="2018-12-05T00:00:00Z"/>
        <d v="2018-12-06T00:00:00Z"/>
        <d v="2018-12-07T00:00:00Z"/>
        <d v="2018-12-10T00:00:00Z"/>
        <d v="2018-12-11T00:00:00Z"/>
        <d v="2018-12-12T00:00:00Z"/>
        <d v="2018-12-13T00:00:00Z"/>
        <d v="2018-12-14T00:00:00Z"/>
        <d v="2018-12-17T00:00:00Z"/>
        <d v="2018-12-18T00:00:00Z"/>
        <d v="2018-12-19T00:00:00Z"/>
        <d v="2018-12-20T00:00:00Z"/>
        <d v="2018-12-21T00:00:00Z"/>
        <d v="2018-12-24T00:00:00Z"/>
        <d v="2018-12-26T00:00:00Z"/>
        <d v="2018-12-27T00:00:00Z"/>
        <d v="2018-12-28T00:00:00Z"/>
        <d v="2018-12-31T00:00:00Z"/>
        <d v="2019-01-01T00:00:00Z"/>
        <d v="2019-01-02T00:00:00Z"/>
        <d v="2019-01-03T00:00:00Z"/>
        <d v="2019-01-04T00:00:00Z"/>
        <d v="2019-01-07T00:00:00Z"/>
        <d v="2019-01-08T00:00:00Z"/>
        <d v="2019-01-09T00:00:00Z"/>
        <d v="2019-01-10T00:00:00Z"/>
        <d v="2019-01-11T00:00:00Z"/>
        <d v="2019-01-14T00:00:00Z"/>
        <d v="2019-01-15T00:00:00Z"/>
        <d v="2019-01-16T00:00:00Z"/>
        <d v="2019-01-17T00:00:00Z"/>
        <d v="2019-01-18T00:00:00Z"/>
        <d v="2019-01-21T00:00:00Z"/>
        <d v="2019-01-22T00:00:00Z"/>
        <d v="2019-01-23T00:00:00Z"/>
        <d v="2019-01-24T00:00:00Z"/>
        <d v="2019-01-25T00:00:00Z"/>
        <d v="2019-01-28T00:00:00Z"/>
        <d v="2019-01-29T00:00:00Z"/>
        <d v="2019-01-30T00:00:00Z"/>
        <d v="2019-01-31T00:00:00Z"/>
        <d v="2019-02-01T00:00:00Z"/>
        <d v="2019-02-04T00:00:00Z"/>
        <d v="2019-02-05T00:00:00Z"/>
        <d v="2019-02-06T00:00:00Z"/>
        <d v="2019-02-07T00:00:00Z"/>
        <d v="2019-02-08T00:00:00Z"/>
        <d v="2019-02-11T00:00:00Z"/>
        <d v="2019-02-12T00:00:00Z"/>
        <d v="2019-02-13T00:00:00Z"/>
        <d v="2019-02-14T00:00:00Z"/>
        <d v="2019-02-15T00:00:00Z"/>
        <d v="2019-02-18T00:00:00Z"/>
        <d v="2019-02-19T00:00:00Z"/>
        <d v="2019-02-20T00:00:00Z"/>
        <d v="2019-02-21T00:00:00Z"/>
        <d v="2019-02-22T00:00:00Z"/>
        <d v="2019-02-25T00:00:00Z"/>
        <d v="2019-02-26T00:00:00Z"/>
        <d v="2019-02-27T00:00:00Z"/>
        <d v="2019-02-28T00:00:00Z"/>
        <d v="2019-03-01T00:00:00Z"/>
        <d v="2019-03-05T00:00:00Z"/>
        <d v="2019-03-06T00:00:00Z"/>
        <d v="2019-03-07T00:00:00Z"/>
        <d v="2019-03-08T00:00:00Z"/>
        <d v="2019-03-11T00:00:00Z"/>
        <d v="2019-03-12T00:00:00Z"/>
        <d v="2019-03-13T00:00:00Z"/>
        <d v="2019-03-14T00:00:00Z"/>
        <d v="2019-03-15T00:00:00Z"/>
        <d v="2019-03-18T00:00:00Z"/>
        <d v="2019-03-19T00:00:00Z"/>
        <d v="2019-03-20T00:00:00Z"/>
        <d v="2019-03-22T00:00:00Z"/>
        <d v="2019-03-25T00:00:00Z"/>
        <d v="2019-03-26T00:00:00Z"/>
        <d v="2019-03-27T00:00:00Z"/>
        <d v="2019-03-28T00:00:00Z"/>
        <d v="2019-03-29T00:00:00Z"/>
        <d v="2019-04-01T00:00:00Z"/>
        <d v="2019-04-02T00:00:00Z"/>
        <d v="2019-04-03T00:00:00Z"/>
        <d v="2019-04-04T00:00:00Z"/>
        <d v="2019-04-05T00:00:00Z"/>
        <d v="2019-04-08T00:00:00Z"/>
        <d v="2019-04-09T00:00:00Z"/>
        <d v="2019-04-10T00:00:00Z"/>
        <d v="2019-04-11T00:00:00Z"/>
        <d v="2019-04-12T00:00:00Z"/>
        <d v="2019-04-15T00:00:00Z"/>
        <d v="2019-04-16T00:00:00Z"/>
        <d v="2019-04-18T00:00:00Z"/>
        <d v="2019-04-22T00:00:00Z"/>
        <d v="2019-04-23T00:00:00Z"/>
        <d v="2019-04-24T00:00:00Z"/>
        <d v="2019-04-25T00:00:00Z"/>
        <d v="2019-04-26T00:00:00Z"/>
        <d v="2019-04-30T00:00:00Z"/>
        <d v="2019-05-02T00:00:00Z"/>
        <d v="2019-05-03T00:00:00Z"/>
        <d v="2019-05-06T00:00:00Z"/>
        <d v="2019-05-07T00:00:00Z"/>
        <d v="2019-05-08T00:00:00Z"/>
        <d v="2019-05-09T00:00:00Z"/>
        <d v="2019-05-10T00:00:00Z"/>
        <d v="2019-05-13T00:00:00Z"/>
        <d v="2019-05-14T00:00:00Z"/>
        <d v="2019-05-15T00:00:00Z"/>
        <d v="2019-05-16T00:00:00Z"/>
        <d v="2019-05-17T00:00:00Z"/>
        <d v="2019-05-20T00:00:00Z"/>
        <d v="2019-05-21T00:00:00Z"/>
        <d v="2019-05-22T00:00:00Z"/>
        <d v="2019-05-23T00:00:00Z"/>
        <d v="2019-05-24T00:00:00Z"/>
        <d v="2019-05-27T00:00:00Z"/>
        <d v="2019-05-28T00:00:00Z"/>
        <d v="2019-05-29T00:00:00Z"/>
        <d v="2019-05-30T00:00:00Z"/>
        <d v="2019-05-31T00:00:00Z"/>
        <d v="2019-06-03T00:00:00Z"/>
        <d v="2019-06-04T00:00:00Z"/>
        <d v="2019-06-06T00:00:00Z"/>
        <d v="2019-06-07T00:00:00Z"/>
        <d v="2019-06-10T00:00:00Z"/>
        <d v="2019-06-11T00:00:00Z"/>
        <d v="2019-06-12T00:00:00Z"/>
        <d v="2019-06-13T00:00:00Z"/>
        <d v="2019-06-14T00:00:00Z"/>
        <d v="2019-06-17T00:00:00Z"/>
        <d v="2019-06-18T00:00:00Z"/>
        <d v="2019-06-19T00:00:00Z"/>
        <d v="2019-06-20T00:00:00Z"/>
        <d v="2019-06-21T00:00:00Z"/>
        <d v="2019-06-24T00:00:00Z"/>
        <d v="2019-06-25T00:00:00Z"/>
        <d v="2019-06-26T00:00:00Z"/>
        <d v="2019-06-27T00:00:00Z"/>
        <d v="2019-06-28T00:00:00Z"/>
        <d v="2019-07-01T00:00:00Z"/>
        <d v="2019-07-02T00:00:00Z"/>
        <d v="2019-07-03T00:00:00Z"/>
        <d v="2019-07-04T00:00:00Z"/>
        <d v="2019-07-05T00:00:00Z"/>
        <d v="2019-07-08T00:00:00Z"/>
        <d v="2019-07-09T00:00:00Z"/>
        <d v="2019-07-10T00:00:00Z"/>
        <d v="2019-07-11T00:00:00Z"/>
        <d v="2019-07-12T00:00:00Z"/>
        <d v="2019-07-15T00:00:00Z"/>
        <d v="2019-07-16T00:00:00Z"/>
        <d v="2019-07-17T00:00:00Z"/>
        <d v="2019-07-18T00:00:00Z"/>
        <d v="2019-07-19T00:00:00Z"/>
        <d v="2019-07-22T00:00:00Z"/>
        <d v="2019-07-23T00:00:00Z"/>
        <d v="2019-07-24T00:00:00Z"/>
        <d v="2019-07-25T00:00:00Z"/>
        <d v="2019-07-26T00:00:00Z"/>
        <d v="2019-07-29T00:00:00Z"/>
        <d v="2019-07-30T00:00:00Z"/>
        <d v="2019-07-31T00:00:00Z"/>
        <d v="2019-08-01T00:00:00Z"/>
        <d v="2019-08-02T00:00:00Z"/>
        <d v="2019-08-05T00:00:00Z"/>
        <d v="2019-08-06T00:00:00Z"/>
        <d v="2019-08-07T00:00:00Z"/>
        <d v="2019-08-08T00:00:00Z"/>
        <d v="2019-08-09T00:00:00Z"/>
        <d v="2019-08-13T00:00:00Z"/>
        <d v="2019-08-14T00:00:00Z"/>
        <d v="2019-08-16T00:00:00Z"/>
        <d v="2019-08-19T00:00:00Z"/>
        <d v="2019-08-20T00:00:00Z"/>
        <d v="2019-08-21T00:00:00Z"/>
        <d v="2019-08-22T00:00:00Z"/>
        <d v="2019-08-23T00:00:00Z"/>
        <d v="2019-08-26T00:00:00Z"/>
        <d v="2019-08-27T00:00:00Z"/>
        <d v="2019-08-28T00:00:00Z"/>
        <d v="2019-08-29T00:00:00Z"/>
        <d v="2019-08-30T00:00:00Z"/>
        <d v="2019-09-03T00:00:00Z"/>
        <d v="2019-09-04T00:00:00Z"/>
        <d v="2019-09-05T00:00:00Z"/>
        <d v="2019-09-06T00:00:00Z"/>
        <d v="2019-09-09T00:00:00Z"/>
        <d v="2019-09-11T00:00:00Z"/>
        <d v="2019-09-12T00:00:00Z"/>
        <d v="2019-09-13T00:00:00Z"/>
        <d v="2019-09-16T00:00:00Z"/>
        <d v="2019-09-17T00:00:00Z"/>
        <d v="2019-09-18T00:00:00Z"/>
        <d v="2019-09-19T00:00:00Z"/>
        <d v="2019-09-20T00:00:00Z"/>
        <d v="2019-09-23T00:00:00Z"/>
        <d v="2019-09-24T00:00:00Z"/>
        <d v="2019-09-25T00:00:00Z"/>
        <d v="2019-09-26T00:00:00Z"/>
        <d v="2019-09-27T00:00:00Z"/>
        <d v="2019-09-30T00:00:00Z"/>
        <d v="2019-10-01T00:00:00Z"/>
        <d v="2019-10-03T00:00:00Z"/>
        <d v="2019-10-04T00:00:00Z"/>
        <d v="2019-10-07T00:00:00Z"/>
        <d v="2019-10-09T00:00:00Z"/>
        <d v="2019-10-10T00:00:00Z"/>
        <d v="2019-10-11T00:00:00Z"/>
        <d v="2019-10-14T00:00:00Z"/>
        <d v="2019-10-15T00:00:00Z"/>
        <d v="2019-10-16T00:00:00Z"/>
        <d v="2019-10-17T00:00:00Z"/>
        <d v="2019-10-18T00:00:00Z"/>
        <d v="2019-10-22T00:00:00Z"/>
        <d v="2019-10-23T00:00:00Z"/>
        <d v="2019-10-24T00:00:00Z"/>
        <d v="2019-10-25T00:00:00Z"/>
        <d v="2019-10-27T00:00:00Z"/>
        <d v="2019-10-29T00:00:00Z"/>
        <d v="2019-10-30T00:00:00Z"/>
        <d v="2019-10-31T00:00:00Z"/>
        <d v="2019-11-01T00:00:00Z"/>
        <d v="2019-11-04T00:00:00Z"/>
        <d v="2019-11-05T00:00:00Z"/>
        <d v="2019-11-06T00:00:00Z"/>
        <d v="2019-11-07T00:00:00Z"/>
        <d v="2019-11-08T00:00:00Z"/>
        <d v="2019-11-11T00:00:00Z"/>
        <d v="2019-11-13T00:00:00Z"/>
        <d v="2019-11-14T00:00:00Z"/>
        <d v="2019-11-15T00:00:00Z"/>
        <d v="2019-11-18T00:00:00Z"/>
        <d v="2019-11-19T00:00:00Z"/>
        <d v="2019-11-20T00:00:00Z"/>
        <d v="2019-11-21T00:00:00Z"/>
        <d v="2019-11-22T00:00:00Z"/>
        <d v="2019-11-25T00:00:00Z"/>
        <d v="2019-11-26T00:00:00Z"/>
        <d v="2019-11-27T00:00:00Z"/>
        <d v="2019-11-28T00:00:00Z"/>
        <d v="2019-11-29T00:00:00Z"/>
        <d v="2019-12-02T00:00:00Z"/>
        <d v="2019-12-03T00:00:00Z"/>
        <d v="2019-12-04T00:00:00Z"/>
        <d v="2019-12-05T00:00:00Z"/>
        <d v="2019-12-06T00:00:00Z"/>
        <d v="2019-12-09T00:00:00Z"/>
        <d v="2019-12-10T00:00:00Z"/>
        <d v="2019-12-11T00:00:00Z"/>
        <d v="2019-12-12T00:00:00Z"/>
        <d v="2019-12-13T00:00:00Z"/>
        <d v="2019-12-16T00:00:00Z"/>
        <d v="2019-12-17T00:00:00Z"/>
        <d v="2019-12-18T00:00:00Z"/>
        <d v="2019-12-19T00:00:00Z"/>
        <d v="2019-12-20T00:00:00Z"/>
        <d v="2019-12-23T00:00:00Z"/>
        <d v="2019-12-24T00:00:00Z"/>
        <d v="2019-12-26T00:00:00Z"/>
        <d v="2019-12-27T00:00:00Z"/>
        <d v="2019-12-30T00:00:00Z"/>
        <d v="2019-12-31T00:00:00Z"/>
        <d v="2020-01-01T00:00:00Z"/>
        <d v="2020-01-02T00:00:00Z"/>
        <d v="2020-01-03T00:00:00Z"/>
        <d v="2020-01-06T00:00:00Z"/>
        <d v="2020-01-07T00:00:00Z"/>
        <d v="2020-01-08T00:00:00Z"/>
        <d v="2020-01-09T00:00:00Z"/>
        <d v="2020-01-10T00:00:00Z"/>
        <d v="2020-01-13T00:00:00Z"/>
        <d v="2020-01-14T00:00:00Z"/>
        <d v="2020-01-15T00:00:00Z"/>
        <d v="2020-01-16T00:00:00Z"/>
        <d v="2020-01-17T00:00:00Z"/>
        <d v="2020-01-20T00:00:00Z"/>
        <d v="2020-01-21T00:00:00Z"/>
        <d v="2020-01-22T00:00:00Z"/>
        <d v="2020-01-23T00:00:00Z"/>
        <d v="2020-01-24T00:00:00Z"/>
        <d v="2020-01-27T00:00:00Z"/>
        <d v="2020-01-28T00:00:00Z"/>
        <d v="2020-01-29T00:00:00Z"/>
        <d v="2020-01-30T00:00:00Z"/>
        <d v="2020-01-31T00:00:00Z"/>
        <d v="2020-02-01T00:00:00Z"/>
        <d v="2020-02-03T00:00:00Z"/>
        <d v="2020-02-04T00:00:00Z"/>
        <d v="2020-02-05T00:00:00Z"/>
        <d v="2020-02-06T00:00:00Z"/>
        <d v="2020-02-07T00:00:00Z"/>
        <d v="2020-02-10T00:00:00Z"/>
        <d v="2020-02-11T00:00:00Z"/>
        <d v="2020-02-12T00:00:00Z"/>
        <d v="2020-02-13T00:00:00Z"/>
        <d v="2020-02-14T00:00:00Z"/>
        <d v="2020-02-17T00:00:00Z"/>
        <d v="2020-02-18T00:00:00Z"/>
        <d v="2020-02-19T00:00:00Z"/>
        <d v="2020-02-20T00:00:00Z"/>
        <d v="2020-02-24T00:00:00Z"/>
        <d v="2020-02-25T00:00:00Z"/>
        <d v="2020-02-26T00:00:00Z"/>
        <d v="2020-02-27T00:00:00Z"/>
        <d v="2020-02-28T00:00:00Z"/>
        <d v="2020-03-02T00:00:00Z"/>
        <d v="2020-03-03T00:00:00Z"/>
        <d v="2020-03-04T00:00:00Z"/>
        <d v="2020-03-05T00:00:00Z"/>
        <d v="2020-03-06T00:00:00Z"/>
        <d v="2020-03-09T00:00:00Z"/>
        <d v="2020-03-11T00:00:00Z"/>
        <d v="2020-03-12T00:00:00Z"/>
        <d v="2020-03-13T00:00:00Z"/>
        <d v="2020-03-16T00:00:00Z"/>
        <d v="2020-03-17T00:00:00Z"/>
        <d v="2020-03-18T00:00:00Z"/>
        <d v="2020-03-19T00:00:00Z"/>
        <d v="2020-03-20T00:00:00Z"/>
        <d v="2020-03-23T00:00:00Z"/>
        <d v="2020-03-24T00:00:00Z"/>
        <d v="2020-03-25T00:00:00Z"/>
        <d v="2020-03-26T00:00:00Z"/>
        <d v="2020-03-27T00:00:00Z"/>
        <d v="2020-03-30T00:00:00Z"/>
        <d v="2020-03-31T00:00:00Z"/>
        <d v="2020-04-01T00:00:00Z"/>
        <d v="2020-04-03T00:00:00Z"/>
        <d v="2020-04-07T00:00:00Z"/>
        <d v="2020-04-08T00:00:00Z"/>
        <d v="2020-04-09T00:00:00Z"/>
        <d v="2020-04-13T00:00:00Z"/>
        <d v="2020-04-15T00:00:00Z"/>
        <d v="2020-04-16T00:00:00Z"/>
        <d v="2020-04-17T00:00:00Z"/>
        <d v="2020-04-20T00:00:00Z"/>
        <d v="2020-04-21T00:00:00Z"/>
        <d v="2020-04-22T00:00:00Z"/>
        <d v="2020-04-23T00:00:00Z"/>
        <d v="2020-04-24T00:00:00Z"/>
        <d v="2020-04-27T00:00:00Z"/>
        <d v="2020-04-28T00:00:00Z"/>
        <d v="2020-04-29T00:00:00Z"/>
        <d v="2020-04-30T00:00:00Z"/>
        <d v="2020-05-04T00:00:00Z"/>
        <d v="2020-05-05T00:00:00Z"/>
        <d v="2020-05-06T00:00:00Z"/>
        <d v="2020-05-07T00:00:00Z"/>
        <d v="2020-05-08T00:00:00Z"/>
        <d v="2020-05-11T00:00:00Z"/>
        <d v="2020-05-12T00:00:00Z"/>
        <d v="2020-05-13T00:00:00Z"/>
        <d v="2020-05-14T00:00:00Z"/>
        <d v="2020-05-15T00:00:00Z"/>
        <d v="2020-05-18T00:00:00Z"/>
        <d v="2020-05-19T00:00:00Z"/>
        <d v="2020-05-20T00:00:00Z"/>
        <d v="2020-05-21T00:00:00Z"/>
        <d v="2020-05-22T00:00:00Z"/>
        <d v="2020-05-26T00:00:00Z"/>
        <d v="2020-05-27T00:00:00Z"/>
        <d v="2020-05-28T00:00:00Z"/>
        <d v="2020-05-29T00:00:00Z"/>
        <d v="2020-06-01T00:00:00Z"/>
        <d v="2020-06-02T00:00:00Z"/>
        <d v="2020-06-03T00:00:00Z"/>
        <d v="2020-06-04T00:00:00Z"/>
        <d v="2020-06-05T00:00:00Z"/>
        <d v="2020-06-08T00:00:00Z"/>
        <d v="2020-06-09T00:00:00Z"/>
        <d v="2020-06-10T00:00:00Z"/>
        <d v="2020-06-11T00:00:00Z"/>
        <d v="2020-06-12T00:00:00Z"/>
        <d v="2020-06-15T00:00:00Z"/>
        <d v="2020-06-16T00:00:00Z"/>
        <d v="2020-06-17T00:00:00Z"/>
        <d v="2020-06-18T00:00:00Z"/>
        <d v="2020-06-19T00:00:00Z"/>
        <d v="2020-06-22T00:00:00Z"/>
        <d v="2020-06-23T00:00:00Z"/>
        <d v="2020-06-24T00:00:00Z"/>
        <d v="2020-06-25T00:00:00Z"/>
        <d v="2020-06-26T00:00:00Z"/>
        <d v="2020-06-29T00:00:00Z"/>
        <d v="2020-06-30T00:00:00Z"/>
        <d v="2020-07-01T00:00:00Z"/>
        <d v="2020-07-02T00:00:00Z"/>
        <d v="2020-07-03T00:00:00Z"/>
        <d v="2020-07-06T00:00:00Z"/>
        <d v="2020-07-07T00:00:00Z"/>
        <d v="2020-07-08T00:00:00Z"/>
        <d v="2020-07-09T00:00:00Z"/>
        <d v="2020-07-10T00:00:00Z"/>
        <d v="2020-07-13T00:00:00Z"/>
        <d v="2020-07-14T00:00:00Z"/>
        <d v="2020-07-21T00:00:00Z"/>
        <d v="2020-07-22T00:00:00Z"/>
        <d v="2020-07-23T00:00:00Z"/>
        <d v="2020-07-24T00:00:00Z"/>
        <d v="2020-07-27T00:00:00Z"/>
        <d v="2020-07-28T00:00:00Z"/>
        <d v="2020-07-29T00:00:00Z"/>
        <d v="2020-07-30T00:00:00Z"/>
        <d v="2020-07-31T00:00:00Z"/>
        <d v="2020-08-03T00:00:00Z"/>
        <d v="2020-08-04T00:00:00Z"/>
        <d v="2020-08-05T00:00:00Z"/>
        <d v="2020-08-06T00:00:00Z"/>
        <d v="2020-08-07T00:00:00Z"/>
        <d v="2020-08-10T00:00:00Z"/>
        <d v="2020-08-11T00:00:00Z"/>
        <d v="2020-08-12T00:00:00Z"/>
        <d v="2020-08-13T00:00:00Z"/>
        <d v="2020-08-14T00:00:00Z"/>
        <d v="2020-08-17T00:00:00Z"/>
        <d v="2020-08-18T00:00:00Z"/>
        <d v="2020-08-19T00:00:00Z"/>
        <d v="2020-08-20T00:00:00Z"/>
        <d v="2020-08-21T00:00:00Z"/>
        <d v="2020-08-24T00:00:00Z"/>
        <d v="2020-08-25T00:00:00Z"/>
        <d v="2020-08-26T00:00:00Z"/>
        <d v="2020-08-27T00:00:00Z"/>
        <d v="2020-08-28T00:00:00Z"/>
        <d v="2020-08-31T00:00:00Z"/>
        <d v="2020-09-01T00:00:00Z"/>
        <d v="2020-09-02T00:00:00Z"/>
        <d v="2020-09-03T00:00:00Z"/>
        <d v="2020-09-04T00:00:00Z"/>
        <d v="2020-09-07T00:00:00Z"/>
        <d v="2020-09-08T00:00:00Z"/>
        <d v="2020-09-09T00:00:00Z"/>
        <d v="2020-09-10T00:00:00Z"/>
        <d v="2020-09-11T00:00:00Z"/>
        <d v="2020-09-14T00:00:00Z"/>
        <d v="2020-09-15T00:00:00Z"/>
        <d v="2020-09-16T00:00:00Z"/>
        <d v="2020-09-17T00:00:00Z"/>
        <d v="2020-09-18T00:00:00Z"/>
        <d v="2020-09-21T00:00:00Z"/>
        <d v="2020-09-22T00:00:00Z"/>
        <d v="2020-09-23T00:00:00Z"/>
        <d v="2020-09-24T00:00:00Z"/>
        <d v="2020-09-25T00:00:00Z"/>
        <d v="2020-09-28T00:00:00Z"/>
        <d v="2020-09-29T00:00:00Z"/>
        <d v="2020-09-30T00:00:00Z"/>
        <d v="2020-10-01T00:00:00Z"/>
        <d v="2020-10-05T00:00:00Z"/>
        <d v="2020-10-06T00:00:00Z"/>
        <d v="2020-10-07T00:00:00Z"/>
        <d v="2020-10-08T00:00:00Z"/>
        <d v="2020-10-09T00:00:00Z"/>
        <d v="2020-10-12T00:00:00Z"/>
        <d v="2020-10-13T00:00:00Z"/>
        <d v="2020-10-14T00:00:00Z"/>
        <d v="2020-10-15T00:00:00Z"/>
        <d v="2020-10-16T00:00:00Z"/>
        <d v="2020-10-19T00:00:00Z"/>
        <d v="2020-10-20T00:00:00Z"/>
        <d v="2020-10-21T00:00:00Z"/>
        <d v="2020-10-22T00:00:00Z"/>
        <d v="2020-10-23T00:00:00Z"/>
        <d v="2020-10-26T00:00:00Z"/>
        <d v="2020-10-27T00:00:00Z"/>
        <d v="2020-10-28T00:00:00Z"/>
        <d v="2020-10-29T00:00:00Z"/>
        <d v="2020-10-30T00:00:00Z"/>
        <d v="2020-11-02T00:00:00Z"/>
        <d v="2020-11-03T00:00:00Z"/>
        <d v="2020-11-04T00:00:00Z"/>
        <d v="2020-11-05T00:00:00Z"/>
        <d v="2020-11-06T00:00:00Z"/>
        <d v="2020-11-09T00:00:00Z"/>
        <d v="2020-11-10T00:00:00Z"/>
        <d v="2020-11-11T00:00:00Z"/>
        <d v="2020-11-12T00:00:00Z"/>
        <d v="2020-11-13T00:00:00Z"/>
        <d v="2020-11-14T00:00:00Z"/>
        <d v="2020-11-17T00:00:00Z"/>
        <d v="2020-11-18T00:00:00Z"/>
        <d v="2020-11-19T00:00:00Z"/>
        <d v="2020-11-20T00:00:00Z"/>
        <d v="2020-11-23T00:00:00Z"/>
        <d v="2020-11-24T00:00:00Z"/>
        <d v="2020-11-25T00:00:00Z"/>
        <d v="2020-11-26T00:00:00Z"/>
        <d v="2020-11-27T00:00:00Z"/>
        <d v="2020-12-01T00:00:00Z"/>
        <d v="2020-12-02T00:00:00Z"/>
        <d v="2020-12-03T00:00:00Z"/>
        <d v="2020-12-04T00:00:00Z"/>
        <d v="2020-12-07T00:00:00Z"/>
        <d v="2020-12-08T00:00:00Z"/>
        <d v="2020-12-09T00:00:00Z"/>
        <d v="2020-12-10T00:00:00Z"/>
        <d v="2020-12-11T00:00:00Z"/>
        <d v="2020-12-14T00:00:00Z"/>
        <d v="2020-12-15T00:00:00Z"/>
        <d v="2020-12-16T00:00:00Z"/>
        <d v="2020-12-17T00:00:00Z"/>
        <d v="2020-12-18T00:00:00Z"/>
        <d v="2020-12-21T00:00:00Z"/>
        <d v="2020-12-22T00:00:00Z"/>
        <d v="2020-12-23T00:00:00Z"/>
        <d v="2020-12-24T00:00:00Z"/>
        <d v="2020-12-28T00:00:00Z"/>
        <d v="2020-12-29T00:00:00Z"/>
        <d v="2020-12-30T00:00:00Z"/>
        <d v="2020-12-31T00:00:00Z"/>
        <d v="2021-01-01T00:00:00Z"/>
        <d v="2021-01-04T00:00:00Z"/>
        <d v="2021-01-05T00:00:00Z"/>
        <d v="2021-01-06T00:00:00Z"/>
        <d v="2021-01-07T00:00:00Z"/>
        <d v="2021-01-08T00:00:00Z"/>
        <d v="2021-01-11T00:00:00Z"/>
        <d v="2021-01-12T00:00:00Z"/>
        <d v="2021-01-13T00:00:00Z"/>
        <d v="2021-01-14T00:00:00Z"/>
        <d v="2021-01-15T00:00:00Z"/>
        <d v="2021-01-18T00:00:00Z"/>
        <d v="2021-01-19T00:00:00Z"/>
        <d v="2021-01-20T00:00:00Z"/>
        <d v="2021-01-21T00:00:00Z"/>
        <d v="2021-01-22T00:00:00Z"/>
        <d v="2021-01-25T00:00:00Z"/>
        <d v="2021-01-27T00:00:00Z"/>
        <d v="2021-01-28T00:00:00Z"/>
        <d v="2021-01-29T00:00:00Z"/>
        <d v="2021-02-01T00:00:00Z"/>
        <d v="2021-02-02T00:00:00Z"/>
        <d v="2021-02-03T00:00:00Z"/>
        <d v="2021-02-04T00:00:00Z"/>
        <d v="2021-02-05T00:00:00Z"/>
        <d v="2021-02-08T00:00:00Z"/>
        <d v="2021-02-09T00:00:00Z"/>
        <d v="2021-02-10T00:00:00Z"/>
        <d v="2021-02-11T00:00:00Z"/>
        <d v="2021-02-12T00:00:00Z"/>
        <d v="2021-02-15T00:00:00Z"/>
        <d v="2021-02-16T00:00:00Z"/>
        <d v="2021-02-17T00:00:00Z"/>
        <d v="2021-02-18T00:00:00Z"/>
        <d v="2021-02-19T00:00:00Z"/>
        <d v="2021-02-22T00:00:00Z"/>
        <d v="2021-02-23T00:00:00Z"/>
        <d v="2021-02-24T00:00:00Z"/>
        <d v="2021-02-25T00:00:00Z"/>
        <d v="2021-02-26T00:00:00Z"/>
        <d v="2021-03-01T00:00:00Z"/>
        <d v="2021-03-02T00:00:00Z"/>
        <d v="2021-03-03T00:00:00Z"/>
        <d v="2021-03-04T00:00:00Z"/>
        <d v="2021-03-05T00:00:00Z"/>
        <d v="2021-03-08T00:00:00Z"/>
        <d v="2021-03-09T00:00:00Z"/>
        <d v="2021-03-10T00:00:00Z"/>
        <d v="2021-03-12T00:00:00Z"/>
        <d v="2021-03-15T00:00:00Z"/>
        <d v="2021-03-16T00:00:00Z"/>
        <d v="2021-03-17T00:00:00Z"/>
        <d v="2021-03-18T00:00:00Z"/>
        <d v="2021-03-19T00:00:00Z"/>
        <d v="2021-03-22T00:00:00Z"/>
        <d v="2021-03-23T00:00:00Z"/>
        <d v="2021-03-24T00:00:00Z"/>
        <d v="2021-03-25T00:00:00Z"/>
        <d v="2021-03-26T00:00:00Z"/>
        <d v="2021-03-30T00:00:00Z"/>
        <d v="2021-03-31T00:00:00Z"/>
        <d v="2021-04-01T00:00:00Z"/>
        <d v="2021-04-05T00:00:00Z"/>
        <d v="2021-04-06T00:00:00Z"/>
        <d v="2021-04-07T00:00:00Z"/>
        <d v="2021-04-08T00:00:00Z"/>
        <d v="2021-04-09T00:00:00Z"/>
        <d v="2021-04-12T00:00:00Z"/>
        <d v="2021-04-13T00:00:00Z"/>
        <d v="2021-04-15T00:00:00Z"/>
        <d v="2021-04-16T00:00:00Z"/>
        <d v="2021-04-19T00:00:00Z"/>
        <d v="2021-04-20T00:00:00Z"/>
        <d v="2021-04-22T00:00:00Z"/>
        <d v="2021-04-23T00:00:00Z"/>
        <d v="2021-04-26T00:00:00Z"/>
        <d v="2021-04-27T00:00:00Z"/>
        <d v="2021-04-28T00:00:00Z"/>
        <d v="2021-04-29T00:00:00Z"/>
        <d v="2021-04-30T00:00:00Z"/>
        <d v="2021-05-03T00:00:00Z"/>
        <d v="2021-05-04T00:00:00Z"/>
        <d v="2021-05-05T00:00:00Z"/>
        <d v="2021-05-06T00:00:00Z"/>
        <d v="2021-05-07T00:00:00Z"/>
        <d v="2021-05-10T00:00:00Z"/>
        <d v="2021-05-11T00:00:00Z"/>
        <d v="2021-05-12T00:00:00Z"/>
        <d v="2021-05-14T00:00:00Z"/>
        <d v="2021-05-17T00:00:00Z"/>
        <d v="2021-05-18T00:00:00Z"/>
        <d v="2021-05-19T00:00:00Z"/>
        <d v="2021-05-20T00:00:00Z"/>
        <d v="2021-05-21T00:00:00Z"/>
        <d v="2021-05-24T00:00:00Z"/>
        <d v="2021-05-25T00:00:00Z"/>
        <d v="2021-05-26T00:00:00Z"/>
        <d v="2021-05-27T00:00:00Z"/>
        <d v="2021-05-28T00:00:00Z"/>
        <d v="2021-05-31T00:00:00Z"/>
        <d v="2021-06-01T00:00:00Z"/>
        <d v="2021-06-02T00:00:00Z"/>
        <d v="2021-06-03T00:00:00Z"/>
        <d v="2021-06-04T00:00:00Z"/>
        <d v="2021-06-07T00:00:00Z"/>
        <d v="2021-06-08T00:00:00Z"/>
        <d v="2021-06-09T00:00:00Z"/>
        <d v="2021-06-10T00:00:00Z"/>
        <d v="2021-06-11T00:00:00Z"/>
        <d v="2021-06-14T00:00:00Z"/>
        <d v="2021-06-15T00:00:00Z"/>
        <d v="2021-06-16T00:00:00Z"/>
        <d v="2021-06-17T00:00:00Z"/>
        <d v="2021-06-18T00:00:00Z"/>
        <d v="2021-06-21T00:00:00Z"/>
        <d v="2021-06-22T00:00:00Z"/>
        <d v="2021-06-23T00:00:00Z"/>
        <d v="2021-06-24T00:00:00Z"/>
        <d v="2021-06-25T00:00:00Z"/>
        <d v="2021-06-28T00:00:00Z"/>
        <d v="2021-06-29T00:00:00Z"/>
        <d v="2021-06-30T00:00:00Z"/>
        <d v="2021-07-01T00:00:00Z"/>
        <d v="2021-07-02T00:00:00Z"/>
        <d v="2021-07-05T00:00:00Z"/>
        <d v="2021-07-06T00:00:00Z"/>
        <d v="2021-07-07T00:00:00Z"/>
        <d v="2021-07-08T00:00:00Z"/>
        <d v="2021-07-09T00:00:00Z"/>
        <d v="2021-07-12T00:00:00Z"/>
        <d v="2021-07-13T00:00:00Z"/>
        <d v="2021-07-14T00:00:00Z"/>
        <d v="2021-07-15T00:00:00Z"/>
        <d v="2021-07-16T00:00:00Z"/>
        <d v="2021-07-19T00:00:00Z"/>
        <d v="2021-07-20T00:00:00Z"/>
        <d v="2021-07-22T00:00:00Z"/>
        <d v="2021-07-23T00:00:00Z"/>
        <d v="2021-07-26T00:00:00Z"/>
        <d v="2021-07-27T00:00:00Z"/>
        <d v="2021-07-28T00:00:00Z"/>
        <d v="2021-07-29T00:00:00Z"/>
        <d v="2021-07-30T00:00:00Z"/>
        <d v="2021-08-02T00:00:00Z"/>
        <d v="2021-08-03T00:00:00Z"/>
        <d v="2021-08-04T00:00:00Z"/>
        <d v="2021-08-05T00:00:00Z"/>
        <d v="2021-08-06T00:00:00Z"/>
        <d v="2021-08-09T00:00:00Z"/>
        <d v="2021-08-10T00:00:00Z"/>
        <d v="2021-08-11T00:00:00Z"/>
        <d v="2021-08-12T00:00:00Z"/>
        <d v="2021-08-13T00:00:00Z"/>
        <d v="2021-08-16T00:00:00Z"/>
        <d v="2021-08-17T00:00:00Z"/>
        <d v="2021-08-18T00:00:00Z"/>
        <d v="2021-08-20T00:00:00Z"/>
        <d v="2021-08-23T00:00:00Z"/>
        <d v="2021-08-24T00:00:00Z"/>
        <d v="2021-08-25T00:00:00Z"/>
        <d v="2021-08-26T00:00:00Z"/>
        <d v="2021-08-27T00:00:00Z"/>
        <d v="2021-08-30T00:00:00Z"/>
        <d v="2021-08-31T00:00:00Z"/>
        <d v="2021-09-01T00:00:00Z"/>
        <d v="2021-09-02T00:00:00Z"/>
        <d v="2021-09-03T00:00:00Z"/>
        <d v="2021-09-06T00:00:00Z"/>
        <d v="2021-09-07T00:00:00Z"/>
        <d v="2021-09-08T00:00:00Z"/>
        <d v="2021-09-09T00:00:00Z"/>
        <d v="2021-09-13T00:00:00Z"/>
        <d v="2021-09-14T00:00:00Z"/>
        <d v="2021-09-15T00:00:00Z"/>
        <d v="2021-09-16T00:00:00Z"/>
        <d v="2021-09-17T00:00:00Z"/>
        <d v="2021-09-20T00:00:00Z"/>
        <d v="2021-09-21T00:00:00Z"/>
        <d v="2021-09-22T00:00:00Z"/>
        <d v="2021-09-23T00:00:00Z"/>
        <d v="2021-09-24T00:00:00Z"/>
        <d v="2021-09-27T00:00:00Z"/>
        <d v="2021-09-28T00:00:00Z"/>
        <d v="2021-09-29T00:00:00Z"/>
        <d v="2021-09-30T00:00:00Z"/>
        <d v="2021-10-01T00:00:00Z"/>
        <d v="2021-10-04T00:00:00Z"/>
        <d v="2021-10-05T00:00:00Z"/>
        <d v="2021-10-06T00:00:00Z"/>
        <d v="2021-10-07T00:00:00Z"/>
        <d v="2021-10-08T00:00:00Z"/>
        <d v="2021-10-11T00:00:00Z"/>
        <d v="2021-10-12T00:00:00Z"/>
        <d v="2021-10-13T00:00:00Z"/>
        <d v="2021-10-14T00:00:00Z"/>
        <d v="2021-10-18T00:00:00Z"/>
        <d v="2021-10-19T00:00:00Z"/>
        <d v="2021-10-20T00:00:00Z"/>
        <d v="2021-10-21T00:00:00Z"/>
        <d v="2021-10-22T00:00:00Z"/>
        <d v="2021-10-25T00:00:00Z"/>
        <d v="2021-10-26T00:00:00Z"/>
        <d v="2021-10-27T00:00:00Z"/>
        <d v="2021-10-28T00:00:00Z"/>
        <d v="2021-10-29T00:00:00Z"/>
        <d v="2021-11-01T00:00:00Z"/>
        <d v="2021-11-02T00:00:00Z"/>
        <d v="2021-11-03T00:00:00Z"/>
        <d v="2021-11-04T00:00:00Z"/>
        <d v="2021-11-08T00:00:00Z"/>
        <d v="2021-11-09T00:00:00Z"/>
        <d v="2021-11-10T00:00:00Z"/>
        <d v="2021-11-11T00:00:00Z"/>
        <d v="2021-11-12T00:00:00Z"/>
        <d v="2021-11-15T00:00:00Z"/>
        <d v="2021-11-16T00:00:00Z"/>
        <d v="2021-11-17T00:00:00Z"/>
        <d v="2021-11-18T00:00:00Z"/>
        <d v="2021-11-22T00:00:00Z"/>
        <d v="2021-11-23T00:00:00Z"/>
        <d v="2021-11-24T00:00:00Z"/>
        <d v="2021-11-25T00:00:00Z"/>
        <d v="2021-11-26T00:00:00Z"/>
        <d v="2021-11-29T00:00:00Z"/>
        <d v="2021-11-30T00:00:00Z"/>
        <d v="2021-12-01T00:00:00Z"/>
        <d v="2021-12-02T00:00:00Z"/>
        <d v="2021-12-03T00:00:00Z"/>
        <d v="2021-12-06T00:00:00Z"/>
        <d v="2021-12-07T00:00:00Z"/>
        <d v="2021-12-08T00:00:00Z"/>
        <d v="2021-12-09T00:00:00Z"/>
        <d v="2021-12-10T00:00:00Z"/>
        <d v="2021-12-13T00:00:00Z"/>
        <d v="2021-12-14T00:00:00Z"/>
        <d v="2021-12-15T00:00:00Z"/>
        <d v="2021-12-16T00:00:00Z"/>
        <d v="2021-12-17T00:00:00Z"/>
        <d v="2021-12-20T00:00:00Z"/>
        <d v="2021-12-21T00:00:00Z"/>
        <d v="2021-12-22T00:00:00Z"/>
        <d v="2021-12-23T00:00:00Z"/>
        <d v="2021-12-24T00:00:00Z"/>
        <d v="2021-12-27T00:00:00Z"/>
        <d v="2021-12-28T00:00:00Z"/>
        <d v="2021-12-29T00:00:00Z"/>
        <d v="2021-12-30T00:00:00Z"/>
        <d v="2021-12-31T00:00:00Z"/>
        <d v="2022-01-03T00:00:00Z"/>
        <d v="2022-01-04T00:00:00Z"/>
        <d v="2022-01-05T00:00:00Z"/>
        <d v="2022-01-06T00:00:00Z"/>
        <d v="2022-01-07T00:00:00Z"/>
        <d v="2022-01-10T00:00:00Z"/>
        <d v="2022-01-11T00:00:00Z"/>
        <d v="2022-01-12T00:00:00Z"/>
        <d v="2022-01-13T00:00:00Z"/>
        <d v="2022-01-14T00:00:00Z"/>
        <d v="2022-01-17T00:00:00Z"/>
        <d v="2022-01-18T00:00:00Z"/>
        <d v="2022-01-19T00:00:00Z"/>
        <d v="2022-01-20T00:00:00Z"/>
        <d v="2022-01-21T00:00:00Z"/>
        <d v="2022-01-24T00:00:00Z"/>
        <d v="2022-01-25T00:00:00Z"/>
        <d v="2022-01-27T00:00:00Z"/>
        <d v="2022-01-28T00:00:00Z"/>
        <d v="2022-01-31T00:00:00Z"/>
        <d v="2022-02-01T00:00:00Z"/>
        <d v="2022-02-02T00:00:00Z"/>
        <d v="2022-02-03T00:00:00Z"/>
        <d v="2022-02-04T00:00:00Z"/>
        <d v="2022-02-07T00:00:00Z"/>
        <d v="2022-02-08T00:00:00Z"/>
        <d v="2022-02-09T00:00:00Z"/>
        <d v="2022-02-10T00:00:00Z"/>
        <d v="2022-02-11T00:00:00Z"/>
        <d v="2022-02-14T00:00:00Z"/>
        <d v="2022-02-15T00:00:00Z"/>
        <d v="2022-02-16T00:00:00Z"/>
        <d v="2022-02-17T00:00:00Z"/>
        <d v="2022-02-18T00:00:00Z"/>
        <d v="2022-02-21T00:00:00Z"/>
        <d v="2022-02-22T00:00:00Z"/>
        <d v="2022-02-23T00:00:00Z"/>
        <d v="2022-02-24T00:00:00Z"/>
        <d v="2022-02-25T00:00:00Z"/>
        <d v="2022-02-28T00:00:00Z"/>
        <d v="2022-03-02T00:00:00Z"/>
        <d v="2022-03-03T00:00:00Z"/>
        <d v="2022-03-04T00:00:00Z"/>
        <d v="2022-03-07T00:00:00Z"/>
        <d v="2022-03-08T00:00:00Z"/>
        <d v="2022-03-09T00:00:00Z"/>
        <d v="2022-03-10T00:00:00Z"/>
        <d v="2022-03-11T00:00:00Z"/>
        <d v="2022-03-14T00:00:00Z"/>
        <d v="2022-03-15T00:00:00Z"/>
        <d v="2022-03-16T00:00:00Z"/>
        <d v="2022-03-17T00:00:00Z"/>
        <d v="2022-03-21T00:00:00Z"/>
        <d v="2022-03-22T00:00:00Z"/>
        <d v="2022-03-23T00:00:00Z"/>
        <d v="2022-03-24T00:00:00Z"/>
        <d v="2022-03-25T00:00:00Z"/>
        <d v="2022-03-28T00:00:00Z"/>
        <d v="2022-03-29T00:00:00Z"/>
        <d v="2022-03-30T00:00:00Z"/>
        <d v="2022-03-31T00:00:00Z"/>
        <d v="2022-04-01T00:00:00Z"/>
        <d v="2022-04-04T00:00:00Z"/>
        <d v="2022-04-05T00:00:00Z"/>
        <d v="2022-04-06T00:00:00Z"/>
        <d v="2022-04-07T00:00:00Z"/>
        <d v="2022-04-08T00:00:00Z"/>
        <d v="2022-04-11T00:00:00Z"/>
        <d v="2022-04-12T00:00:00Z"/>
        <d v="2022-04-13T00:00:00Z"/>
        <d v="2022-04-18T00:00:00Z"/>
        <d v="2022-04-19T00:00:00Z"/>
        <d v="2022-04-20T00:00:00Z"/>
        <d v="2022-04-21T00:00:00Z"/>
        <d v="2022-04-22T00:00:00Z"/>
        <d v="2022-04-25T00:00:00Z"/>
        <d v="2022-04-26T00:00:00Z"/>
        <d v="2022-04-27T00:00:00Z"/>
        <d v="2022-04-28T00:00:00Z"/>
        <d v="2022-04-29T00:00:00Z"/>
        <d v="2022-05-02T00:00:00Z"/>
        <d v="2022-05-04T00:00:00Z"/>
        <d v="2022-05-05T00:00:00Z"/>
        <d v="2022-05-06T00:00:00Z"/>
        <d v="2022-05-09T00:00:00Z"/>
        <d v="2022-05-10T00:00:00Z"/>
        <d v="2022-05-11T00:00:00Z"/>
        <d v="2022-05-12T00:00:00Z"/>
        <d v="2022-05-13T00:00:00Z"/>
        <d v="2022-05-16T00:00:00Z"/>
        <d v="2022-05-17T00:00:00Z"/>
        <d v="2022-05-18T00:00:00Z"/>
        <d v="2022-05-19T00:00:00Z"/>
        <d v="2022-05-20T00:00:00Z"/>
        <d v="2022-05-23T00:00:00Z"/>
        <d v="2022-05-24T00:00:00Z"/>
        <d v="2022-05-25T00:00:00Z"/>
        <d v="2022-05-26T00:00:00Z"/>
        <d v="2022-05-27T00:00:00Z"/>
        <d v="2022-05-30T00:00:00Z"/>
        <d v="2022-05-31T00:00:00Z"/>
        <d v="2022-06-01T00:00:00Z"/>
        <d v="2022-06-02T00:00:00Z"/>
        <d v="2022-06-03T00:00:00Z"/>
        <d v="2022-06-06T00:00:00Z"/>
        <d v="2022-06-07T00:00:00Z"/>
        <d v="2022-06-08T00:00:00Z"/>
        <d v="2022-06-09T00:00:00Z"/>
        <d v="2022-06-10T00:00:00Z"/>
        <d v="2022-06-13T00:00:00Z"/>
        <d v="2022-06-14T00:00:00Z"/>
        <d v="2022-06-15T00:00:00Z"/>
        <d v="2022-06-16T00:00:00Z"/>
        <d v="2022-06-17T00:00:00Z"/>
        <d v="2022-06-20T00:00:00Z"/>
        <d v="2022-06-21T00:00:00Z"/>
        <d v="2022-06-22T00:00:00Z"/>
        <d v="2022-06-23T00:00:00Z"/>
        <d v="2022-06-24T00:00:00Z"/>
        <d v="2022-06-27T00:00:00Z"/>
        <d v="2022-06-28T00:00:00Z"/>
        <d v="2022-06-29T00:00:00Z"/>
        <d v="2022-06-30T00:00:00Z"/>
        <d v="2022-07-01T00:00:00Z"/>
        <d v="2022-07-04T00:00:00Z"/>
        <d v="2022-07-05T00:00:00Z"/>
        <d v="2022-07-06T00:00:00Z"/>
        <d v="2022-07-07T00:00:00Z"/>
        <d v="2022-07-08T00:00:00Z"/>
        <d v="2022-07-11T00:00:00Z"/>
        <d v="2022-07-12T00:00:00Z"/>
        <d v="2022-07-13T00:00:00Z"/>
        <d v="2022-07-14T00:00:00Z"/>
        <d v="2022-07-15T00:00:00Z"/>
        <d v="2022-07-18T00:00:00Z"/>
        <d v="2022-07-19T00:00:00Z"/>
        <d v="2022-07-20T00:00:00Z"/>
        <d v="2022-07-21T00:00:00Z"/>
        <d v="2022-07-22T00:00:00Z"/>
        <d v="2022-07-25T00:00:00Z"/>
        <d v="2022-07-26T00:00:00Z"/>
        <d v="2022-07-27T00:00:00Z"/>
        <d v="2022-07-28T00:00:00Z"/>
        <d v="2022-07-29T00:00:00Z"/>
        <d v="2022-08-01T00:00:00Z"/>
        <d v="2022-08-02T00:00:00Z"/>
        <d v="2022-08-03T00:00:00Z"/>
        <d v="2022-08-04T00:00:00Z"/>
        <d v="2022-08-05T00:00:00Z"/>
        <d v="2022-08-08T00:00:00Z"/>
        <d v="2022-08-10T00:00:00Z"/>
        <d v="2022-08-11T00:00:00Z"/>
        <d v="2022-08-12T00:00:00Z"/>
        <d v="2022-08-16T00:00:00Z"/>
        <d v="2022-08-17T00:00:00Z"/>
        <d v="2022-08-18T00:00:00Z"/>
        <d v="2022-08-19T00:00:00Z"/>
        <d v="2022-08-22T00:00:00Z"/>
        <d v="2022-08-23T00:00:00Z"/>
        <d v="2022-08-24T00:00:00Z"/>
        <d v="2022-08-25T00:00:00Z"/>
        <d v="2022-08-26T00:00:00Z"/>
        <d v="2022-08-29T00:00:00Z"/>
        <d v="2022-08-30T00:00:00Z"/>
        <d v="2022-09-01T00:00:00Z"/>
        <d v="2022-09-02T00:00:00Z"/>
        <d v="2022-09-05T00:00:00Z"/>
        <d v="2022-09-06T00:00:00Z"/>
        <d v="2022-09-07T00:00:00Z"/>
        <d v="2022-09-08T00:00:00Z"/>
        <d v="2022-09-09T00:00:00Z"/>
        <d v="2022-09-12T00:00:00Z"/>
        <d v="2022-09-13T00:00:00Z"/>
        <d v="2022-09-14T00:00:00Z"/>
        <d v="2022-09-15T00:00:00Z"/>
        <d v="2022-09-16T00:00:00Z"/>
        <d v="2022-09-19T00:00:00Z"/>
        <d v="2022-09-20T00:00:00Z"/>
        <d v="2022-09-21T00:00:00Z"/>
        <d v="2022-09-22T00:00:00Z"/>
        <d v="2022-09-23T00:00:00Z"/>
        <d v="2022-09-26T00:00:00Z"/>
        <d v="2022-09-27T00:00:00Z"/>
        <d v="2022-09-28T00:00:00Z"/>
        <d v="2022-09-29T00:00:00Z"/>
        <d v="2022-09-30T00:00:00Z"/>
        <d v="2022-10-03T00:00:00Z"/>
        <d v="2022-10-04T00:00:00Z"/>
        <d v="2022-10-06T00:00:00Z"/>
        <d v="2022-10-07T00:00:00Z"/>
        <d v="2022-10-10T00:00:00Z"/>
        <d v="2022-10-11T00:00:00Z"/>
        <d v="2022-10-12T00:00:00Z"/>
        <d v="2022-10-13T00:00:00Z"/>
        <d v="2022-10-14T00:00:00Z"/>
        <d v="2022-10-17T00:00:00Z"/>
        <d v="2022-10-18T00:00:00Z"/>
        <d v="2022-10-19T00:00:00Z"/>
        <d v="2022-10-20T00:00:00Z"/>
        <d v="2022-10-21T00:00:00Z"/>
        <d v="2022-10-24T00:00:00Z"/>
        <d v="2022-10-25T00:00:00Z"/>
        <d v="2022-10-27T00:00:00Z"/>
        <d v="2022-10-28T00:00:00Z"/>
        <d v="2022-10-31T00:00:00Z"/>
        <d v="2022-11-01T00:00:00Z"/>
        <d v="2022-11-02T00:00:00Z"/>
        <d v="2022-11-03T00:00:00Z"/>
        <d v="2022-11-04T00:00:00Z"/>
        <d v="2022-11-07T00:00:00Z"/>
        <d v="2022-11-09T00:00:00Z"/>
        <d v="2022-11-10T00:00:00Z"/>
        <d v="2022-11-11T00:00:00Z"/>
        <d v="2022-11-14T00:00:00Z"/>
        <d v="2022-11-15T00:00:00Z"/>
        <d v="2022-11-16T00:00:00Z"/>
        <d v="2022-11-17T00:00:00Z"/>
        <d v="2022-11-18T00:00:00Z"/>
        <d v="2022-11-21T00:00:00Z"/>
        <d v="2022-11-22T00:00:00Z"/>
        <d v="2022-11-23T00:00:00Z"/>
        <d v="2022-11-24T00:00:00Z"/>
        <d v="2022-11-25T00:00:00Z"/>
        <d v="2022-11-28T00:00:00Z"/>
        <d v="2022-11-29T00:00:00Z"/>
        <d v="2022-11-30T00:00:00Z"/>
        <d v="2022-12-01T00:00:00Z"/>
        <d v="2022-12-02T00:00:00Z"/>
        <d v="2022-12-05T00:00:00Z"/>
        <d v="2022-12-06T00:00:00Z"/>
        <d v="2022-12-07T00:00:00Z"/>
        <d v="2022-12-08T00:00:00Z"/>
        <d v="2022-12-09T00:00:00Z"/>
        <d v="2022-12-12T00:00:00Z"/>
        <d v="2022-12-13T00:00:00Z"/>
        <d v="2022-12-14T00:00:00Z"/>
        <d v="2022-12-15T00:00:00Z"/>
        <d v="2022-12-16T00:00:00Z"/>
        <d v="2022-12-19T00:00:00Z"/>
        <d v="2022-12-20T00:00:00Z"/>
        <d v="2022-12-21T00:00:00Z"/>
        <d v="2022-12-22T00:00:00Z"/>
        <d v="2022-12-23T00:00:00Z"/>
        <d v="2022-12-26T00:00:00Z"/>
        <d v="2022-12-27T00:00:00Z"/>
        <d v="2022-12-28T00:00:00Z"/>
        <d v="2022-12-29T00:00:00Z"/>
        <d v="2022-12-30T00:00:00Z"/>
        <d v="2023-01-02T00:00:00Z"/>
        <d v="2023-01-03T00:00:00Z"/>
        <d v="2023-01-04T00:00:00Z"/>
        <d v="2023-01-05T00:00:00Z"/>
        <d v="2023-01-06T00:00:00Z"/>
        <d v="2023-01-09T00:00:00Z"/>
        <d v="2023-01-10T00:00:00Z"/>
        <d v="2023-01-11T00:00:00Z"/>
        <d v="2023-01-12T00:00:00Z"/>
        <d v="2023-01-13T00:00:00Z"/>
        <d v="2023-01-16T00:00:00Z"/>
        <d v="2023-01-17T00:00:00Z"/>
        <d v="2023-01-18T00:00:00Z"/>
        <d v="2023-01-19T00:00:00Z"/>
        <d v="2023-01-20T00:00:00Z"/>
        <d v="2023-01-23T00:00:00Z"/>
        <d v="2023-01-24T00:00:00Z"/>
        <d v="2023-01-25T00:00:00Z"/>
        <d v="2023-01-27T00:00:00Z"/>
        <d v="2023-01-30T00:00:00Z"/>
        <d v="2023-01-31T00:00:00Z"/>
        <d v="2023-02-01T00:00:00Z"/>
        <d v="2023-02-02T00:00:00Z"/>
        <d v="2023-02-03T00:00:00Z"/>
        <d v="2023-02-06T00:00:00Z"/>
        <d v="2023-02-07T00:00:00Z"/>
        <d v="2023-02-08T00:00:00Z"/>
        <d v="2023-02-09T00:00:00Z"/>
        <d v="2023-02-10T00:00:00Z"/>
        <d v="2023-02-13T00:00:00Z"/>
        <d v="2023-02-14T00:00:00Z"/>
        <d v="2023-02-15T00:00:00Z"/>
        <d v="2023-02-16T00:00:00Z"/>
        <d v="2023-02-17T00:00:00Z"/>
        <d v="2023-02-20T00:00:00Z"/>
        <d v="2023-02-21T00:00:00Z"/>
        <d v="2023-02-22T00:00:00Z"/>
        <d v="2023-02-23T00:00:00Z"/>
        <d v="2023-02-24T00:00:00Z"/>
        <d v="2023-02-27T00:00:00Z"/>
        <d v="2023-02-28T00:00:00Z"/>
        <d v="2023-03-01T00:00:00Z"/>
        <d v="2023-03-02T00:00:00Z"/>
        <d v="2023-03-03T00:00:00Z"/>
        <d v="2023-03-06T00:00:00Z"/>
        <d v="2023-03-08T00:00:00Z"/>
        <d v="2023-03-09T00:00:00Z"/>
        <d v="2023-03-10T00:00:00Z"/>
        <d v="2023-03-13T00:00:00Z"/>
        <d v="2023-03-14T00:00:00Z"/>
        <d v="2023-03-15T00:00:00Z"/>
        <d v="2023-03-16T00:00:00Z"/>
        <d v="2023-03-17T00:00:00Z"/>
        <d v="2023-03-20T00:00:00Z"/>
        <d v="2023-03-21T00:00:00Z"/>
        <d v="2023-03-22T00:00:00Z"/>
        <d v="2023-03-23T00:00:00Z"/>
        <d v="2023-03-24T00:00:00Z"/>
        <d v="2023-03-27T00:00:00Z"/>
        <d v="2023-03-28T00:00:00Z"/>
        <d v="2023-03-29T00:00:00Z"/>
        <d v="2023-03-31T00:00:00Z"/>
        <d v="2023-04-03T00:00:00Z"/>
        <d v="2023-04-05T00:00:00Z"/>
        <d v="2023-04-06T00:00:00Z"/>
        <d v="2023-04-10T00:00:00Z"/>
        <d v="2023-04-11T00:00:00Z"/>
        <d v="2023-04-12T00:00:00Z"/>
        <d v="2023-04-13T00:00:00Z"/>
        <d v="2023-04-17T00:00:00Z"/>
        <d v="2023-04-18T00:00:00Z"/>
        <d v="2023-04-19T00:00:00Z"/>
        <d v="2023-04-20T00:00:00Z"/>
        <d v="2023-04-21T00:00:00Z"/>
        <d v="2023-04-24T00:00:00Z"/>
        <d v="2023-04-25T00:00:00Z"/>
        <d v="2023-04-26T00:00:00Z"/>
        <d v="2023-04-27T00:00:00Z"/>
        <d v="2023-04-28T00:00:00Z"/>
        <d v="2023-05-02T00:00:00Z"/>
        <d v="2023-05-03T00:00:00Z"/>
        <d v="2023-05-04T00:00:00Z"/>
        <d v="2023-05-05T00:00:00Z"/>
        <d v="2023-05-08T00:00:00Z"/>
        <d v="2023-05-09T00:00:00Z"/>
        <d v="2023-05-10T00:00:00Z"/>
        <d v="2023-05-11T00:00:00Z"/>
        <d v="2023-05-12T00:00:00Z"/>
        <d v="2023-05-15T00:00:00Z"/>
        <d v="2023-05-16T00:00:00Z"/>
        <d v="2023-05-17T00:00:00Z"/>
        <d v="2023-05-18T00:00:00Z"/>
        <d v="2023-05-19T00:00:00Z"/>
        <d v="2023-05-22T00:00:00Z"/>
        <d v="2023-05-23T00:00:00Z"/>
        <d v="2023-05-24T00:00:00Z"/>
        <d v="2023-05-25T00:00:00Z"/>
        <d v="2023-05-26T00:00:00Z"/>
        <d v="2023-05-29T00:00:00Z"/>
        <d v="2023-05-30T00:00:00Z"/>
        <d v="2023-05-31T00:00:00Z"/>
        <d v="2023-06-01T00:00:00Z"/>
        <d v="2023-06-02T00:00:00Z"/>
        <d v="2023-06-05T00:00:00Z"/>
        <d v="2023-06-06T00:00:00Z"/>
        <d v="2023-06-07T00:00:00Z"/>
        <d v="2023-06-08T00:00:00Z"/>
        <d v="2023-06-09T00:00:00Z"/>
        <d v="2023-06-12T00:00:00Z"/>
        <d v="2023-06-13T00:00:00Z"/>
        <d v="2023-06-14T00:00:00Z"/>
        <d v="2023-06-15T00:00:00Z"/>
        <d v="2023-06-16T00:00:00Z"/>
        <d v="2023-06-19T00:00:00Z"/>
        <d v="2023-06-20T00:00:00Z"/>
        <d v="2023-06-21T00:00:00Z"/>
        <d v="2023-06-22T00:00:00Z"/>
        <d v="2023-06-23T00:00:00Z"/>
        <d v="2023-06-26T00:00:00Z"/>
        <d v="2023-06-27T00:00:00Z"/>
        <d v="2023-06-28T00:00:00Z"/>
        <d v="2023-06-30T00:00:00Z"/>
        <d v="2023-07-03T00:00:00Z"/>
        <d v="2023-07-04T00:00:00Z"/>
        <d v="2023-07-05T00:00:00Z"/>
        <d v="2023-07-06T00:00:00Z"/>
        <d v="2023-07-07T00:00:00Z"/>
        <d v="2023-07-10T00:00:00Z"/>
        <d v="2023-07-11T00:00:00Z"/>
        <d v="2023-07-12T00:00:00Z"/>
        <d v="2023-07-13T00:00:00Z"/>
        <d v="2023-07-14T00:00:00Z"/>
        <d v="2023-07-17T00:00:00Z"/>
        <d v="2023-07-18T00:00:00Z"/>
        <d v="2023-07-19T00:00:00Z"/>
        <d v="2023-07-20T00:00:00Z"/>
        <d v="2023-07-21T00:00:00Z"/>
        <d v="2023-07-24T00:00:00Z"/>
        <d v="2023-07-25T00:00:00Z"/>
        <d v="2023-07-26T00:00:00Z"/>
        <d v="2023-07-27T00:00:00Z"/>
        <d v="2023-07-28T00:00:00Z"/>
        <d v="2023-07-31T00:00:00Z"/>
        <d v="2023-08-01T00:00:00Z"/>
        <d v="2023-08-02T00:00:00Z"/>
        <d v="2023-08-03T00:00:00Z"/>
        <d v="2023-08-04T00:00:00Z"/>
        <d v="2023-08-07T00:00:00Z"/>
        <d v="2023-08-08T00:00:00Z"/>
        <d v="2023-08-09T00:00:00Z"/>
        <d v="2023-08-10T00:00:00Z"/>
        <d v="2023-08-11T00:00:00Z"/>
        <d v="2023-08-14T00:00:00Z"/>
        <d v="2023-08-16T00:00:00Z"/>
        <d v="2023-08-17T00:00:00Z"/>
        <d v="2023-08-18T00:00:00Z"/>
        <d v="2023-08-21T00:00:00Z"/>
        <d v="2023-08-22T00:00:00Z"/>
        <d v="2023-08-23T00:00:00Z"/>
        <d v="2023-08-24T00:00:00Z"/>
        <d v="2023-08-25T00:00:00Z"/>
        <d v="2023-08-28T00:00:00Z"/>
        <d v="2023-08-29T00:00:00Z"/>
        <d v="2023-08-30T00:00:00Z"/>
        <d v="2023-08-31T00:00:00Z"/>
        <d v="2023-09-01T00:00:00Z"/>
        <d v="2023-09-04T00:00:00Z"/>
        <d v="2023-09-05T00:00:00Z"/>
        <d v="2023-09-06T00:00:00Z"/>
        <d v="2023-09-07T00:00:00Z"/>
        <d v="2023-09-08T00:00:00Z"/>
        <d v="2023-09-11T00:00:00Z"/>
        <d v="2023-09-12T00:00:00Z"/>
        <d v="2023-09-13T00:00:00Z"/>
        <d v="2023-09-14T00:00:00Z"/>
        <d v="2023-09-15T00:00:00Z"/>
        <d v="2023-09-18T00:00:00Z"/>
        <d v="2023-09-20T00:00:00Z"/>
        <d v="2023-09-21T00:00:00Z"/>
        <d v="2023-09-22T00:00:00Z"/>
        <d v="2023-09-25T00:00:00Z"/>
        <d v="2023-09-26T00:00:00Z"/>
        <d v="2023-09-27T00:00:00Z"/>
        <d v="2023-09-28T00:00:00Z"/>
        <d v="2023-09-29T00:00:00Z"/>
        <d v="2023-10-03T00:00:00Z"/>
        <d v="2023-10-04T00:00:00Z"/>
        <d v="2023-10-05T00:00:00Z"/>
        <d v="2023-10-06T00:00:00Z"/>
        <d v="2023-10-09T00:00:00Z"/>
        <d v="2023-10-10T00:00:00Z"/>
        <d v="2023-10-11T00:00:00Z"/>
        <d v="2023-10-12T00:00:00Z"/>
        <d v="2023-10-13T00:00:00Z"/>
        <d v="2023-10-16T00:00:00Z"/>
        <d v="2023-10-17T00:00:00Z"/>
        <d v="2023-10-18T00:00:00Z"/>
        <d v="2023-10-19T00:00:00Z"/>
        <d v="2023-10-20T00:00:00Z"/>
        <d v="2023-10-23T00:00:00Z"/>
        <d v="2023-10-25T00:00:00Z"/>
        <d v="2023-10-26T00:00:00Z"/>
        <d v="2023-10-27T00:00:00Z"/>
        <d v="2023-10-30T00:00:00Z"/>
        <d v="2023-10-31T00:00:00Z"/>
        <d v="2023-11-01T00:00:00Z"/>
        <d v="2023-11-02T00:00:00Z"/>
        <d v="2023-11-03T00:00:00Z"/>
        <d v="2023-11-06T00:00:00Z"/>
        <d v="2023-11-07T00:00:00Z"/>
        <d v="2023-11-08T00:00:00Z"/>
        <d v="2023-11-09T00:00:00Z"/>
        <d v="2023-11-10T00:00:00Z"/>
        <d v="2023-11-12T00:00:00Z"/>
        <d v="2023-11-13T00:00:00Z"/>
        <d v="2023-11-15T00:00:00Z"/>
        <d v="2023-11-16T00:00:00Z"/>
        <d v="2023-11-17T00:00:00Z"/>
        <d v="2023-11-20T00:00:00Z"/>
        <d v="2023-11-21T00:00:00Z"/>
        <d v="2023-11-22T00:00:00Z"/>
        <d v="2023-11-23T00:00:00Z"/>
        <d v="2023-11-24T00:00:00Z"/>
        <d v="2023-11-28T00:00:00Z"/>
        <d v="2023-11-29T00:00:00Z"/>
        <d v="2023-11-30T00:00:00Z"/>
        <d v="2023-12-01T00:00:00Z"/>
        <d v="2023-12-04T00:00:00Z"/>
        <d v="2023-12-05T00:00:00Z"/>
        <d v="2023-12-06T00:00:00Z"/>
        <d v="2023-12-07T00:00:00Z"/>
        <d v="2023-12-08T00:00:00Z"/>
        <d v="2023-12-11T00:00:00Z"/>
        <d v="2023-12-12T00:00:00Z"/>
        <d v="2023-12-13T00:00:00Z"/>
        <d v="2023-12-14T00:00:00Z"/>
        <d v="2023-12-15T00:00:00Z"/>
        <d v="2023-12-18T00:00:00Z"/>
        <d v="2023-12-19T00:00:00Z"/>
        <d v="2023-12-20T00:00:00Z"/>
        <d v="2023-12-21T00:00:00Z"/>
        <d v="2023-12-22T00:00:00Z"/>
        <d v="2023-12-26T00:00:00Z"/>
        <d v="2023-12-27T00:00:00Z"/>
        <d v="2023-12-28T00:00:00Z"/>
        <d v="2023-12-29T00:00:00Z"/>
        <d v="2024-01-01T00:00:00Z"/>
        <d v="2024-01-02T00:00:00Z"/>
        <d v="2024-01-03T00:00:00Z"/>
        <d v="2024-01-04T00:00:00Z"/>
        <d v="2024-01-05T00:00:00Z"/>
        <d v="2024-01-08T00:00:00Z"/>
        <d v="2024-01-09T00:00:00Z"/>
        <d v="2024-01-10T00:00:00Z"/>
        <d v="2024-01-11T00:00:00Z"/>
        <d v="2024-01-12T00:00:00Z"/>
        <d v="2024-01-15T00:00:00Z"/>
        <d v="2024-01-16T00:00:00Z"/>
        <d v="2024-01-17T00:00:00Z"/>
        <d v="2024-01-18T00:00:00Z"/>
        <d v="2024-01-19T00:00:00Z"/>
        <d v="2024-01-20T00:00:00Z"/>
        <d v="2024-01-23T00:00:00Z"/>
        <d v="2024-01-24T00:00:00Z"/>
        <d v="2024-01-25T00:00:00Z"/>
        <d v="2024-01-29T00:00:00Z"/>
        <d v="2024-01-30T00:00:00Z"/>
        <d v="2024-01-31T00:00:00Z"/>
        <d v="2024-02-01T00:00:00Z"/>
        <d v="2024-02-02T00:00:00Z"/>
        <d v="2024-02-05T00:00:00Z"/>
        <d v="2024-02-06T00:00:00Z"/>
        <d v="2024-02-07T00:00:00Z"/>
        <d v="2024-02-08T00:00:00Z"/>
        <d v="2024-02-09T00:00:00Z"/>
        <d v="2024-02-12T00:00:00Z"/>
        <d v="2024-02-13T00:00:00Z"/>
        <d v="2024-02-14T00:00:00Z"/>
        <d v="2024-02-15T00:00:00Z"/>
        <d v="2024-02-16T00:00:00Z"/>
        <d v="2024-02-19T00:00:00Z"/>
        <d v="2024-02-20T00:00:00Z"/>
        <d v="2024-02-21T00:00:00Z"/>
        <d v="2024-02-22T00:00:00Z"/>
        <d v="2024-02-23T00:00:00Z"/>
        <d v="2024-02-26T00:00:00Z"/>
        <d v="2024-02-27T00:00:00Z"/>
        <d v="2024-02-28T00:00:00Z"/>
        <d v="2024-02-29T00:00:00Z"/>
        <d v="2024-03-01T00:00:00Z"/>
        <d v="2024-03-02T00:00:00Z"/>
        <d v="2024-03-04T00:00:00Z"/>
        <d v="2024-03-05T00:00:00Z"/>
        <d v="2024-03-06T00:00:00Z"/>
        <d v="2024-03-07T00:00:00Z"/>
        <d v="2024-03-11T00:00:00Z"/>
        <d v="2024-03-12T00:00:00Z"/>
        <d v="2024-03-13T00:00:00Z"/>
        <d v="2024-03-14T00:00:00Z"/>
        <d v="2024-03-15T00:00:00Z"/>
        <d v="2024-03-18T00:00:00Z"/>
        <d v="2024-03-19T00:00:00Z"/>
        <d v="2024-03-20T00:00:00Z"/>
        <d v="2024-03-21T00:00:00Z"/>
        <d v="2024-03-22T00:00:00Z"/>
        <d v="2024-03-26T00:00:00Z"/>
        <d v="2024-03-27T00:00:00Z"/>
        <d v="2024-03-28T00:00:00Z"/>
        <d v="2024-04-01T00:00:00Z"/>
        <d v="2024-04-02T00:00:00Z"/>
        <d v="2024-04-03T00:00:00Z"/>
        <d v="2024-04-04T00:00:00Z"/>
        <d v="2024-04-05T00:00:00Z"/>
        <d v="2024-04-08T00:00:00Z"/>
        <d v="2024-04-09T00:00:00Z"/>
      </sharedItems>
    </cacheField>
    <cacheField name="Open " numFmtId="0">
      <sharedItems containsSemiMixedTypes="0" containsString="0" containsNumber="1">
        <n v="7788.25"/>
        <n v="7877.6"/>
        <n v="7838.8"/>
        <n v="7762.45"/>
        <n v="7732.95"/>
        <n v="7848.75"/>
        <n v="7823.15"/>
        <n v="7788.5"/>
        <n v="7841.9"/>
        <n v="7869.5"/>
        <n v="7837.0"/>
        <n v="7837.15"/>
        <n v="7910.6"/>
        <n v="7936.25"/>
        <n v="7958.15"/>
        <n v="7976.7"/>
        <n v="7902.3"/>
        <n v="7817.6"/>
        <n v="7816.55"/>
        <n v="7738.5"/>
        <n v="7695.5"/>
        <n v="7643.3"/>
        <n v="7699.6"/>
        <n v="7558.2"/>
        <n v="7659.15"/>
        <n v="7725.25"/>
        <n v="7783.05"/>
        <n v="7828.9"/>
        <n v="7745.65"/>
        <n v="7829.4"/>
        <n v="7830.45"/>
        <n v="7888.75"/>
        <n v="7863.2"/>
        <n v="7929.2"/>
        <n v="7938.6"/>
        <n v="7897.8"/>
        <n v="7938.45"/>
        <n v="7924.55"/>
        <n v="7828.4"/>
        <n v="7788.05"/>
        <n v="7673.35"/>
        <n v="7611.65"/>
        <n v="7527.45"/>
        <n v="7587.2"/>
        <n v="7557.9"/>
        <n v="7467.4"/>
        <n v="7561.65"/>
        <n v="7420.35"/>
        <n v="7381.8"/>
        <n v="7357.0"/>
        <n v="7376.65"/>
        <n v="7355.7"/>
        <n v="7468.75"/>
        <n v="7469.6"/>
        <n v="7426.5"/>
        <n v="7413.35"/>
        <n v="7589.5"/>
        <n v="7566.65"/>
        <n v="7392.45"/>
        <n v="7411.45"/>
        <n v="7418.25"/>
        <n v="7489.7"/>
        <n v="7303.95"/>
        <n v="7264.3"/>
        <n v="7203.6"/>
        <n v="7023.65"/>
        <n v="7057.35"/>
        <n v="7201.25"/>
        <n v="7058.85"/>
        <n v="7177.4"/>
        <n v="7170.55"/>
        <n v="7208.85"/>
        <n v="7240.3"/>
        <n v="7075.0"/>
        <n v="7029.85"/>
        <n v="7039.3"/>
        <n v="7050.45"/>
        <n v="7038.25"/>
        <n v="7321.7"/>
        <n v="7429.55"/>
        <n v="7505.4"/>
        <n v="7486.4"/>
        <n v="7436.1"/>
        <n v="7545.35"/>
        <n v="7484.85"/>
        <n v="7542.6"/>
        <n v="7535.85"/>
        <n v="7457.05"/>
        <n v="7557.4"/>
        <n v="7534.65"/>
        <n v="7619.2"/>
        <n v="7695.55"/>
        <n v="7717.45"/>
        <n v="7741.0"/>
        <n v="7606.55"/>
        <n v="7651.1"/>
        <n v="7727.65"/>
        <n v="7718.05"/>
        <n v="7733.15"/>
        <n v="7736.3"/>
        <n v="7636.05"/>
        <n v="7630.4"/>
        <n v="7542.35"/>
        <n v="7577.8"/>
        <n v="7669.25"/>
        <n v="7777.15"/>
        <n v="7908.15"/>
        <n v="7950.05"/>
        <n v="7953.65"/>
        <n v="7891.8"/>
        <n v="7894.8"/>
        <n v="7828.15"/>
        <n v="7942.0"/>
        <n v="7967.4"/>
        <n v="7844.25"/>
        <n v="7822.7"/>
        <n v="7824.8"/>
        <n v="7724.15"/>
        <n v="7731.0"/>
        <n v="7717.65"/>
        <n v="7755.25"/>
        <n v="7873.55"/>
        <n v="7804.65"/>
        <n v="7871.45"/>
        <n v="7881.0"/>
        <n v="7831.2"/>
        <n v="7896.85"/>
        <n v="7846.75"/>
        <n v="7875.5"/>
        <n v="7792.2"/>
        <n v="7813.95"/>
        <n v="7738.05"/>
        <n v="7811.8"/>
        <n v="7974.45"/>
        <n v="8081.95"/>
        <n v="8166.5"/>
        <n v="8209.85"/>
        <n v="8179.2"/>
        <n v="8156.9"/>
        <n v="8246.2"/>
        <n v="8228.75"/>
        <n v="8235.55"/>
        <n v="8285.5"/>
        <n v="8273.35"/>
        <n v="8180.25"/>
        <n v="8102.25"/>
        <n v="8134.4"/>
        <n v="8139.4"/>
        <n v="8180.65"/>
        <n v="8176.65"/>
        <n v="8115.75"/>
        <n v="8255.4"/>
        <n v="8213.65"/>
        <n v="8201.15"/>
        <n v="8029.1"/>
        <n v="8039.35"/>
        <n v="8096.05"/>
        <n v="8173.1"/>
        <n v="8260.25"/>
        <n v="8313.05"/>
        <n v="8376.75"/>
        <n v="8379.3"/>
        <n v="8342.0"/>
        <n v="8350.0"/>
        <n v="8413.35"/>
        <n v="8502.6"/>
        <n v="8540.45"/>
        <n v="8515.75"/>
        <n v="8565.45"/>
        <n v="8564.05"/>
        <n v="8514.3"/>
        <n v="8515.45"/>
        <n v="8582.7"/>
        <n v="8519.65"/>
        <n v="8519.95"/>
        <n v="8633.75"/>
        <n v="8599.4"/>
        <n v="8636.95"/>
        <n v="8668.3"/>
        <n v="8654.3"/>
        <n v="8647.45"/>
        <n v="8635.2"/>
        <n v="8599.95"/>
        <n v="8600.2"/>
        <n v="8712.85"/>
        <n v="8727.8"/>
        <n v="8686.7"/>
        <n v="8572.8"/>
        <n v="8605.45"/>
        <n v="8670.25"/>
        <n v="8639.8"/>
        <n v="8648.85"/>
        <n v="8694.3"/>
        <n v="8667.0"/>
        <n v="8628.35"/>
        <n v="8648.5"/>
        <n v="8668.85"/>
        <n v="8614.35"/>
        <n v="8583.75"/>
        <n v="8646.75"/>
        <n v="8754.05"/>
        <n v="8793.6"/>
        <n v="8796.35"/>
        <n v="8852.7"/>
        <n v="8968.7"/>
        <n v="8915.5"/>
        <n v="8934.3"/>
        <n v="8732.95"/>
        <n v="8710.65"/>
        <n v="8743.85"/>
        <n v="8780.85"/>
        <n v="8788.45"/>
        <n v="8816.1"/>
        <n v="8790.3"/>
        <n v="8873.35"/>
        <n v="8880.75"/>
        <n v="8807.9"/>
        <n v="8748.9"/>
        <n v="8711.2"/>
        <n v="8792.7"/>
        <n v="8581.5"/>
        <n v="8666.15"/>
        <n v="8770.0"/>
        <n v="8806.35"/>
        <n v="8768.7"/>
        <n v="8721.7"/>
        <n v="8735.35"/>
        <n v="8671.5"/>
        <n v="8594.0"/>
        <n v="8612.95"/>
        <n v="8556.05"/>
        <n v="8697.5"/>
        <n v="8693.35"/>
        <n v="8708.6"/>
        <n v="8709.85"/>
        <n v="8657.3"/>
        <n v="8607.1"/>
        <n v="8625.0"/>
        <n v="8672.35"/>
        <n v="8653.15"/>
        <n v="8542.8"/>
        <n v="8499.85"/>
        <n v="8503.6"/>
        <n v="8535.75"/>
        <n v="8540.0"/>
        <n v="8067.5"/>
        <n v="8555.6"/>
        <n v="8456.65"/>
        <n v="8284.85"/>
        <n v="8205.65"/>
        <n v="8105.1"/>
        <n v="8097.55"/>
        <n v="8102.1"/>
        <n v="7989.15"/>
        <n v="8051.2"/>
        <n v="8011.8"/>
        <n v="8007.95"/>
        <n v="8080.65"/>
        <n v="8131.55"/>
        <n v="8172.15"/>
        <n v="8244.0"/>
        <n v="8153.55"/>
        <n v="8088.75"/>
        <n v="8153.15"/>
        <n v="8168.4"/>
        <n v="8152.1"/>
        <n v="8271.7"/>
        <n v="8230.65"/>
        <n v="8196.15"/>
        <n v="8229.35"/>
        <n v="8128.4"/>
        <n v="8178.2"/>
        <n v="8126.0"/>
        <n v="8110.6"/>
        <n v="8105.85"/>
        <n v="8043.85"/>
        <n v="7972.5"/>
        <n v="7965.1"/>
        <n v="7915.05"/>
        <n v="8047.55"/>
        <n v="8030.6"/>
        <n v="8119.65"/>
        <n v="8210.1"/>
        <n v="8196.05"/>
        <n v="8202.65"/>
        <n v="8226.65"/>
        <n v="8281.85"/>
        <n v="8259.35"/>
        <n v="8262.7"/>
        <n v="8327.8"/>
        <n v="8391.05"/>
        <n v="8457.65"/>
        <n v="8390.95"/>
        <n v="8415.05"/>
        <n v="8403.85"/>
        <n v="8418.4"/>
        <n v="8404.35"/>
        <n v="8329.6"/>
        <n v="8407.05"/>
        <n v="8499.45"/>
        <n v="8610.5"/>
        <n v="8635.55"/>
        <n v="8629.45"/>
        <n v="8570.35"/>
        <n v="8724.75"/>
        <n v="8735.15"/>
        <n v="8785.45"/>
        <n v="8805.7"/>
        <n v="8774.55"/>
        <n v="8795.55"/>
        <n v="8812.35"/>
        <n v="8819.8"/>
        <n v="8819.9"/>
        <n v="8778.95"/>
        <n v="8739.0"/>
        <n v="8883.7"/>
        <n v="8818.55"/>
        <n v="8890.75"/>
        <n v="8931.6"/>
        <n v="8956.4"/>
        <n v="8943.7"/>
        <n v="8898.95"/>
        <n v="8904.4"/>
        <n v="8982.85"/>
        <n v="8883.5"/>
        <n v="8915.1"/>
        <n v="8977.75"/>
        <n v="8950.7"/>
        <n v="8914.5"/>
        <n v="8953.7"/>
        <n v="9091.65"/>
        <n v="9086.85"/>
        <n v="9129.65"/>
        <n v="9207.8"/>
        <n v="9166.95"/>
        <n v="9133.95"/>
        <n v="9047.2"/>
        <n v="9048.75"/>
        <n v="9104.0"/>
        <n v="9093.45"/>
        <n v="9081.5"/>
        <n v="9128.7"/>
        <n v="9142.6"/>
        <n v="9158.9"/>
        <n v="9220.6"/>
        <n v="9264.4"/>
        <n v="9245.8"/>
        <n v="9223.7"/>
        <n v="9225.6"/>
        <n v="9184.55"/>
        <n v="9242.5"/>
        <n v="9202.5"/>
        <n v="9144.75"/>
        <n v="9163.0"/>
        <n v="9112.2"/>
        <n v="9108.1"/>
        <n v="9179.1"/>
        <n v="9135.35"/>
        <n v="9273.05"/>
        <n v="9336.2"/>
        <n v="9359.15"/>
        <n v="9340.95"/>
        <n v="9339.85"/>
        <n v="9344.7"/>
        <n v="9360.95"/>
        <n v="9374.55"/>
        <n v="9311.45"/>
        <n v="9337.35"/>
        <n v="9339.65"/>
        <n v="9448.6"/>
        <n v="9436.65"/>
        <n v="9433.55"/>
        <n v="9461.0"/>
        <n v="9517.6"/>
        <n v="9453.2"/>
        <n v="9469.9"/>
        <n v="9480.25"/>
        <n v="9445.05"/>
        <n v="9410.9"/>
        <n v="9384.05"/>
        <n v="9507.75"/>
        <n v="9560.05"/>
        <n v="9590.65"/>
        <n v="9636.55"/>
        <n v="9603.55"/>
        <n v="9657.15"/>
        <n v="9656.3"/>
        <n v="9704.25"/>
        <n v="9663.95"/>
        <n v="9682.4"/>
        <n v="9638.55"/>
        <n v="9646.7"/>
        <n v="9615.55"/>
        <n v="9621.55"/>
        <n v="9617.9"/>
        <n v="9595.45"/>
        <n v="9626.4"/>
        <n v="9670.5"/>
        <n v="9648.1"/>
        <n v="9642.65"/>
        <n v="9643.25"/>
        <n v="9594.05"/>
        <n v="9520.2"/>
        <n v="9522.95"/>
        <n v="9478.5"/>
        <n v="9587.95"/>
        <n v="9645.9"/>
        <n v="9619.75"/>
        <n v="9653.6"/>
        <n v="9670.35"/>
        <n v="9719.3"/>
        <n v="9797.45"/>
        <n v="9807.3"/>
        <n v="9855.8"/>
        <n v="9913.3"/>
        <n v="9908.15"/>
        <n v="9832.7"/>
        <n v="9855.95"/>
        <n v="9920.2"/>
        <n v="9899.6"/>
        <n v="9936.8"/>
        <n v="10010.55"/>
        <n v="9983.65"/>
        <n v="10063.25"/>
        <n v="9996.55"/>
        <n v="10034.7"/>
        <n v="10101.05"/>
        <n v="10136.3"/>
        <n v="10081.15"/>
        <n v="10008.6"/>
        <n v="10074.8"/>
        <n v="10068.35"/>
        <n v="9961.15"/>
        <n v="9872.85"/>
        <n v="9712.15"/>
        <n v="9755.75"/>
        <n v="9825.85"/>
        <n v="9945.55"/>
        <n v="9865.95"/>
        <n v="9864.25"/>
        <n v="9815.75"/>
        <n v="9803.05"/>
        <n v="9881.2"/>
        <n v="9907.15"/>
        <n v="9886.4"/>
        <n v="9859.5"/>
        <n v="9905.7"/>
        <n v="9937.65"/>
        <n v="9984.15"/>
        <n v="9933.25"/>
        <n v="9899.25"/>
        <n v="9945.85"/>
        <n v="9958.65"/>
        <n v="9971.75"/>
        <n v="10056.85"/>
        <n v="10099.25"/>
        <n v="10107.4"/>
        <n v="10062.35"/>
        <n v="10133.1"/>
        <n v="10175.6"/>
        <n v="10160.95"/>
        <n v="10139.6"/>
        <n v="10094.35"/>
        <n v="9960.1"/>
        <n v="9875.25"/>
        <n v="9920.6"/>
        <n v="9736.4"/>
        <n v="9814.3"/>
        <n v="9893.3"/>
        <n v="9884.35"/>
        <n v="9927.0"/>
        <n v="9988.2"/>
        <n v="10013.7"/>
        <n v="10042.6"/>
        <n v="10011.2"/>
        <n v="10123.7"/>
        <n v="10207.4"/>
        <n v="10227.65"/>
        <n v="10209.4"/>
        <n v="10210.35"/>
        <n v="10176.65"/>
        <n v="10218.55"/>
        <n v="10321.15"/>
        <n v="10291.8"/>
        <n v="10362.3"/>
        <n v="10353.85"/>
        <n v="10364.9"/>
        <n v="10390.35"/>
        <n v="10440.5"/>
        <n v="10461.55"/>
        <n v="10431.75"/>
        <n v="10477.15"/>
        <n v="10361.95"/>
        <n v="10358.65"/>
        <n v="10304.35"/>
        <n v="10322.0"/>
        <n v="10223.4"/>
        <n v="10171.95"/>
        <n v="10152.9"/>
        <n v="10324.55"/>
        <n v="10287.2"/>
        <n v="10329.25"/>
        <n v="10350.8"/>
        <n v="10358.45"/>
        <n v="10366.8"/>
        <n v="10361.05"/>
        <n v="10387.9"/>
        <n v="10376.65"/>
        <n v="10332.7"/>
        <n v="10263.7"/>
        <n v="10175.05"/>
        <n v="10118.25"/>
        <n v="10088.8"/>
        <n v="10063.45"/>
        <n v="10198.45"/>
        <n v="10310.5"/>
        <n v="10324.9"/>
        <n v="10236.6"/>
        <n v="10229.3"/>
        <n v="10345.65"/>
        <n v="10263.1"/>
        <n v="10414.8"/>
        <n v="10494.4"/>
        <n v="10473.95"/>
        <n v="10457.3"/>
        <n v="10512.3"/>
        <n v="10531.05"/>
        <n v="10498.2"/>
        <n v="10492.35"/>
        <n v="10531.7"/>
        <n v="10477.55"/>
        <n v="10482.65"/>
        <n v="10469.4"/>
        <n v="10534.25"/>
        <n v="10591.7"/>
        <n v="10645.1"/>
        <n v="10652.05"/>
        <n v="10637.05"/>
        <n v="10682.55"/>
        <n v="10718.5"/>
        <n v="10761.5"/>
        <n v="10702.45"/>
        <n v="10873.4"/>
        <n v="10829.2"/>
        <n v="10883.2"/>
        <n v="10997.4"/>
        <n v="11069.35"/>
        <n v="11095.6"/>
        <n v="11079.35"/>
        <n v="11120.85"/>
        <n v="11018.8"/>
        <n v="11044.55"/>
        <n v="10938.2"/>
        <n v="10604.3"/>
        <n v="10295.15"/>
        <n v="10607.2"/>
        <n v="10518.5"/>
        <n v="10416.5"/>
        <n v="10518.2"/>
        <n v="10585.75"/>
        <n v="10537.9"/>
        <n v="10596.2"/>
        <n v="10488.9"/>
        <n v="10391.0"/>
        <n v="10426.0"/>
        <n v="10354.35"/>
        <n v="10408.1"/>
        <n v="10526.55"/>
        <n v="10615.2"/>
        <n v="10488.95"/>
        <n v="10479.95"/>
        <n v="10428.3"/>
        <n v="10420.5"/>
        <n v="10232.95"/>
        <n v="10216.25"/>
        <n v="10271.3"/>
        <n v="10301.6"/>
        <n v="10389.5"/>
        <n v="10393.05"/>
        <n v="10405.45"/>
        <n v="10345.15"/>
        <n v="10215.35"/>
        <n v="10051.55"/>
        <n v="10181.95"/>
        <n v="10167.5"/>
        <n v="9968.8"/>
        <n v="9989.15"/>
        <n v="10188.0"/>
        <n v="10143.6"/>
        <n v="10151.65"/>
        <n v="10186.85"/>
        <n v="10274.6"/>
        <n v="10228.45"/>
        <n v="10322.75"/>
        <n v="10333.7"/>
        <n v="10412.9"/>
        <n v="10428.15"/>
        <n v="10410.65"/>
        <n v="10495.3"/>
        <n v="10398.3"/>
        <n v="10557.3"/>
        <n v="10578.9"/>
        <n v="10563.65"/>
        <n v="10560.35"/>
        <n v="10592.8"/>
        <n v="10578.1"/>
        <n v="10612.4"/>
        <n v="10586.5"/>
        <n v="10651.65"/>
        <n v="10705.75"/>
        <n v="10783.85"/>
        <n v="10720.15"/>
        <n v="10700.45"/>
        <n v="10653.15"/>
        <n v="10757.9"/>
        <n v="10693.35"/>
        <n v="10779.65"/>
        <n v="10741.95"/>
        <n v="10815.15"/>
        <n v="10812.6"/>
        <n v="10751.95"/>
        <n v="10775.6"/>
        <n v="10671.85"/>
        <n v="10616.7"/>
        <n v="10518.45"/>
        <n v="10521.1"/>
        <n v="10464.85"/>
        <n v="10533.05"/>
        <n v="10648.35"/>
        <n v="10689.4"/>
        <n v="10579.0"/>
        <n v="10670.1"/>
        <n v="10738.45"/>
        <n v="10765.95"/>
        <n v="10630.7"/>
        <n v="10603.45"/>
        <n v="10722.6"/>
        <n v="10736.4"/>
        <n v="10781.85"/>
        <n v="10816.15"/>
        <n v="10887.5"/>
        <n v="10832.9"/>
        <n v="10808.65"/>
        <n v="10830.2"/>
        <n v="10789.45"/>
        <n v="10734.65"/>
        <n v="10808.45"/>
        <n v="10742.7"/>
        <n v="10822.9"/>
        <n v="10785.5"/>
        <n v="10660.8"/>
        <n v="10612.85"/>
        <n v="10732.35"/>
        <n v="10668.6"/>
        <n v="10715.0"/>
        <n v="10786.05"/>
        <n v="10744.15"/>
        <n v="10838.3"/>
        <n v="10902.75"/>
        <n v="10956.4"/>
        <n v="11006.95"/>
        <n v="11056.9"/>
        <n v="11018.95"/>
        <n v="10939.65"/>
        <n v="11060.2"/>
        <n v="10999.5"/>
        <n v="10963.5"/>
        <n v="11019.85"/>
        <n v="11109.0"/>
        <n v="11148.4"/>
        <n v="11132.95"/>
        <n v="11232.75"/>
        <n v="11296.65"/>
        <n v="11311.05"/>
        <n v="11359.8"/>
        <n v="11328.9"/>
        <n v="11297.8"/>
        <n v="11401.5"/>
        <n v="11423.15"/>
        <n v="11412.5"/>
        <n v="11493.25"/>
        <n v="11474.95"/>
        <n v="11369.6"/>
        <n v="11381.7"/>
        <n v="11397.15"/>
        <n v="11437.15"/>
        <n v="11502.1"/>
        <n v="11576.2"/>
        <n v="11620.7"/>
        <n v="11566.6"/>
        <n v="11605.85"/>
        <n v="11731.95"/>
        <n v="11744.95"/>
        <n v="11694.75"/>
        <n v="11675.85"/>
        <n v="11751.8"/>
        <n v="11598.75"/>
        <n v="11514.85"/>
        <n v="11514.15"/>
        <n v="11558.25"/>
        <n v="11570.25"/>
        <n v="11476.85"/>
        <n v="11340.1"/>
        <n v="11443.5"/>
        <n v="11464.95"/>
        <n v="11381.55"/>
        <n v="11326.65"/>
        <n v="11271.3"/>
        <n v="11164.4"/>
        <n v="10969.95"/>
        <n v="11145.55"/>
        <n v="11079.8"/>
        <n v="11008.1"/>
        <n v="10930.9"/>
        <n v="10982.7"/>
        <n v="10754.7"/>
        <n v="10514.1"/>
        <n v="10310.15"/>
        <n v="10390.3"/>
        <n v="10331.85"/>
        <n v="10169.8"/>
        <n v="10331.55"/>
        <n v="10524.2"/>
        <n v="10550.15"/>
        <n v="10688.7"/>
        <n v="10339.7"/>
        <n v="10405.85"/>
        <n v="10152.6"/>
        <n v="10278.15"/>
        <n v="10135.05"/>
        <n v="10122.35"/>
        <n v="10078.1"/>
        <n v="10239.4"/>
        <n v="10209.55"/>
        <n v="10441.7"/>
        <n v="10462.3"/>
        <n v="10558.75"/>
        <n v="10552.0"/>
        <n v="10614.45"/>
        <n v="10614.7"/>
        <n v="10607.8"/>
        <n v="10451.9"/>
        <n v="10634.9"/>
        <n v="10580.6"/>
        <n v="10644.0"/>
        <n v="10731.25"/>
        <n v="10740.1"/>
        <n v="10670.95"/>
        <n v="10612.65"/>
        <n v="10568.3"/>
        <n v="10621.45"/>
        <n v="10708.75"/>
        <n v="10808.7"/>
        <n v="10892.1"/>
        <n v="10930.7"/>
        <n v="10877.1"/>
        <n v="10820.45"/>
        <n v="10718.15"/>
        <n v="10644.8"/>
        <n v="10508.7"/>
        <n v="10350.05"/>
        <n v="10591.0"/>
        <n v="10810.75"/>
        <n v="10784.5"/>
        <n v="10853.2"/>
        <n v="10850.9"/>
        <n v="10930.55"/>
        <n v="10885.2"/>
        <n v="10944.25"/>
        <n v="10780.9"/>
        <n v="10635.45"/>
        <n v="10817.9"/>
        <n v="10820.95"/>
        <n v="10913.2"/>
        <n v="10881.7"/>
        <n v="10868.85"/>
        <n v="10796.8"/>
        <n v="10699.7"/>
        <n v="10804.85"/>
        <n v="10786.25"/>
        <n v="10862.4"/>
        <n v="10859.35"/>
        <n v="10834.75"/>
        <n v="10807.0"/>
        <n v="10777.55"/>
        <n v="10899.65"/>
        <n v="10920.85"/>
        <n v="10914.85"/>
        <n v="10919.35"/>
        <n v="10949.8"/>
        <n v="10931.05"/>
        <n v="10844.05"/>
        <n v="10859.75"/>
        <n v="10792.45"/>
        <n v="10653.7"/>
        <n v="10702.25"/>
        <n v="10690.55"/>
        <n v="10851.35"/>
        <n v="10876.75"/>
        <n v="10908.65"/>
        <n v="10965.1"/>
        <n v="11070.45"/>
        <n v="11023.5"/>
        <n v="10879.7"/>
        <n v="10870.55"/>
        <n v="10786.1"/>
        <n v="10780.25"/>
        <n v="10738.65"/>
        <n v="10636.7"/>
        <n v="10655.45"/>
        <n v="10744.1"/>
        <n v="10782.7"/>
        <n v="10813.25"/>
        <n v="10775.3"/>
        <n v="10881.2"/>
        <n v="10865.7"/>
        <n v="10842.65"/>
        <n v="10864.85"/>
        <n v="11024.85"/>
        <n v="11077.95"/>
        <n v="11038.85"/>
        <n v="11068.75"/>
        <n v="11231.35"/>
        <n v="11326.2"/>
        <n v="11382.5"/>
        <n v="11376.85"/>
        <n v="11473.85"/>
        <n v="11500.3"/>
        <n v="11553.35"/>
        <n v="11549.2"/>
        <n v="11395.65"/>
        <n v="11375.2"/>
        <n v="11531.45"/>
        <n v="11463.65"/>
        <n v="11625.45"/>
        <n v="11665.2"/>
        <n v="11711.55"/>
        <n v="11735.3"/>
        <n v="11660.2"/>
        <n v="11638.4"/>
        <n v="11704.35"/>
        <n v="11612.05"/>
        <n v="11646.85"/>
        <n v="11592.55"/>
        <n v="11612.85"/>
        <n v="11667.0"/>
        <n v="11736.2"/>
        <n v="11856.15"/>
        <n v="11727.05"/>
        <n v="11612.95"/>
        <n v="11601.5"/>
        <n v="11735.7"/>
        <n v="11683.75"/>
        <n v="11748.75"/>
        <n v="11725.55"/>
        <n v="11722.6"/>
        <n v="11605.8"/>
        <n v="11651.5"/>
        <n v="11478.7"/>
        <n v="11322.4"/>
        <n v="11314.15"/>
        <n v="11258.7"/>
        <n v="11151.65"/>
        <n v="11271.7"/>
        <n v="11180.35"/>
        <n v="11261.9"/>
        <n v="11651.9"/>
        <n v="11863.65"/>
        <n v="11727.95"/>
        <n v="11901.3"/>
        <n v="11748.0"/>
        <n v="11855.5"/>
        <n v="11958.35"/>
        <n v="11905.8"/>
        <n v="11865.3"/>
        <n v="11999.8"/>
        <n v="11953.75"/>
        <n v="12052.65"/>
        <n v="12039.8"/>
        <n v="11865.2"/>
        <n v="11934.9"/>
        <n v="11959.85"/>
        <n v="11962.45"/>
        <n v="11873.9"/>
        <n v="11910.1"/>
        <n v="11844.0"/>
        <n v="11677.05"/>
        <n v="11744.45"/>
        <n v="11653.65"/>
        <n v="11827.6"/>
        <n v="11725.8"/>
        <n v="11681.0"/>
        <n v="11768.15"/>
        <n v="11860.85"/>
        <n v="11861.15"/>
        <n v="11839.9"/>
        <n v="11890.3"/>
        <n v="11932.15"/>
        <n v="11928.8"/>
        <n v="11964.75"/>
        <n v="11770.4"/>
        <n v="11531.6"/>
        <n v="11536.15"/>
        <n v="11561.45"/>
        <n v="11601.15"/>
        <n v="11614.75"/>
        <n v="11596.65"/>
        <n v="11670.75"/>
        <n v="11675.6"/>
        <n v="11627.95"/>
        <n v="11392.85"/>
        <n v="11372.25"/>
        <n v="11322.45"/>
        <n v="11290.4"/>
        <n v="11247.45"/>
        <n v="11307.5"/>
        <n v="11213.7"/>
        <n v="11034.05"/>
        <n v="10930.3"/>
        <n v="10895.8"/>
        <n v="10815.4"/>
        <n v="10958.1"/>
        <n v="10899.2"/>
        <n v="11087.9"/>
        <n v="11139.4"/>
        <n v="11003.25"/>
        <n v="11043.65"/>
        <n v="11094.8"/>
        <n v="11063.9"/>
        <n v="11018.15"/>
        <n v="10905.3"/>
        <n v="10699.6"/>
        <n v="11000.3"/>
        <n v="11106.55"/>
        <n v="11101.3"/>
        <n v="10996.05"/>
        <n v="10987.8"/>
        <n v="10960.95"/>
        <n v="10790.4"/>
        <n v="10860.95"/>
        <n v="10883.8"/>
        <n v="10936.7"/>
        <n v="11028.5"/>
        <n v="11058.3"/>
        <n v="10986.8"/>
        <n v="10994.85"/>
        <n v="11000.1"/>
        <n v="10872.8"/>
        <n v="10845.2"/>
        <n v="10746.8"/>
        <n v="11542.7"/>
        <n v="11590.7"/>
        <n v="11564.85"/>
        <n v="11469.85"/>
        <n v="11556.35"/>
        <n v="11491.15"/>
        <n v="11515.4"/>
        <n v="11322.25"/>
        <n v="11388.45"/>
        <n v="11196.2"/>
        <n v="11152.95"/>
        <n v="11280.5"/>
        <n v="11257.7"/>
        <n v="11335.9"/>
        <n v="11360.85"/>
        <n v="11466.3"/>
        <n v="11580.3"/>
        <n v="11657.15"/>
        <n v="11596.2"/>
        <n v="11661.65"/>
        <n v="11646.15"/>
        <n v="11662.25"/>
        <n v="11643.95"/>
        <n v="11883.9"/>
        <n v="11890.45"/>
        <n v="11886.6"/>
        <n v="11928.9"/>
        <n v="11974.6"/>
        <n v="11911.5"/>
        <n v="12021.1"/>
        <n v="11987.15"/>
        <n v="11879.2"/>
        <n v="11908.3"/>
        <n v="11858.75"/>
        <n v="11904.2"/>
        <n v="11915.15"/>
        <n v="11919.45"/>
        <n v="12004.75"/>
        <n v="12025.65"/>
        <n v="11967.3"/>
        <n v="11922.45"/>
        <n v="12110.2"/>
        <n v="12068.5"/>
        <n v="12132.1"/>
        <n v="12146.2"/>
        <n v="12137.05"/>
        <n v="12067.65"/>
        <n v="11969.95"/>
        <n v="12071.25"/>
        <n v="12047.35"/>
        <n v="11939.1"/>
        <n v="11950.5"/>
        <n v="11867.35"/>
        <n v="11944.3"/>
        <n v="12026.4"/>
        <n v="12131.35"/>
        <n v="12082.45"/>
        <n v="12197.0"/>
        <n v="12223.4"/>
        <n v="12266.45"/>
        <n v="12235.45"/>
        <n v="12269.25"/>
        <n v="12211.85"/>
        <n v="12172.9"/>
        <n v="12274.9"/>
        <n v="12247.1"/>
        <n v="12202.15"/>
        <n v="12198.55"/>
        <n v="12261.1"/>
        <n v="12170.6"/>
        <n v="12079.1"/>
        <n v="12153.15"/>
        <n v="12271.0"/>
        <n v="12296.7"/>
        <n v="12333.1"/>
        <n v="12349.4"/>
        <n v="12347.1"/>
        <n v="12328.4"/>
        <n v="12430.5"/>
        <n v="12195.3"/>
        <n v="12218.35"/>
        <n v="12123.75"/>
        <n v="12174.55"/>
        <n v="12197.1"/>
        <n v="12148.1"/>
        <n v="12114.9"/>
        <n v="12147.75"/>
        <n v="12100.4"/>
        <n v="11939.0"/>
        <n v="11627.45"/>
        <n v="11786.25"/>
        <n v="12005.85"/>
        <n v="12120.0"/>
        <n v="12151.15"/>
        <n v="12102.35"/>
        <n v="12108.4"/>
        <n v="12151.0"/>
        <n v="12219.55"/>
        <n v="12190.15"/>
        <n v="12131.8"/>
        <n v="12028.25"/>
        <n v="12090.6"/>
        <n v="12119.0"/>
        <n v="12012.55"/>
        <n v="11877.5"/>
        <n v="11738.55"/>
        <n v="11661.25"/>
        <n v="11382.0"/>
        <n v="11387.35"/>
        <n v="11217.55"/>
        <n v="11351.35"/>
        <n v="11306.05"/>
        <n v="10942.65"/>
        <n v="10742.05"/>
        <n v="10334.3"/>
        <n v="10039.95"/>
        <n v="9107.6"/>
        <n v="9587.8"/>
        <n v="9285.4"/>
        <n v="9088.45"/>
        <n v="8063.3"/>
        <n v="8284.45"/>
        <n v="7945.7"/>
        <n v="7848.3"/>
        <n v="7735.15"/>
        <n v="8451.0"/>
        <n v="8949.1"/>
        <n v="8385.95"/>
        <n v="8529.35"/>
        <n v="8584.1"/>
        <n v="8356.55"/>
        <n v="8446.3"/>
        <n v="8688.9"/>
        <n v="8973.05"/>
        <n v="9103.95"/>
        <n v="9196.4"/>
        <n v="8851.25"/>
        <n v="9323.45"/>
        <n v="9390.2"/>
        <n v="9016.95"/>
        <n v="9026.75"/>
        <n v="9232.35"/>
        <n v="9163.9"/>
        <n v="9259.7"/>
        <n v="9389.8"/>
        <n v="9408.6"/>
        <n v="9753.5"/>
        <n v="9533.5"/>
        <n v="9429.4"/>
        <n v="9226.8"/>
        <n v="9234.05"/>
        <n v="9376.95"/>
        <n v="9348.15"/>
        <n v="9168.85"/>
        <n v="9584.2"/>
        <n v="9213.95"/>
        <n v="9182.4"/>
        <n v="9158.3"/>
        <n v="8961.7"/>
        <n v="8889.15"/>
        <n v="9079.45"/>
        <n v="9067.9"/>
        <n v="9099.75"/>
        <n v="9082.2"/>
        <n v="9364.95"/>
        <n v="9422.2"/>
        <n v="9726.85"/>
        <n v="9880.85"/>
        <n v="10108.3"/>
        <n v="10054.25"/>
        <n v="10093.8"/>
        <n v="10326.75"/>
        <n v="10181.15"/>
        <n v="10072.6"/>
        <n v="10094.1"/>
        <n v="9544.95"/>
        <n v="9919.35"/>
        <n v="10014.8"/>
        <n v="9876.7"/>
        <n v="9863.25"/>
        <n v="10119.0"/>
        <n v="10318.75"/>
        <n v="10347.95"/>
        <n v="10529.25"/>
        <n v="10235.55"/>
        <n v="10378.9"/>
        <n v="10311.95"/>
        <n v="10382.6"/>
        <n v="10323.8"/>
        <n v="10493.05"/>
        <n v="10614.95"/>
        <n v="10723.85"/>
        <n v="10802.85"/>
        <n v="10818.65"/>
        <n v="10755.55"/>
        <n v="10764.1"/>
        <n v="10851.85"/>
        <n v="10750.85"/>
        <n v="11126.1"/>
        <n v="11231.2"/>
        <n v="11135.0"/>
        <n v="11149.95"/>
        <n v="11225.0"/>
        <n v="11154.1"/>
        <n v="11276.9"/>
        <n v="11254.3"/>
        <n v="11139.5"/>
        <n v="11057.55"/>
        <n v="10946.65"/>
        <n v="11155.75"/>
        <n v="11185.7"/>
        <n v="11186.65"/>
        <n v="11270.25"/>
        <n v="11289.0"/>
        <n v="11334.85"/>
        <n v="11353.3"/>
        <n v="11248.9"/>
        <n v="11259.8"/>
        <n v="11452.15"/>
        <n v="11317.45"/>
        <n v="11409.65"/>
        <n v="11412.0"/>
        <n v="11513.1"/>
        <n v="11512.85"/>
        <n v="11609.3"/>
        <n v="11602.95"/>
        <n v="11777.55"/>
        <n v="11464.3"/>
        <n v="11478.55"/>
        <n v="11566.2"/>
        <n v="11354.4"/>
        <n v="11359.6"/>
        <n v="11378.55"/>
        <n v="11218.6"/>
        <n v="11363.3"/>
        <n v="11447.8"/>
        <n v="11540.15"/>
        <n v="11487.2"/>
        <n v="11538.45"/>
        <n v="11539.4"/>
        <n v="11584.1"/>
        <n v="11503.8"/>
        <n v="11301.75"/>
        <n v="11258.75"/>
        <n v="11011.0"/>
        <n v="10910.4"/>
        <n v="11140.85"/>
        <n v="11288.6"/>
        <n v="11244.45"/>
        <n v="11364.45"/>
        <n v="11487.8"/>
        <n v="11603.45"/>
        <n v="11679.25"/>
        <n v="11835.4"/>
        <n v="11852.05"/>
        <n v="11973.55"/>
        <n v="11934.65"/>
        <n v="11917.4"/>
        <n v="12023.45"/>
        <n v="11727.4"/>
        <n v="11861.0"/>
        <n v="11958.55"/>
        <n v="11890.0"/>
        <n v="11957.9"/>
        <n v="11937.4"/>
        <n v="11807.1"/>
        <n v="11922.6"/>
        <n v="11633.3"/>
        <n v="11678.45"/>
        <n v="11697.35"/>
        <n v="11734.45"/>
        <n v="11783.35"/>
        <n v="12062.4"/>
        <n v="12156.65"/>
        <n v="12399.4"/>
        <n v="12556.4"/>
        <n v="12680.6"/>
        <n v="12702.15"/>
        <n v="12659.7"/>
        <n v="12823.35"/>
        <n v="12932.5"/>
        <n v="12860.1"/>
        <n v="12839.5"/>
        <n v="12813.4"/>
        <n v="12960.3"/>
        <n v="13002.6"/>
        <n v="13130.0"/>
        <n v="12906.45"/>
        <n v="13012.05"/>
        <n v="13062.2"/>
        <n v="13121.4"/>
        <n v="13215.3"/>
        <n v="13177.4"/>
        <n v="13264.85"/>
        <n v="13393.85"/>
        <n v="13458.1"/>
        <n v="13488.5"/>
        <n v="13512.3"/>
        <n v="13571.45"/>
        <n v="13547.2"/>
        <n v="13663.1"/>
        <n v="13713.55"/>
        <n v="13764.4"/>
        <n v="13741.9"/>
        <n v="13373.65"/>
        <n v="13473.5"/>
        <n v="13672.15"/>
        <n v="13815.15"/>
        <n v="13910.35"/>
        <n v="13980.9"/>
        <n v="13970.0"/>
        <n v="13996.1"/>
        <n v="14104.35"/>
        <n v="14075.15"/>
        <n v="14240.95"/>
        <n v="14253.75"/>
        <n v="14258.4"/>
        <n v="14474.05"/>
        <n v="14473.8"/>
        <n v="14639.8"/>
        <n v="14550.05"/>
        <n v="14594.35"/>
        <n v="14453.3"/>
        <n v="14371.65"/>
        <n v="14538.3"/>
        <n v="14730.95"/>
        <n v="14583.4"/>
        <n v="14477.8"/>
        <n v="14237.95"/>
        <n v="13810.4"/>
        <n v="13946.6"/>
        <n v="13758.6"/>
        <n v="14481.1"/>
        <n v="14754.9"/>
        <n v="14789.05"/>
        <n v="14952.6"/>
        <n v="15064.3"/>
        <n v="15164.15"/>
        <n v="15119.05"/>
        <n v="15073.25"/>
        <n v="15186.2"/>
        <n v="15270.3"/>
        <n v="15371.45"/>
        <n v="15279.9"/>
        <n v="15238.7"/>
        <n v="15074.8"/>
        <n v="14999.05"/>
        <n v="14782.25"/>
        <n v="14729.15"/>
        <n v="15079.85"/>
        <n v="14888.6"/>
        <n v="14702.5"/>
        <n v="14865.3"/>
        <n v="15064.4"/>
        <n v="15026.75"/>
        <n v="14977.95"/>
        <n v="15002.45"/>
        <n v="15049.9"/>
        <n v="15202.15"/>
        <n v="15321.15"/>
        <n v="15048.4"/>
        <n v="14996.1"/>
        <n v="14946.55"/>
        <n v="14855.5"/>
        <n v="14471.15"/>
        <n v="14736.3"/>
        <n v="14768.55"/>
        <n v="14712.45"/>
        <n v="14570.9"/>
        <n v="14506.3"/>
        <n v="14628.5"/>
        <n v="14811.85"/>
        <n v="14798.4"/>
        <n v="14837.7"/>
        <n v="14737.0"/>
        <n v="14716.45"/>
        <n v="14875.65"/>
        <n v="14882.65"/>
        <n v="14644.65"/>
        <n v="14364.9"/>
        <n v="14522.4"/>
        <n v="14599.6"/>
        <n v="14306.6"/>
        <n v="14526.7"/>
        <n v="14219.15"/>
        <n v="14326.35"/>
        <n v="14449.45"/>
        <n v="14493.8"/>
        <n v="14710.5"/>
        <n v="14979.0"/>
        <n v="14747.35"/>
        <n v="14481.05"/>
        <n v="14687.25"/>
        <n v="14604.15"/>
        <n v="14668.35"/>
        <n v="14816.85"/>
        <n v="14928.25"/>
        <n v="14789.7"/>
        <n v="14823.55"/>
        <n v="14749.4"/>
        <n v="14756.25"/>
        <n v="15067.2"/>
        <n v="15058.6"/>
        <n v="15042.6"/>
        <n v="14987.8"/>
        <n v="15211.35"/>
        <n v="15291.75"/>
        <n v="15257.05"/>
        <n v="15323.95"/>
        <n v="15421.2"/>
        <n v="15437.75"/>
        <n v="15629.65"/>
        <n v="15520.35"/>
        <n v="15655.55"/>
        <n v="15712.5"/>
        <n v="15725.1"/>
        <n v="15773.9"/>
        <n v="15766.3"/>
        <n v="15692.1"/>
        <n v="15796.45"/>
        <n v="15791.4"/>
        <n v="15866.95"/>
        <n v="15847.5"/>
        <n v="15648.3"/>
        <n v="15756.5"/>
        <n v="15525.85"/>
        <n v="15840.5"/>
        <n v="15862.8"/>
        <n v="15737.3"/>
        <n v="15839.35"/>
        <n v="15915.35"/>
        <n v="15807.5"/>
        <n v="15776.9"/>
        <n v="15755.05"/>
        <n v="15705.85"/>
        <n v="15793.4"/>
        <n v="15813.75"/>
        <n v="15819.6"/>
        <n v="15855.4"/>
        <n v="15688.25"/>
        <n v="15766.8"/>
        <n v="15794.0"/>
        <n v="15808.7"/>
        <n v="15872.15"/>
        <n v="15958.35"/>
        <n v="15754.5"/>
        <n v="15703.95"/>
        <n v="15736.6"/>
        <n v="15856.8"/>
        <n v="15849.3"/>
        <n v="15860.5"/>
        <n v="15761.55"/>
        <n v="15762.7"/>
        <n v="15800.6"/>
        <n v="15874.9"/>
        <n v="15951.55"/>
        <n v="16195.25"/>
        <n v="16288.95"/>
        <n v="16304.4"/>
        <n v="16281.35"/>
        <n v="16274.8"/>
        <n v="16327.3"/>
        <n v="16303.65"/>
        <n v="16385.7"/>
        <n v="16518.4"/>
        <n v="16545.25"/>
        <n v="16691.95"/>
        <n v="16382.5"/>
        <n v="16592.25"/>
        <n v="16561.4"/>
        <n v="16654.0"/>
        <n v="16627.95"/>
        <n v="16642.55"/>
        <n v="16775.85"/>
        <n v="16947.5"/>
        <n v="17185.6"/>
        <n v="17095.4"/>
        <n v="17262.45"/>
        <n v="17399.35"/>
        <n v="17401.55"/>
        <n v="17375.75"/>
        <n v="17312.85"/>
        <n v="17363.55"/>
        <n v="17420.35"/>
        <n v="17387.65"/>
        <n v="17539.2"/>
        <n v="17709.65"/>
        <n v="17443.85"/>
        <n v="17450.5"/>
        <n v="17580.9"/>
        <n v="17670.85"/>
        <n v="17897.45"/>
        <n v="17932.2"/>
        <n v="17906.45"/>
        <n v="17657.95"/>
        <n v="17718.9"/>
        <n v="17531.9"/>
        <n v="17615.55"/>
        <n v="17661.35"/>
        <n v="17861.5"/>
        <n v="17810.55"/>
        <n v="17886.85"/>
        <n v="17867.55"/>
        <n v="17915.8"/>
        <n v="18097.85"/>
        <n v="18272.85"/>
        <n v="18500.1"/>
        <n v="18602.35"/>
        <n v="18439.9"/>
        <n v="18382.7"/>
        <n v="18230.7"/>
        <n v="18229.5"/>
        <n v="18154.5"/>
        <n v="18295.85"/>
        <n v="18187.65"/>
        <n v="17833.05"/>
        <n v="17783.15"/>
        <n v="17970.9"/>
        <n v="17947.95"/>
        <n v="17935.05"/>
        <n v="18040.2"/>
        <n v="18084.35"/>
        <n v="17973.45"/>
        <n v="17967.45"/>
        <n v="17977.6"/>
        <n v="18140.95"/>
        <n v="18127.05"/>
        <n v="17939.35"/>
        <n v="17890.55"/>
        <n v="17796.25"/>
        <n v="17281.75"/>
        <n v="17550.05"/>
        <n v="17417.3"/>
        <n v="17338.75"/>
        <n v="17055.8"/>
        <n v="17051.15"/>
        <n v="17104.4"/>
        <n v="17183.2"/>
        <n v="17424.9"/>
        <n v="17209.05"/>
        <n v="17044.1"/>
        <n v="17315.25"/>
        <n v="17524.4"/>
        <n v="17476.05"/>
        <n v="17619.1"/>
        <n v="17283.2"/>
        <n v="17323.65"/>
        <n v="17373.0"/>
        <n v="17276.0"/>
        <n v="16824.25"/>
        <n v="16773.15"/>
        <n v="16865.55"/>
        <n v="17066.8"/>
        <n v="17149.5"/>
        <n v="16937.75"/>
        <n v="17177.6"/>
        <n v="17220.1"/>
        <n v="17201.45"/>
        <n v="17244.5"/>
        <n v="17387.15"/>
        <n v="17681.4"/>
        <n v="17820.1"/>
        <n v="17768.5"/>
        <n v="17797.6"/>
        <n v="17913.3"/>
        <n v="17997.75"/>
        <n v="18170.4"/>
        <n v="18257.0"/>
        <n v="18185.0"/>
        <n v="18235.65"/>
        <n v="18337.2"/>
        <n v="18129.2"/>
        <n v="17921.0"/>
        <n v="17613.7"/>
        <n v="17575.15"/>
        <n v="17001.55"/>
        <n v="17062.0"/>
        <n v="17208.3"/>
        <n v="17301.05"/>
        <n v="17529.45"/>
        <n v="17706.2"/>
        <n v="17767.75"/>
        <n v="17590.2"/>
        <n v="17456.3"/>
        <n v="17279.85"/>
        <n v="17370.1"/>
        <n v="17554.1"/>
        <n v="17451.0"/>
        <n v="17076.15"/>
        <n v="16933.25"/>
        <n v="17408.45"/>
        <n v="17396.55"/>
        <n v="17236.05"/>
        <n v="17192.25"/>
        <n v="16847.95"/>
        <n v="17194.5"/>
        <n v="16548.9"/>
        <n v="16515.65"/>
        <n v="16481.6"/>
        <n v="16593.1"/>
        <n v="16723.2"/>
        <n v="16339.45"/>
        <n v="15867.95"/>
        <n v="15747.75"/>
        <n v="16078.0"/>
        <n v="16757.1"/>
        <n v="16528.8"/>
        <n v="16633.7"/>
        <n v="16900.65"/>
        <n v="16876.65"/>
        <n v="17202.9"/>
        <n v="17329.5"/>
        <n v="17120.4"/>
        <n v="17405.05"/>
        <n v="17094.95"/>
        <n v="17289.0"/>
        <n v="17181.85"/>
        <n v="17297.2"/>
        <n v="17468.15"/>
        <n v="17519.2"/>
        <n v="17436.9"/>
        <n v="17809.1"/>
        <n v="18080.6"/>
        <n v="17842.75"/>
        <n v="17723.3"/>
        <n v="17698.15"/>
        <n v="17740.9"/>
        <n v="17584.85"/>
        <n v="17599.9"/>
        <n v="17183.45"/>
        <n v="17258.95"/>
        <n v="17045.25"/>
        <n v="17234.6"/>
        <n v="17242.75"/>
        <n v="17009.05"/>
        <n v="17121.3"/>
        <n v="17073.35"/>
        <n v="17189.5"/>
        <n v="17329.25"/>
        <n v="16924.45"/>
        <n v="17096.6"/>
        <n v="16854.75"/>
        <n v="16415.55"/>
        <n v="16227.7"/>
        <n v="16248.9"/>
        <n v="16270.05"/>
        <n v="16021.1"/>
        <n v="15977.0"/>
        <n v="15845.1"/>
        <n v="15912.6"/>
        <n v="16318.15"/>
        <n v="15917.4"/>
        <n v="16043.8"/>
        <n v="16290.95"/>
        <n v="16225.55"/>
        <n v="16196.35"/>
        <n v="16105.0"/>
        <n v="16296.6"/>
        <n v="16527.9"/>
        <n v="16578.45"/>
        <n v="16594.4"/>
        <n v="16481.65"/>
        <n v="16761.65"/>
        <n v="16530.7"/>
        <n v="16469.6"/>
        <n v="16474.95"/>
        <n v="16263.85"/>
        <n v="16283.95"/>
        <n v="15877.55"/>
        <n v="15674.25"/>
        <n v="15729.25"/>
        <n v="15832.25"/>
        <n v="15272.65"/>
        <n v="15334.5"/>
        <n v="15455.95"/>
        <n v="15545.65"/>
        <n v="15451.55"/>
        <n v="15657.4"/>
        <n v="15926.2"/>
        <n v="15757.45"/>
        <n v="15701.7"/>
        <n v="15774.5"/>
        <n v="15703.7"/>
        <n v="15710.5"/>
        <n v="15909.15"/>
        <n v="15818.2"/>
        <n v="16113.75"/>
        <n v="16273.65"/>
        <n v="16136.15"/>
        <n v="16126.2"/>
        <n v="16128.2"/>
        <n v="16018.85"/>
        <n v="16010.8"/>
        <n v="16151.4"/>
        <n v="16187.05"/>
        <n v="16562.8"/>
        <n v="16523.55"/>
        <n v="16661.25"/>
        <n v="16662.55"/>
        <n v="16632.9"/>
        <n v="16475.35"/>
        <n v="16774.85"/>
        <n v="17079.5"/>
        <n v="17243.2"/>
        <n v="17310.15"/>
        <n v="17349.25"/>
        <n v="17463.1"/>
        <n v="17423.65"/>
        <n v="17401.5"/>
        <n v="17566.1"/>
        <n v="17711.65"/>
        <n v="17659.65"/>
        <n v="17797.2"/>
        <n v="17868.15"/>
        <n v="17898.65"/>
        <n v="17966.55"/>
        <n v="17682.9"/>
        <n v="17357.35"/>
        <n v="17525.45"/>
        <n v="17679.0"/>
        <n v="17619.3"/>
        <n v="17188.65"/>
        <n v="17414.95"/>
        <n v="17485.7"/>
        <n v="17598.4"/>
        <n v="17546.45"/>
        <n v="17695.7"/>
        <n v="17519.4"/>
        <n v="17748.15"/>
        <n v="17923.35"/>
        <n v="17890.85"/>
        <n v="18044.45"/>
        <n v="17771.15"/>
        <n v="18046.35"/>
        <n v="17796.8"/>
        <n v="17540.65"/>
        <n v="17770.4"/>
        <n v="17766.35"/>
        <n v="17609.65"/>
        <n v="17593.85"/>
        <n v="17156.3"/>
        <n v="17110.9"/>
        <n v="16870.55"/>
        <n v="16993.6"/>
        <n v="16798.05"/>
        <n v="17102.1"/>
        <n v="17147.45"/>
        <n v="17379.25"/>
        <n v="17287.2"/>
        <n v="17094.35"/>
        <n v="17256.05"/>
        <n v="17025.55"/>
        <n v="17087.35"/>
        <n v="17322.3"/>
        <n v="17144.8"/>
        <n v="17438.75"/>
        <n v="17568.15"/>
        <n v="17423.1"/>
        <n v="17622.85"/>
        <n v="17736.35"/>
        <n v="17808.3"/>
        <n v="17771.4"/>
        <n v="17756.4"/>
        <n v="17910.2"/>
        <n v="18130.7"/>
        <n v="18177.9"/>
        <n v="17968.35"/>
        <n v="18053.4"/>
        <n v="18211.75"/>
        <n v="18288.25"/>
        <n v="18044.35"/>
        <n v="18272.35"/>
        <n v="18376.4"/>
        <n v="18362.75"/>
        <n v="18398.25"/>
        <n v="18358.7"/>
        <n v="18382.95"/>
        <n v="18246.4"/>
        <n v="18179.15"/>
        <n v="18325.2"/>
        <n v="18326.1"/>
        <n v="18528.45"/>
        <n v="18430.55"/>
        <n v="18552.45"/>
        <n v="18625.7"/>
        <n v="18871.95"/>
        <n v="18752.4"/>
        <n v="18719.55"/>
        <n v="18600.65"/>
        <n v="18638.85"/>
        <n v="18570.85"/>
        <n v="18662.4"/>
        <n v="18402.15"/>
        <n v="18524.4"/>
        <n v="18671.25"/>
        <n v="18614.4"/>
        <n v="18319.1"/>
        <n v="18288.1"/>
        <n v="18340.3"/>
        <n v="18435.15"/>
        <n v="18288.8"/>
        <n v="17977.65"/>
        <n v="17830.4"/>
        <n v="18089.8"/>
        <n v="18084.75"/>
        <n v="18045.7"/>
        <n v="18259.1"/>
        <n v="18131.7"/>
        <n v="18163.2"/>
        <n v="18230.65"/>
        <n v="18101.95"/>
        <n v="18008.05"/>
        <n v="17952.55"/>
        <n v="18121.3"/>
        <n v="17924.25"/>
        <n v="17920.85"/>
        <n v="17867.5"/>
        <n v="18033.15"/>
        <n v="17922.8"/>
        <n v="18074.3"/>
        <n v="18119.8"/>
        <n v="18115.6"/>
        <n v="18118.45"/>
        <n v="18183.95"/>
        <n v="18093.35"/>
        <n v="17877.2"/>
        <n v="17541.95"/>
        <n v="17731.45"/>
        <n v="17811.6"/>
        <n v="17517.1"/>
        <n v="17721.75"/>
        <n v="17818.55"/>
        <n v="17790.1"/>
        <n v="17750.3"/>
        <n v="17885.5"/>
        <n v="17847.55"/>
        <n v="17859.1"/>
        <n v="17840.35"/>
        <n v="17896.6"/>
        <n v="18094.75"/>
        <n v="17974.85"/>
        <n v="17965.55"/>
        <n v="17905.8"/>
        <n v="17755.35"/>
        <n v="17574.65"/>
        <n v="17591.35"/>
        <n v="17428.6"/>
        <n v="17383.25"/>
        <n v="17360.1"/>
        <n v="17421.5"/>
        <n v="17451.25"/>
        <n v="17680.35"/>
        <n v="17665.75"/>
        <n v="17772.05"/>
        <n v="17443.8"/>
        <n v="17421.9"/>
        <n v="17160.55"/>
        <n v="17166.45"/>
        <n v="16994.65"/>
        <n v="17111.8"/>
        <n v="17066.6"/>
        <n v="17060.4"/>
        <n v="17177.45"/>
        <n v="17097.4"/>
        <n v="17076.2"/>
        <n v="16984.3"/>
        <n v="17031.75"/>
        <n v="16977.3"/>
        <n v="17210.35"/>
        <n v="17427.95"/>
        <n v="17422.3"/>
        <n v="17533.85"/>
        <n v="17634.9"/>
        <n v="17704.8"/>
        <n v="17759.55"/>
        <n v="17807.3"/>
        <n v="17863.0"/>
        <n v="17766.6"/>
        <n v="17653.35"/>
        <n v="17638.6"/>
        <n v="17639.75"/>
        <n v="17707.55"/>
        <n v="17761.55"/>
        <n v="17767.3"/>
        <n v="17813.1"/>
        <n v="17950.4"/>
        <n v="18124.8"/>
        <n v="18113.8"/>
        <n v="18081.0"/>
        <n v="18117.3"/>
        <n v="18120.6"/>
        <n v="18303.4"/>
        <n v="18313.6"/>
        <n v="18357.8"/>
        <n v="18273.75"/>
        <n v="18339.3"/>
        <n v="18432.35"/>
        <n v="18300.45"/>
        <n v="18287.5"/>
        <n v="18186.15"/>
        <n v="18201.1"/>
        <n v="18362.9"/>
        <n v="18294.8"/>
        <n v="18268.9"/>
        <n v="18368.35"/>
        <n v="18619.15"/>
        <n v="18606.65"/>
        <n v="18594.2"/>
        <n v="18579.4"/>
        <n v="18550.85"/>
        <n v="18612.0"/>
        <n v="18600.8"/>
        <n v="18665.6"/>
        <n v="18725.35"/>
        <n v="18655.9"/>
        <n v="18595.05"/>
        <n v="18631.8"/>
        <n v="18744.6"/>
        <n v="18774.45"/>
        <n v="18723.3"/>
        <n v="18873.3"/>
        <n v="18752.35"/>
        <n v="18849.4"/>
        <n v="18853.6"/>
        <n v="18741.85"/>
        <n v="18682.35"/>
        <n v="18748.55"/>
        <n v="18908.15"/>
        <n v="19076.85"/>
        <n v="19246.5"/>
        <n v="19406.6"/>
        <n v="19405.95"/>
        <n v="19385.7"/>
        <n v="19422.8"/>
        <n v="19400.35"/>
        <n v="19427.1"/>
        <n v="19497.45"/>
        <n v="19495.2"/>
        <n v="19493.45"/>
        <n v="19612.15"/>
        <n v="19787.5"/>
        <n v="19802.95"/>
        <n v="19831.7"/>
        <n v="19800.45"/>
        <n v="19748.45"/>
        <n v="19729.35"/>
        <n v="19733.35"/>
        <n v="19850.9"/>
        <n v="19659.75"/>
        <n v="19666.35"/>
        <n v="19784.0"/>
        <n v="19655.4"/>
        <n v="19463.75"/>
        <n v="19462.8"/>
        <n v="19576.85"/>
        <n v="19627.2"/>
        <n v="19578.8"/>
        <n v="19605.55"/>
        <n v="19554.25"/>
        <n v="19383.95"/>
        <n v="19369.0"/>
        <n v="19450.55"/>
        <n v="19301.75"/>
        <n v="19320.65"/>
        <n v="19417.1"/>
        <n v="19439.2"/>
        <n v="19535.15"/>
        <n v="19297.4"/>
        <n v="19298.35"/>
        <n v="19374.85"/>
        <n v="19433.45"/>
        <n v="19375.55"/>
        <n v="19258.15"/>
        <n v="19525.05"/>
        <n v="19564.65"/>
        <n v="19581.2"/>
        <n v="19598.65"/>
        <n v="19774.8"/>
        <n v="19890.0"/>
        <n v="20110.15"/>
        <n v="19989.5"/>
        <n v="20127.95"/>
        <n v="20156.45"/>
        <n v="20155.95"/>
        <n v="19980.75"/>
        <n v="19840.55"/>
        <n v="19744.85"/>
        <n v="19678.2"/>
        <n v="19682.8"/>
        <n v="19637.05"/>
        <n v="19761.8"/>
        <n v="19622.4"/>
        <n v="19446.3"/>
        <n v="19521.85"/>
        <n v="19621.2"/>
        <n v="19539.45"/>
        <n v="19565.6"/>
        <n v="19767.0"/>
        <n v="19822.7"/>
        <n v="19654.55"/>
        <n v="19737.25"/>
        <n v="19843.2"/>
        <n v="19820.45"/>
        <n v="19545.2"/>
        <n v="19542.15"/>
        <n v="19521.6"/>
        <n v="19286.45"/>
        <n v="19027.25"/>
        <n v="18928.75"/>
        <n v="19053.4"/>
        <n v="19232.95"/>
        <n v="19064.05"/>
        <n v="19120.0"/>
        <n v="19241.0"/>
        <n v="19345.85"/>
        <n v="19404.05"/>
        <n v="19449.6"/>
        <n v="19457.4"/>
        <n v="19351.85"/>
        <n v="19547.25"/>
        <n v="19486.75"/>
        <n v="19651.4"/>
        <n v="19674.7"/>
        <n v="19674.75"/>
        <n v="19731.15"/>
        <n v="19770.9"/>
        <n v="19828.45"/>
        <n v="19809.6"/>
        <n v="19844.65"/>
        <n v="19976.55"/>
        <n v="20108.5"/>
        <n v="20194.1"/>
        <n v="20601.95"/>
        <n v="20808.9"/>
        <n v="20950.75"/>
        <n v="20932.4"/>
        <n v="20934.1"/>
        <n v="20965.3"/>
        <n v="21018.55"/>
        <n v="20929.75"/>
        <n v="21110.4"/>
        <n v="21287.45"/>
        <n v="21434.8"/>
        <n v="21477.65"/>
        <n v="21543.5"/>
        <n v="21033.95"/>
        <n v="21295.85"/>
        <n v="21365.2"/>
        <n v="21497.65"/>
        <n v="21715.0"/>
        <n v="21737.65"/>
        <n v="21727.75"/>
        <n v="21751.35"/>
        <n v="21661.1"/>
        <n v="21605.8"/>
        <n v="21705.75"/>
        <n v="21747.6"/>
        <n v="21653.6"/>
        <n v="21529.3"/>
        <n v="21688.0"/>
        <n v="21773.55"/>
        <n v="22053.15"/>
        <n v="22080.5"/>
        <n v="21647.25"/>
        <n v="21414.2"/>
        <n v="21615.2"/>
        <n v="21706.15"/>
        <n v="21716.7"/>
        <n v="21185.25"/>
        <n v="21454.6"/>
        <n v="21433.1"/>
        <n v="21775.75"/>
        <n v="21487.25"/>
        <n v="21780.65"/>
        <n v="21812.75"/>
        <n v="21921.05"/>
        <n v="21825.2"/>
        <n v="22045.05"/>
        <n v="22009.65"/>
        <n v="21727.0"/>
        <n v="21800.8"/>
        <n v="21664.3"/>
        <n v="21578.15"/>
        <n v="21906.55"/>
        <n v="22020.3"/>
        <n v="22103.45"/>
        <n v="22099.2"/>
        <n v="22248.85"/>
        <n v="22081.55"/>
        <n v="22290.0"/>
        <n v="22169.2"/>
        <n v="22090.2"/>
        <n v="22214.1"/>
        <n v="21935.2"/>
        <n v="22048.3"/>
        <n v="22406.95"/>
        <n v="22403.5"/>
        <n v="22371.25"/>
        <n v="22327.5"/>
        <n v="22505.3"/>
        <n v="22517.5"/>
        <n v="22334.45"/>
        <n v="22432.2"/>
        <n v="21982.55"/>
        <n v="22064.85"/>
        <n v="21990.1"/>
        <n v="21946.45"/>
        <n v="21843.9"/>
        <n v="21989.9"/>
        <n v="21932.2"/>
        <n v="21947.9"/>
        <n v="22053.95"/>
        <n v="22163.6"/>
        <n v="22455.0"/>
        <n v="22458.8"/>
        <n v="22385.7"/>
        <n v="22592.1"/>
        <n v="22486.4"/>
        <n v="22578.35"/>
        <n v="22765.1"/>
      </sharedItems>
    </cacheField>
    <cacheField name="High " numFmtId="0">
      <sharedItems containsSemiMixedTypes="0" containsString="0" containsNumber="1">
        <n v="7937.75"/>
        <n v="7885.1"/>
        <n v="7847.95"/>
        <n v="7775.1"/>
        <n v="7838.85"/>
        <n v="7860.45"/>
        <n v="7843.4"/>
        <n v="7854.9"/>
        <n v="7906.95"/>
        <n v="7877.5"/>
        <n v="7870.35"/>
        <n v="7897.1"/>
        <n v="7959.3"/>
        <n v="7966.0"/>
        <n v="7972.15"/>
        <n v="7979.3"/>
        <n v="7912.3"/>
        <n v="7821.4"/>
        <n v="7825.4"/>
        <n v="7771.25"/>
        <n v="7702.85"/>
        <n v="7691.95"/>
        <n v="7703.05"/>
        <n v="7663.95"/>
        <n v="7705.0"/>
        <n v="7776.6"/>
        <n v="7852.9"/>
        <n v="7836.15"/>
        <n v="7840.75"/>
        <n v="7846.3"/>
        <n v="7871.45"/>
        <n v="7888.75"/>
        <n v="7937.2"/>
        <n v="7942.15"/>
        <n v="7944.75"/>
        <n v="7955.55"/>
        <n v="7972.55"/>
        <n v="7937.55"/>
        <n v="7831.2"/>
        <n v="7800.95"/>
        <n v="7674.95"/>
        <n v="7634.1"/>
        <n v="7605.1"/>
        <n v="7588.3"/>
        <n v="7590.95"/>
        <n v="7604.8"/>
        <n v="7566.5"/>
        <n v="7463.65"/>
        <n v="7462.75"/>
        <n v="7470.9"/>
        <n v="7398.7"/>
        <n v="7433.4"/>
        <n v="7487.15"/>
        <n v="7477.9"/>
        <n v="7468.85"/>
        <n v="7575.65"/>
        <n v="7600.45"/>
        <n v="7576.3"/>
        <n v="7419.4"/>
        <n v="7457.05"/>
        <n v="7503.15"/>
        <n v="7512.55"/>
        <n v="7323.45"/>
        <n v="7271.85"/>
        <n v="7208.65"/>
        <n v="7034.8"/>
        <n v="7182.8"/>
        <n v="7204.65"/>
        <n v="7123.7"/>
        <n v="7215.1"/>
        <n v="7226.85"/>
        <n v="7252.4"/>
        <n v="7241.7"/>
        <n v="7090.8"/>
        <n v="7034.2"/>
        <n v="7052.9"/>
        <n v="7094.6"/>
        <n v="7235.5"/>
        <n v="7380.35"/>
        <n v="7483.95"/>
        <n v="7505.9"/>
        <n v="7527.15"/>
        <n v="7539.0"/>
        <n v="7547.1"/>
        <n v="7543.95"/>
        <n v="7583.7"/>
        <n v="7545.2"/>
        <n v="7508.0"/>
        <n v="7585.3"/>
        <n v="7613.6"/>
        <n v="7713.55"/>
        <n v="7728.2"/>
        <n v="7726.85"/>
        <n v="7749.4"/>
        <n v="7652.9"/>
        <n v="7741.95"/>
        <n v="7777.6"/>
        <n v="7740.15"/>
        <n v="7764.45"/>
        <n v="7736.3"/>
        <n v="7638.65"/>
        <n v="7630.75"/>
        <n v="7569.35"/>
        <n v="7678.8"/>
        <n v="7717.4"/>
        <n v="7864.8"/>
        <n v="7920.6"/>
        <n v="7950.4"/>
        <n v="7978.45"/>
        <n v="7923.35"/>
        <n v="7911.0"/>
        <n v="7974.5"/>
        <n v="7991.0"/>
        <n v="7992.0"/>
        <n v="7889.05"/>
        <n v="7829.8"/>
        <n v="7890.25"/>
        <n v="7749.0"/>
        <n v="7777.55"/>
        <n v="7738.9"/>
        <n v="7873.65"/>
        <n v="7896.9"/>
        <n v="7893.1"/>
        <n v="7916.05"/>
        <n v="7881.0"/>
        <n v="7873.9"/>
        <n v="7940.1"/>
        <n v="7882.05"/>
        <n v="7876.2"/>
        <n v="7812.4"/>
        <n v="7820.6"/>
        <n v="7761.55"/>
        <n v="7941.2"/>
        <n v="8083.0"/>
        <n v="8164.2"/>
        <n v="8200.0"/>
        <n v="8213.6"/>
        <n v="8215.35"/>
        <n v="8229.5"/>
        <n v="8262.0"/>
        <n v="8234.7"/>
        <n v="8294.95"/>
        <n v="8288.9"/>
        <n v="8273.35"/>
        <n v="8265.6"/>
        <n v="8125.25"/>
        <n v="8134.95"/>
        <n v="8213.2"/>
        <n v="8180.65"/>
        <n v="8195.25"/>
        <n v="8244.15"/>
        <n v="8257.25"/>
        <n v="8238.35"/>
        <n v="8285.6"/>
        <n v="8100.7"/>
        <n v="8120.65"/>
        <n v="8146.35"/>
        <n v="8212.4"/>
        <n v="8308.15"/>
        <n v="8356.75"/>
        <n v="8398.45"/>
        <n v="8381.45"/>
        <n v="8361.95"/>
        <n v="8353.3"/>
        <n v="8475.25"/>
        <n v="8526.6"/>
        <n v="8550.25"/>
        <n v="8571.4"/>
        <n v="8594.8"/>
        <n v="8587.1"/>
        <n v="8540.05"/>
        <n v="8569.9"/>
        <n v="8585.25"/>
        <n v="8548.95"/>
        <n v="8641.15"/>
        <n v="8644.9"/>
        <n v="8665.0"/>
        <n v="8674.7"/>
        <n v="8670.35"/>
        <n v="8711.3"/>
        <n v="8687.2"/>
        <n v="8635.45"/>
        <n v="8601.4"/>
        <n v="8689.4"/>
        <n v="8723.5"/>
        <n v="8728.35"/>
        <n v="8690.1"/>
        <n v="8601.15"/>
        <n v="8684.3"/>
        <n v="8682.35"/>
        <n v="8667.1"/>
        <n v="8690.7"/>
        <n v="8696.6"/>
        <n v="8684.85"/>
        <n v="8642.15"/>
        <n v="8661.05"/>
        <n v="8683.05"/>
        <n v="8622.95"/>
        <n v="8622.0"/>
        <n v="8750.6"/>
        <n v="8819.2"/>
        <n v="8813.25"/>
        <n v="8824.1"/>
        <n v="8950.85"/>
        <n v="8968.7"/>
        <n v="8960.35"/>
        <n v="8939.15"/>
        <n v="8746.95"/>
        <n v="8739.85"/>
        <n v="8751.95"/>
        <n v="8847.65"/>
        <n v="8824.3"/>
        <n v="8816.45"/>
        <n v="8826.85"/>
        <n v="8893.35"/>
        <n v="8885.2"/>
        <n v="8809.55"/>
        <n v="8768.5"/>
        <n v="8767.05"/>
        <n v="8800.65"/>
        <n v="8637.15"/>
        <n v="8745.2"/>
        <n v="8783.65"/>
        <n v="8806.95"/>
        <n v="8781.15"/>
        <n v="8723.7"/>
        <n v="8745.8"/>
        <n v="8681.55"/>
        <n v="8604.45"/>
        <n v="8615.4"/>
        <n v="8685.1"/>
        <n v="8698.75"/>
        <n v="8727.0"/>
        <n v="8709.1"/>
        <n v="8736.95"/>
        <n v="8722.65"/>
        <n v="8657.3"/>
        <n v="8624.85"/>
        <n v="8653.75"/>
        <n v="8678.25"/>
        <n v="8669.6"/>
        <n v="8549.5"/>
        <n v="8537.65"/>
        <n v="8504.0"/>
        <n v="8535.85"/>
        <n v="8559.4"/>
        <n v="8476.2"/>
        <n v="8598.45"/>
        <n v="8460.6"/>
        <n v="8288.55"/>
        <n v="8210.05"/>
        <n v="8151.25"/>
        <n v="8128.95"/>
        <n v="8102.45"/>
        <n v="8019.05"/>
        <n v="8055.2"/>
        <n v="8024.85"/>
        <n v="8122.25"/>
        <n v="8146.5"/>
        <n v="8197.35"/>
        <n v="8234.25"/>
        <n v="8250.8"/>
        <n v="8159.3"/>
        <n v="8141.9"/>
        <n v="8178.7"/>
        <n v="8190.45"/>
        <n v="8256.25"/>
        <n v="8274.95"/>
        <n v="8230.65"/>
        <n v="8228.85"/>
        <n v="8229.4"/>
        <n v="8225.9"/>
        <n v="8132.5"/>
        <n v="8124.1"/>
        <n v="8112.55"/>
        <n v="8046.45"/>
        <n v="8022.6"/>
        <n v="7970.05"/>
        <n v="8044.65"/>
        <n v="8100.55"/>
        <n v="8111.1"/>
        <n v="8197.0"/>
        <n v="8212.0"/>
        <n v="8219.1"/>
        <n v="8218.5"/>
        <n v="8282.65"/>
        <n v="8306.85"/>
        <n v="8263.0"/>
        <n v="8293.8"/>
        <n v="8389.0"/>
        <n v="8417.2"/>
        <n v="8461.05"/>
        <n v="8426.7"/>
        <n v="8440.9"/>
        <n v="8460.3"/>
        <n v="8445.15"/>
        <n v="8423.65"/>
        <n v="8404.15"/>
        <n v="8480.95"/>
        <n v="8612.6"/>
        <n v="8672.7"/>
        <n v="8662.6"/>
        <n v="8631.75"/>
        <n v="8722.4"/>
        <n v="8757.6"/>
        <n v="8748.25"/>
        <n v="8814.1"/>
        <n v="8809.3"/>
        <n v="8791.25"/>
        <n v="8821.4"/>
        <n v="8822.1"/>
        <n v="8826.9"/>
        <n v="8820.45"/>
        <n v="8807.9"/>
        <n v="8783.95"/>
        <n v="8896.45"/>
        <n v="8886.25"/>
        <n v="8920.8"/>
        <n v="8960.75"/>
        <n v="8982.15"/>
        <n v="8951.8"/>
        <n v="8914.75"/>
        <n v="8960.8"/>
        <n v="8992.5"/>
        <n v="8907.1"/>
        <n v="8967.8"/>
        <n v="8977.85"/>
        <n v="8957.05"/>
        <n v="8945.8"/>
        <n v="8975.7"/>
        <n v="9122.75"/>
        <n v="9106.55"/>
        <n v="9158.45"/>
        <n v="9218.4"/>
        <n v="9167.6"/>
        <n v="9147.75"/>
        <n v="9072.9"/>
        <n v="9099.05"/>
        <n v="9133.55"/>
        <n v="9094.85"/>
        <n v="9110.4"/>
        <n v="9153.15"/>
        <n v="9183.15"/>
        <n v="9191.7"/>
        <n v="9245.35"/>
        <n v="9273.9"/>
        <n v="9267.95"/>
        <n v="9250.5"/>
        <n v="9225.65"/>
        <n v="9242.7"/>
        <n v="9246.4"/>
        <n v="9202.65"/>
        <n v="9160.0"/>
        <n v="9217.9"/>
        <n v="9120.5"/>
        <n v="9143.9"/>
        <n v="9183.65"/>
        <n v="9225.4"/>
        <n v="9309.2"/>
        <n v="9367.0"/>
        <n v="9367.15"/>
        <n v="9342.65"/>
        <n v="9352.55"/>
        <n v="9346.3"/>
        <n v="9365.65"/>
        <n v="9377.1"/>
        <n v="9338.7"/>
        <n v="9338.95"/>
        <n v="9414.75"/>
        <n v="9450.65"/>
        <n v="9437.75"/>
        <n v="9449.25"/>
        <n v="9517.2"/>
        <n v="9532.6"/>
        <n v="9489.1"/>
        <n v="9505.75"/>
        <n v="9498.65"/>
        <n v="9448.05"/>
        <n v="9431.9"/>
        <n v="9523.3"/>
        <n v="9604.9"/>
        <n v="9637.75"/>
        <n v="9635.3"/>
        <n v="9649.6"/>
        <n v="9634.65"/>
        <n v="9673.5"/>
        <n v="9687.2"/>
        <n v="9709.3"/>
        <n v="9678.55"/>
        <n v="9688.7"/>
        <n v="9676.25"/>
        <n v="9647.05"/>
        <n v="9654.15"/>
        <n v="9627.4"/>
        <n v="9621.4"/>
        <n v="9615.85"/>
        <n v="9673.3"/>
        <n v="9676.5"/>
        <n v="9650.45"/>
        <n v="9698.85"/>
        <n v="9647.65"/>
        <n v="9615.4"/>
        <n v="9522.5"/>
        <n v="9575.8"/>
        <n v="9535.8"/>
        <n v="9624.0"/>
        <n v="9650.65"/>
        <n v="9643.65"/>
        <n v="9700.7"/>
        <n v="9684.25"/>
        <n v="9782.15"/>
        <n v="9830.05"/>
        <n v="9824.95"/>
        <n v="9897.25"/>
        <n v="9913.3"/>
        <n v="9928.2"/>
        <n v="9885.35"/>
        <n v="9905.05"/>
        <n v="9922.55"/>
        <n v="9924.7"/>
        <n v="9982.05"/>
        <n v="10011.3"/>
        <n v="10025.95"/>
        <n v="10114.85"/>
        <n v="10026.05"/>
        <n v="10085.9"/>
        <n v="10128.6"/>
        <n v="10137.85"/>
        <n v="10081.15"/>
        <n v="10075.25"/>
        <n v="10088.1"/>
        <n v="10083.8"/>
        <n v="9969.8"/>
        <n v="9892.65"/>
        <n v="9771.65"/>
        <n v="9818.3"/>
        <n v="9903.95"/>
        <n v="9947.8"/>
        <n v="9865.95"/>
        <n v="9884.35"/>
        <n v="9828.45"/>
        <n v="9857.9"/>
        <n v="9881.5"/>
        <n v="9925.75"/>
        <n v="9887.35"/>
        <n v="9909.45"/>
        <n v="9925.1"/>
        <n v="9983.45"/>
        <n v="9988.4"/>
        <n v="9963.1"/>
        <n v="9931.55"/>
        <n v="9964.85"/>
        <n v="9963.6"/>
        <n v="10028.65"/>
        <n v="10097.55"/>
        <n v="10131.95"/>
        <n v="10126.5"/>
        <n v="10115.15"/>
        <n v="10171.7"/>
        <n v="10178.95"/>
        <n v="10171.05"/>
        <n v="10158.9"/>
        <n v="10095.05"/>
        <n v="9960.5"/>
        <n v="9891.35"/>
        <n v="9921.05"/>
        <n v="9789.2"/>
        <n v="9854.0"/>
        <n v="9895.4"/>
        <n v="9938.3"/>
        <n v="9945.95"/>
        <n v="9989.35"/>
        <n v="10015.75"/>
        <n v="10034.0"/>
        <n v="10067.25"/>
        <n v="10104.45"/>
        <n v="10191.9"/>
        <n v="10242.95"/>
        <n v="10251.85"/>
        <n v="10236.45"/>
        <n v="10211.95"/>
        <n v="10224.15"/>
        <n v="10237.75"/>
        <n v="10340.55"/>
        <n v="10355.65"/>
        <n v="10366.15"/>
        <n v="10384.5"/>
        <n v="10367.7"/>
        <n v="10451.65"/>
        <n v="10453.0"/>
        <n v="10461.7"/>
        <n v="10490.45"/>
        <n v="10485.75"/>
        <n v="10384.25"/>
        <n v="10368.45"/>
        <n v="10344.95"/>
        <n v="10334.15"/>
        <n v="10248.0"/>
        <n v="10175.45"/>
        <n v="10232.25"/>
        <n v="10343.6"/>
        <n v="10309.85"/>
        <n v="10358.7"/>
        <n v="10368.7"/>
        <n v="10374.3"/>
        <n v="10404.5"/>
        <n v="10407.15"/>
        <n v="10409.55"/>
        <n v="10392.95"/>
        <n v="10332.7"/>
        <n v="10272.7"/>
        <n v="10179.2"/>
        <n v="10147.95"/>
        <n v="10104.2"/>
        <n v="10182.65"/>
        <n v="10270.85"/>
        <n v="10329.2"/>
        <n v="10326.1"/>
        <n v="10296.55"/>
        <n v="10276.1"/>
        <n v="10373.1"/>
        <n v="10443.55"/>
        <n v="10472.2"/>
        <n v="10494.45"/>
        <n v="10473.95"/>
        <n v="10501.1"/>
        <n v="10545.45"/>
        <n v="10552.4"/>
        <n v="10534.55"/>
        <n v="10538.7"/>
        <n v="10537.85"/>
        <n v="10495.2"/>
        <n v="10503.6"/>
        <n v="10513.0"/>
        <n v="10566.1"/>
        <n v="10631.2"/>
        <n v="10659.15"/>
        <n v="10655.5"/>
        <n v="10664.6"/>
        <n v="10690.4"/>
        <n v="10782.65"/>
        <n v="10762.35"/>
        <n v="10803.0"/>
        <n v="10887.5"/>
        <n v="10906.85"/>
        <n v="10975.1"/>
        <n v="11092.9"/>
        <n v="11110.1"/>
        <n v="11095.6"/>
        <n v="11171.55"/>
        <n v="11121.1"/>
        <n v="11058.5"/>
        <n v="11117.35"/>
        <n v="10954.95"/>
        <n v="10702.75"/>
        <n v="10594.15"/>
        <n v="10614.0"/>
        <n v="10637.8"/>
        <n v="10480.2"/>
        <n v="10555.5"/>
        <n v="10590.55"/>
        <n v="10618.1"/>
        <n v="10612.9"/>
        <n v="10489.35"/>
        <n v="10429.35"/>
        <n v="10426.1"/>
        <n v="10397.55"/>
        <n v="10499.1"/>
        <n v="10592.95"/>
        <n v="10631.65"/>
        <n v="10535.5"/>
        <n v="10525.5"/>
        <n v="10428.7"/>
        <n v="10441.35"/>
        <n v="10243.35"/>
        <n v="10270.35"/>
        <n v="10296.7"/>
        <n v="10433.65"/>
        <n v="10478.6"/>
        <n v="10420.35"/>
        <n v="10420.0"/>
        <n v="10346.3"/>
        <n v="10224.55"/>
        <n v="10155.65"/>
        <n v="10227.3"/>
        <n v="10207.85"/>
        <n v="10027.7"/>
        <n v="10143.5"/>
        <n v="10207.9"/>
        <n v="10158.35"/>
        <n v="10220.1"/>
        <n v="10255.35"/>
        <n v="10279.85"/>
        <n v="10331.8"/>
        <n v="10350.45"/>
        <n v="10397.7"/>
        <n v="10424.85"/>
        <n v="10428.15"/>
        <n v="10469.9"/>
        <n v="10519.9"/>
        <n v="10540.15"/>
        <n v="10560.45"/>
        <n v="10594.2"/>
        <n v="10572.2"/>
        <n v="10582.35"/>
        <n v="10638.35"/>
        <n v="10636.8"/>
        <n v="10612.6"/>
        <n v="10628.4"/>
        <n v="10719.8"/>
        <n v="10759.0"/>
        <n v="10784.65"/>
        <n v="10720.6"/>
        <n v="10700.45"/>
        <n v="10725.65"/>
        <n v="10758.55"/>
        <n v="10766.25"/>
        <n v="10785.55"/>
        <n v="10812.05"/>
        <n v="10834.85"/>
        <n v="10929.2"/>
        <n v="10790.45"/>
        <n v="10777.25"/>
        <n v="10674.95"/>
        <n v="10621.7"/>
        <n v="10558.6"/>
        <n v="10533.55"/>
        <n v="10535.15"/>
        <n v="10628.05"/>
        <n v="10709.8"/>
        <n v="10717.25"/>
        <n v="10648.7"/>
        <n v="10763.8"/>
        <n v="10764.75"/>
        <n v="10770.3"/>
        <n v="10633.15"/>
        <n v="10698.35"/>
        <n v="10818.0"/>
        <n v="10779.45"/>
        <n v="10850.55"/>
        <n v="10856.55"/>
        <n v="10893.25"/>
        <n v="10833.7"/>
        <n v="10834.0"/>
        <n v="10830.2"/>
        <n v="10789.45"/>
        <n v="10781.8"/>
        <n v="10809.6"/>
        <n v="10837.0"/>
        <n v="10831.05"/>
        <n v="10805.25"/>
        <n v="10785.5"/>
        <n v="10674.2"/>
        <n v="10723.05"/>
        <n v="10736.15"/>
        <n v="10713.3"/>
        <n v="10777.15"/>
        <n v="10786.05"/>
        <n v="10816.35"/>
        <n v="10860.35"/>
        <n v="10956.9"/>
        <n v="10976.65"/>
        <n v="11078.3"/>
        <n v="11071.35"/>
        <n v="11019.5"/>
        <n v="11018.5"/>
        <n v="11076.2"/>
        <n v="11006.5"/>
        <n v="11030.25"/>
        <n v="11093.4"/>
        <n v="11143.4"/>
        <n v="11157.15"/>
        <n v="11185.85"/>
        <n v="11283.4"/>
        <n v="11328.1"/>
        <n v="11366.0"/>
        <n v="11390.55"/>
        <n v="11328.9"/>
        <n v="11368.0"/>
        <n v="11427.65"/>
        <n v="11428.95"/>
        <n v="11459.95"/>
        <n v="11495.2"/>
        <n v="11478.75"/>
        <n v="11406.3"/>
        <n v="11452.45"/>
        <n v="11449.85"/>
        <n v="11486.45"/>
        <n v="11565.3"/>
        <n v="11581.75"/>
        <n v="11620.7"/>
        <n v="11604.6"/>
        <n v="11700.95"/>
        <n v="11760.2"/>
        <n v="11753.2"/>
        <n v="11698.8"/>
        <n v="11727.65"/>
        <n v="11751.8"/>
        <n v="11602.55"/>
        <n v="11542.65"/>
        <n v="11562.25"/>
        <n v="11603.0"/>
        <n v="11573.0"/>
        <n v="11479.4"/>
        <n v="11380.75"/>
        <n v="11523.25"/>
        <n v="11464.95"/>
        <n v="11411.45"/>
        <n v="11332.05"/>
        <n v="11346.8"/>
        <n v="11170.15"/>
        <n v="11080.6"/>
        <n v="11145.55"/>
        <n v="11089.45"/>
        <n v="11034.1"/>
        <n v="11035.65"/>
        <n v="10989.05"/>
        <n v="10754.7"/>
        <n v="10540.65"/>
        <n v="10398.35"/>
        <n v="10397.6"/>
        <n v="10482.35"/>
        <n v="10335.95"/>
        <n v="10492.45"/>
        <n v="10526.3"/>
        <n v="10604.9"/>
        <n v="10710.15"/>
        <n v="10380.1"/>
        <n v="10408.55"/>
        <n v="10222.1"/>
        <n v="10290.65"/>
        <n v="10166.6"/>
        <n v="10128.85"/>
        <n v="10275.3"/>
        <n v="10285.1"/>
        <n v="10396.0"/>
        <n v="10441.9"/>
        <n v="10606.95"/>
        <n v="10558.8"/>
        <n v="10600.25"/>
        <n v="10616.45"/>
        <n v="10619.55"/>
        <n v="10645.5"/>
        <n v="10596.25"/>
        <n v="10651.6"/>
        <n v="10646.5"/>
        <n v="10695.15"/>
        <n v="10774.7"/>
        <n v="10740.85"/>
        <n v="10671.3"/>
        <n v="10646.25"/>
        <n v="10757.8"/>
        <n v="10883.05"/>
        <n v="10922.45"/>
        <n v="10941.2"/>
        <n v="10890.95"/>
        <n v="10821.05"/>
        <n v="10722.65"/>
        <n v="10704.55"/>
        <n v="10558.85"/>
        <n v="10567.15"/>
        <n v="10752.2"/>
        <n v="10838.6"/>
        <n v="10815.75"/>
        <n v="10900.35"/>
        <n v="10915.4"/>
        <n v="10985.15"/>
        <n v="10962.55"/>
        <n v="10963.65"/>
        <n v="10782.3"/>
        <n v="10747.5"/>
        <n v="10834.2"/>
        <n v="10893.6"/>
        <n v="10923.55"/>
        <n v="10923.6"/>
        <n v="10895.35"/>
        <n v="10814.05"/>
        <n v="10741.05"/>
        <n v="10835.95"/>
        <n v="10818.45"/>
        <n v="10870.4"/>
        <n v="10859.35"/>
        <n v="10850.15"/>
        <n v="10808.0"/>
        <n v="10896.95"/>
        <n v="10928.15"/>
        <n v="10930.65"/>
        <n v="10928.2"/>
        <n v="10987.45"/>
        <n v="10949.8"/>
        <n v="10944.8"/>
        <n v="10866.6"/>
        <n v="10931.7"/>
        <n v="10804.45"/>
        <n v="10690.35"/>
        <n v="10710.2"/>
        <n v="10838.05"/>
        <n v="10983.45"/>
        <n v="10927.9"/>
        <n v="10956.7"/>
        <n v="11072.6"/>
        <n v="11118.1"/>
        <n v="11041.2"/>
        <n v="10930.9"/>
        <n v="10910.9"/>
        <n v="10891.65"/>
        <n v="10792.7"/>
        <n v="10785.75"/>
        <n v="10759.9"/>
        <n v="10722.85"/>
        <n v="10752.7"/>
        <n v="10808.85"/>
        <n v="10801.55"/>
        <n v="10887.1"/>
        <n v="10888.75"/>
        <n v="10939.7"/>
        <n v="10865.7"/>
        <n v="10877.9"/>
        <n v="10994.9"/>
        <n v="11062.3"/>
        <n v="11089.05"/>
        <n v="11049.0"/>
        <n v="11180.9"/>
        <n v="11320.4"/>
        <n v="11352.3"/>
        <n v="11383.45"/>
        <n v="11487.0"/>
        <n v="11530.15"/>
        <n v="11543.85"/>
        <n v="11556.1"/>
        <n v="11572.8"/>
        <n v="11395.65"/>
        <n v="11496.75"/>
        <n v="11546.2"/>
        <n v="11588.5"/>
        <n v="11630.35"/>
        <n v="11738.1"/>
        <n v="11729.35"/>
        <n v="11761.0"/>
        <n v="11662.55"/>
        <n v="11689.65"/>
        <n v="11710.3"/>
        <n v="11683.9"/>
        <n v="11680.05"/>
        <n v="11606.7"/>
        <n v="11657.35"/>
        <n v="11704.6"/>
        <n v="11810.95"/>
        <n v="11856.15"/>
        <n v="11727.05"/>
        <n v="11645.95"/>
        <n v="11740.85"/>
        <n v="11796.75"/>
        <n v="11762.9"/>
        <n v="11756.25"/>
        <n v="11789.3"/>
        <n v="11770.9"/>
        <n v="11632.55"/>
        <n v="11657.05"/>
        <n v="11479.1"/>
        <n v="11357.6"/>
        <n v="11345.8"/>
        <n v="11300.2"/>
        <n v="11294.75"/>
        <n v="11286.8"/>
        <n v="11281.55"/>
        <n v="11426.15"/>
        <n v="11845.2"/>
        <n v="11883.55"/>
        <n v="11784.8"/>
        <n v="12041.15"/>
        <n v="11859.0"/>
        <n v="11957.15"/>
        <n v="11958.55"/>
        <n v="11931.9"/>
        <n v="11968.55"/>
        <n v="12039.25"/>
        <n v="12103.05"/>
        <n v="12095.2"/>
        <n v="12039.8"/>
        <n v="11897.5"/>
        <n v="11975.05"/>
        <n v="12000.35"/>
        <n v="11962.45"/>
        <n v="11931.35"/>
        <n v="11911.85"/>
        <n v="11844.05"/>
        <n v="11727.2"/>
        <n v="11802.5"/>
        <n v="11843.5"/>
        <n v="11827.95"/>
        <n v="11754.0"/>
        <n v="11814.4"/>
        <n v="11871.85"/>
        <n v="11911.15"/>
        <n v="11871.7"/>
        <n v="11884.65"/>
        <n v="11917.45"/>
        <n v="11945.2"/>
        <n v="11969.25"/>
        <n v="11981.75"/>
        <n v="11771.9"/>
        <n v="11582.55"/>
        <n v="11593.7"/>
        <n v="11599.0"/>
        <n v="11639.55"/>
        <n v="11618.4"/>
        <n v="11670.05"/>
        <n v="11706.65"/>
        <n v="11677.15"/>
        <n v="11640.35"/>
        <n v="11398.15"/>
        <n v="11359.75"/>
        <n v="11361.4"/>
        <n v="11307.6"/>
        <n v="11310.95"/>
        <n v="11267.45"/>
        <n v="11145.3"/>
        <n v="11076.75"/>
        <n v="11080.15"/>
        <n v="10895.8"/>
        <n v="11018.55"/>
        <n v="10975.65"/>
        <n v="11058.05"/>
        <n v="11181.45"/>
        <n v="11145.9"/>
        <n v="11078.15"/>
        <n v="11068.65"/>
        <n v="11146.9"/>
        <n v="11076.3"/>
        <n v="11034.2"/>
        <n v="10908.25"/>
        <n v="10862.55"/>
        <n v="11070.3"/>
        <n v="11141.75"/>
        <n v="11129.65"/>
        <n v="11021.1"/>
        <n v="11042.6"/>
        <n v="10967.5"/>
        <n v="10858.75"/>
        <n v="10920.1"/>
        <n v="10957.05"/>
        <n v="11028.85"/>
        <n v="11054.8"/>
        <n v="11081.75"/>
        <n v="11084.45"/>
        <n v="11052.7"/>
        <n v="11000.1"/>
        <n v="10885.15"/>
        <n v="10845.2"/>
        <n v="11381.9"/>
        <n v="11694.85"/>
        <n v="11655.05"/>
        <n v="11564.95"/>
        <n v="11610.85"/>
        <n v="11593.6"/>
        <n v="11508.25"/>
        <n v="11554.2"/>
        <n v="11370.4"/>
        <n v="11400.3"/>
        <n v="11233.85"/>
        <n v="11321.6"/>
        <n v="11293.35"/>
        <n v="11362.9"/>
        <n v="11420.45"/>
        <n v="11462.35"/>
        <n v="11481.05"/>
        <n v="11599.1"/>
        <n v="11684.7"/>
        <n v="11714.35"/>
        <n v="11651.6"/>
        <n v="11679.6"/>
        <n v="11646.9"/>
        <n v="11672.4"/>
        <n v="11809.4"/>
        <n v="11883.95"/>
        <n v="11945.0"/>
        <n v="11918.3"/>
        <n v="11989.15"/>
        <n v="11978.95"/>
        <n v="12002.9"/>
        <n v="12021.4"/>
        <n v="12034.15"/>
        <n v="11932.65"/>
        <n v="11946.8"/>
        <n v="11895.65"/>
        <n v="11973.65"/>
        <n v="11946.2"/>
        <n v="11958.85"/>
        <n v="12038.6"/>
        <n v="12028.2"/>
        <n v="11968.1"/>
        <n v="12084.5"/>
        <n v="12132.45"/>
        <n v="12114.9"/>
        <n v="12158.8"/>
        <n v="12147.4"/>
        <n v="12137.15"/>
        <n v="12068.6"/>
        <n v="12054.7"/>
        <n v="12081.2"/>
        <n v="12057.05"/>
        <n v="11981.95"/>
        <n v="11953.2"/>
        <n v="11923.2"/>
        <n v="12005.5"/>
        <n v="12098.85"/>
        <n v="12134.65"/>
        <n v="12182.75"/>
        <n v="12237.7"/>
        <n v="12268.35"/>
        <n v="12293.9"/>
        <n v="12287.15"/>
        <n v="12283.7"/>
        <n v="12221.55"/>
        <n v="12258.45"/>
        <n v="12286.45"/>
        <n v="12247.1"/>
        <n v="12222.2"/>
        <n v="12289.9"/>
        <n v="12265.6"/>
        <n v="12179.1"/>
        <n v="12152.15"/>
        <n v="12044.95"/>
        <n v="12224.05"/>
        <n v="12311.2"/>
        <n v="12337.75"/>
        <n v="12374.25"/>
        <n v="12355.15"/>
        <n v="12389.05"/>
        <n v="12385.45"/>
        <n v="12430.5"/>
        <n v="12230.05"/>
        <n v="12225.05"/>
        <n v="12189.0"/>
        <n v="12272.15"/>
        <n v="12216.6"/>
        <n v="12163.55"/>
        <n v="12169.6"/>
        <n v="12150.3"/>
        <n v="12103.55"/>
        <n v="12017.35"/>
        <n v="11749.85"/>
        <n v="11986.15"/>
        <n v="12098.15"/>
        <n v="12160.6"/>
        <n v="12154.7"/>
        <n v="12172.3"/>
        <n v="12231.75"/>
        <n v="12225.65"/>
        <n v="12246.7"/>
        <n v="12159.6"/>
        <n v="12030.75"/>
        <n v="12134.7"/>
        <n v="12152.0"/>
        <n v="12012.55"/>
        <n v="11883.05"/>
        <n v="11783.25"/>
        <n v="11663.85"/>
        <n v="11384.8"/>
        <n v="11433.0"/>
        <n v="11342.25"/>
        <n v="11356.6"/>
        <n v="11389.5"/>
        <n v="11035.1"/>
        <n v="10751.55"/>
        <n v="10545.1"/>
        <n v="10040.75"/>
        <n v="10159.4"/>
        <n v="9602.2"/>
        <n v="9403.8"/>
        <n v="9127.55"/>
        <n v="8575.45"/>
        <n v="8883.0"/>
        <n v="8159.25"/>
        <n v="8036.95"/>
        <n v="8376.75"/>
        <n v="8749.05"/>
        <n v="9038.9"/>
        <n v="8576.0"/>
        <n v="8678.3"/>
        <n v="8588.1"/>
        <n v="8356.55"/>
        <n v="8819.4"/>
        <n v="9131.7"/>
        <n v="9128.35"/>
        <n v="9112.05"/>
        <n v="9261.2"/>
        <n v="9053.75"/>
        <n v="9324.0"/>
        <n v="9390.85"/>
        <n v="9044.4"/>
        <n v="9209.75"/>
        <n v="9343.6"/>
        <n v="9296.9"/>
        <n v="9404.4"/>
        <n v="9599.85"/>
        <n v="9889.05"/>
        <n v="9533.5"/>
        <n v="9450.9"/>
        <n v="9346.9"/>
        <n v="9277.85"/>
        <n v="9382.65"/>
        <n v="9439.9"/>
        <n v="9240.85"/>
        <n v="9584.5"/>
        <n v="9281.1"/>
        <n v="9182.4"/>
        <n v="9158.3"/>
        <n v="9030.35"/>
        <n v="9093.8"/>
        <n v="9178.55"/>
        <n v="9149.6"/>
        <n v="9161.65"/>
        <n v="9334.0"/>
        <n v="9511.25"/>
        <n v="9598.85"/>
        <n v="9931.6"/>
        <n v="9995.6"/>
        <n v="10176.2"/>
        <n v="10123.85"/>
        <n v="10177.8"/>
        <n v="10328.5"/>
        <n v="10291.15"/>
        <n v="10148.75"/>
        <n v="10112.05"/>
        <n v="9996.05"/>
        <n v="9943.35"/>
        <n v="10046.15"/>
        <n v="10003.6"/>
        <n v="10111.2"/>
        <n v="10272.4"/>
        <n v="10393.65"/>
        <n v="10484.7"/>
        <n v="10553.15"/>
        <n v="10361.8"/>
        <n v="10409.85"/>
        <n v="10337.95"/>
        <n v="10401.05"/>
        <n v="10447.05"/>
        <n v="10598.2"/>
        <n v="10631.3"/>
        <n v="10811.4"/>
        <n v="10813.8"/>
        <n v="10847.85"/>
        <n v="10836.85"/>
        <n v="10819.4"/>
        <n v="10894.05"/>
        <n v="10755.65"/>
        <n v="11179.55"/>
        <n v="11238.1"/>
        <n v="11239.8"/>
        <n v="11225.4"/>
        <n v="11225.0"/>
        <n v="11317.75"/>
        <n v="11341.4"/>
        <n v="11299.95"/>
        <n v="11150.4"/>
        <n v="11112.25"/>
        <n v="11225.65"/>
        <n v="11256.8"/>
        <n v="11231.9"/>
        <n v="11337.3"/>
        <n v="11373.6"/>
        <n v="11322.0"/>
        <n v="11359.3"/>
        <n v="11366.25"/>
        <n v="11267.1"/>
        <n v="11401.7"/>
        <n v="11460.35"/>
        <n v="11361.45"/>
        <n v="11418.5"/>
        <n v="11497.25"/>
        <n v="11525.9"/>
        <n v="11561.75"/>
        <n v="11617.35"/>
        <n v="11686.05"/>
        <n v="11794.25"/>
        <n v="11553.55"/>
        <n v="11554.75"/>
        <n v="11584.95"/>
        <n v="11452.05"/>
        <n v="11381.15"/>
        <n v="11437.25"/>
        <n v="11298.15"/>
        <n v="11464.05"/>
        <n v="11493.5"/>
        <n v="11568.9"/>
        <n v="11535.95"/>
        <n v="11618.1"/>
        <n v="11587.2"/>
        <n v="11584.1"/>
        <n v="11535.25"/>
        <n v="11302.2"/>
        <n v="11259.55"/>
        <n v="11015.3"/>
        <n v="11239.35"/>
        <n v="11305.4"/>
        <n v="11295.4"/>
        <n v="11428.6"/>
        <n v="11578.05"/>
        <n v="11680.3"/>
        <n v="11763.05"/>
        <n v="11905.7"/>
        <n v="11938.6"/>
        <n v="12022.05"/>
        <n v="11988.2"/>
        <n v="11997.2"/>
        <n v="12025.45"/>
        <n v="11789.75"/>
        <n v="11898.25"/>
        <n v="11949.25"/>
        <n v="12018.65"/>
        <n v="11939.55"/>
        <n v="11974.55"/>
        <n v="11942.85"/>
        <n v="11899.05"/>
        <n v="11929.4"/>
        <n v="11744.15"/>
        <n v="11748.95"/>
        <n v="11725.65"/>
        <n v="11836.2"/>
        <n v="11929.65"/>
        <n v="12131.1"/>
        <n v="12280.4"/>
        <n v="12474.05"/>
        <n v="12643.9"/>
        <n v="12769.75"/>
        <n v="12741.15"/>
        <n v="12735.95"/>
        <n v="12828.7"/>
        <n v="12934.05"/>
        <n v="12948.85"/>
        <n v="12963.0"/>
        <n v="12892.45"/>
        <n v="12968.85"/>
        <n v="13079.1"/>
        <n v="13145.85"/>
        <n v="13018.0"/>
        <n v="13035.3"/>
        <n v="13128.4"/>
        <n v="13128.5"/>
        <n v="13216.6"/>
        <n v="13280.05"/>
        <n v="13366.65"/>
        <n v="13435.45"/>
        <n v="13548.9"/>
        <n v="13503.55"/>
        <n v="13579.35"/>
        <n v="13597.5"/>
        <n v="13589.65"/>
        <n v="13692.35"/>
        <n v="13773.25"/>
        <n v="13772.85"/>
        <n v="13777.5"/>
        <n v="13492.05"/>
        <n v="13619.45"/>
        <n v="13771.75"/>
        <n v="13885.3"/>
        <n v="13967.6"/>
        <n v="13997.0"/>
        <n v="14024.85"/>
        <n v="14049.85"/>
        <n v="14147.95"/>
        <n v="14215.6"/>
        <n v="14244.15"/>
        <n v="14256.25"/>
        <n v="14367.3"/>
        <n v="14498.2"/>
        <n v="14590.65"/>
        <n v="14653.35"/>
        <n v="14617.8"/>
        <n v="14617.45"/>
        <n v="14459.15"/>
        <n v="14546.05"/>
        <n v="14666.45"/>
        <n v="14753.55"/>
        <n v="14619.9"/>
        <n v="14491.1"/>
        <n v="14237.95"/>
        <n v="13898.25"/>
        <n v="13966.85"/>
        <n v="14336.35"/>
        <n v="14731.7"/>
        <n v="14868.85"/>
        <n v="14913.7"/>
        <n v="15014.65"/>
        <n v="15159.9"/>
        <n v="15257.1"/>
        <n v="15168.25"/>
        <n v="15188.5"/>
        <n v="15243.5"/>
        <n v="15340.15"/>
        <n v="15431.75"/>
        <n v="15314.3"/>
        <n v="15250.75"/>
        <n v="15144.05"/>
        <n v="15010.1"/>
        <n v="14854.5"/>
        <n v="15008.8"/>
        <n v="15176.5"/>
        <n v="14919.45"/>
        <n v="14806.8"/>
        <n v="14959.1"/>
        <n v="15273.15"/>
        <n v="15202.35"/>
        <n v="15092.35"/>
        <n v="15111.15"/>
        <n v="15126.85"/>
        <n v="15218.45"/>
        <n v="15336.3"/>
        <n v="15048.4"/>
        <n v="15051.6"/>
        <n v="14956.55"/>
        <n v="14875.2"/>
        <n v="14788.25"/>
        <n v="14763.9"/>
        <n v="14878.6"/>
        <n v="14752.35"/>
        <n v="14575.6"/>
        <n v="14572.9"/>
        <n v="14876.3"/>
        <n v="14813.75"/>
        <n v="14883.2"/>
        <n v="14849.85"/>
        <n v="14779.1"/>
        <n v="14879.8"/>
        <n v="14984.15"/>
        <n v="14918.45"/>
        <n v="14652.5"/>
        <n v="14528.9"/>
        <n v="14597.55"/>
        <n v="14697.7"/>
        <n v="14382.3"/>
        <n v="14526.95"/>
        <n v="14424.75"/>
        <n v="14461.15"/>
        <n v="14557.5"/>
        <n v="14667.55"/>
        <n v="14890.25"/>
        <n v="15044.35"/>
        <n v="14855.45"/>
        <n v="14673.85"/>
        <n v="14723.4"/>
        <n v="14637.9"/>
        <n v="14743.9"/>
        <n v="14863.05"/>
        <n v="14966.9"/>
        <n v="14900.0"/>
        <n v="14824.05"/>
        <n v="14749.65"/>
        <n v="14938.0"/>
        <n v="15137.25"/>
        <n v="15133.4"/>
        <n v="15069.8"/>
        <n v="15190.0"/>
        <n v="15256.25"/>
        <n v="15293.85"/>
        <n v="15319.9"/>
        <n v="15384.55"/>
        <n v="15469.65"/>
        <n v="15606.35"/>
        <n v="15660.75"/>
        <n v="15597.45"/>
        <n v="15705.1"/>
        <n v="15733.6"/>
        <n v="15773.45"/>
        <n v="15778.8"/>
        <n v="15800.45"/>
        <n v="15751.25"/>
        <n v="15835.55"/>
        <n v="15823.05"/>
        <n v="15901.6"/>
        <n v="15880.85"/>
        <n v="15769.35"/>
        <n v="15761.5"/>
        <n v="15765.15"/>
        <n v="15895.75"/>
        <n v="15862.95"/>
        <n v="15821.4"/>
        <n v="15870.8"/>
        <n v="15915.65"/>
        <n v="15835.9"/>
        <n v="15839.1"/>
        <n v="15755.55"/>
        <n v="15738.35"/>
        <n v="15845.95"/>
        <n v="15914.2"/>
        <n v="15893.55"/>
        <n v="15885.75"/>
        <n v="15730.85"/>
        <n v="15789.2"/>
        <n v="15820.8"/>
        <n v="15877.35"/>
        <n v="15952.35"/>
        <n v="15962.25"/>
        <n v="15836.9"/>
        <n v="15728.45"/>
        <n v="15834.8"/>
        <n v="15899.8"/>
        <n v="15893.35"/>
        <n v="15881.55"/>
        <n v="15767.5"/>
        <n v="15817.35"/>
        <n v="15862.8"/>
        <n v="15892.9"/>
        <n v="16146.9"/>
        <n v="16290.2"/>
        <n v="16349.45"/>
        <n v="16336.75"/>
        <n v="16320.75"/>
        <n v="16359.25"/>
        <n v="16338.75"/>
        <n v="16375.5"/>
        <n v="16543.6"/>
        <n v="16589.4"/>
        <n v="16628.55"/>
        <n v="16701.85"/>
        <n v="16509.55"/>
        <n v="16592.5"/>
        <n v="16647.1"/>
        <n v="16712.45"/>
        <n v="16683.7"/>
        <n v="16722.05"/>
        <n v="16951.5"/>
        <n v="17153.5"/>
        <n v="17225.75"/>
        <n v="17245.5"/>
        <n v="17340.1"/>
        <n v="17429.55"/>
        <n v="17436.5"/>
        <n v="17383.4"/>
        <n v="17379.65"/>
        <n v="17378.35"/>
        <n v="17438.55"/>
        <n v="17532.7"/>
        <n v="17644.6"/>
        <n v="17792.95"/>
        <n v="17622.75"/>
        <n v="17578.35"/>
        <n v="17610.45"/>
        <n v="17843.9"/>
        <n v="17947.65"/>
        <n v="17943.5"/>
        <n v="17912.85"/>
        <n v="17781.75"/>
        <n v="17742.15"/>
        <n v="17557.15"/>
        <n v="17750.9"/>
        <n v="17833.45"/>
        <n v="17884.6"/>
        <n v="17857.55"/>
        <n v="17941.85"/>
        <n v="18041.95"/>
        <n v="18008.65"/>
        <n v="18197.8"/>
        <n v="18350.75"/>
        <n v="18543.15"/>
        <n v="18604.45"/>
        <n v="18458.3"/>
        <n v="18384.2"/>
        <n v="18314.25"/>
        <n v="18241.4"/>
        <n v="18310.45"/>
        <n v="18342.05"/>
        <n v="18190.7"/>
        <n v="17915.85"/>
        <n v="17954.1"/>
        <n v="18012.25"/>
        <n v="17988.75"/>
        <n v="17947.55"/>
        <n v="18087.8"/>
        <n v="18112.6"/>
        <n v="18061.25"/>
        <n v="17971.35"/>
        <n v="18123.0"/>
        <n v="18210.15"/>
        <n v="18132.65"/>
        <n v="18022.65"/>
        <n v="17945.6"/>
        <n v="17805.25"/>
        <n v="17553.7"/>
        <n v="17600.6"/>
        <n v="17564.35"/>
        <n v="17355.4"/>
        <n v="17160.7"/>
        <n v="17324.65"/>
        <n v="17213.05"/>
        <n v="17420.35"/>
        <n v="17489.8"/>
        <n v="17216.75"/>
        <n v="17251.65"/>
        <n v="17484.6"/>
        <n v="17543.25"/>
        <n v="17534.35"/>
        <n v="17639.5"/>
        <n v="17376.2"/>
        <n v="17351.2"/>
        <n v="17379.35"/>
        <n v="17298.15"/>
        <n v="16840.1"/>
        <n v="16936.4"/>
        <n v="16971.0"/>
        <n v="17118.65"/>
        <n v="17155.6"/>
        <n v="17112.05"/>
        <n v="17250.25"/>
        <n v="17285.95"/>
        <n v="17264.05"/>
        <n v="17400.8"/>
        <n v="17646.65"/>
        <n v="17827.6"/>
        <n v="17944.7"/>
        <n v="17797.95"/>
        <n v="17905.0"/>
        <n v="18017.45"/>
        <n v="18081.25"/>
        <n v="18227.95"/>
        <n v="18272.25"/>
        <n v="18286.95"/>
        <n v="18321.55"/>
        <n v="18350.95"/>
        <n v="18129.2"/>
        <n v="17943.7"/>
        <n v="17707.6"/>
        <n v="17599.4"/>
        <n v="17309.15"/>
        <n v="17182.5"/>
        <n v="17373.5"/>
        <n v="17410.0"/>
        <n v="17622.4"/>
        <n v="17794.6"/>
        <n v="17781.15"/>
        <n v="17617.8"/>
        <n v="17536.75"/>
        <n v="17306.45"/>
        <n v="17477.15"/>
        <n v="17639.45"/>
        <n v="17454.75"/>
        <n v="17099.5"/>
        <n v="17375.0"/>
        <n v="17490.6"/>
        <n v="17442.9"/>
        <n v="17380.8"/>
        <n v="17351.05"/>
        <n v="17148.55"/>
        <n v="17220.7"/>
        <n v="16705.25"/>
        <n v="16748.8"/>
        <n v="16815.9"/>
        <n v="16678.5"/>
        <n v="16768.95"/>
        <n v="16456.0"/>
        <n v="15944.6"/>
        <n v="16028.75"/>
        <n v="16418.05"/>
        <n v="16757.3"/>
        <n v="16694.4"/>
        <n v="16887.95"/>
        <n v="16927.75"/>
        <n v="16987.9"/>
        <n v="17344.6"/>
        <n v="17353.35"/>
        <n v="17334.4"/>
        <n v="17442.4"/>
        <n v="17291.75"/>
        <n v="17294.9"/>
        <n v="17235.1"/>
        <n v="17343.65"/>
        <n v="17522.5"/>
        <n v="17559.8"/>
        <n v="17703.7"/>
        <n v="18114.65"/>
        <n v="18095.45"/>
        <n v="17901.0"/>
        <n v="17787.5"/>
        <n v="17842.75"/>
        <n v="17779.05"/>
        <n v="17595.3"/>
        <n v="17663.65"/>
        <n v="17237.75"/>
        <n v="17275.65"/>
        <n v="17186.9"/>
        <n v="17414.7"/>
        <n v="17315.3"/>
        <n v="17054.3"/>
        <n v="17223.85"/>
        <n v="17110.7"/>
        <n v="17322.5"/>
        <n v="17377.65"/>
        <n v="17092.25"/>
        <n v="17132.85"/>
        <n v="16945.7"/>
        <n v="16484.2"/>
        <n v="16403.7"/>
        <n v="16404.55"/>
        <n v="16318.75"/>
        <n v="16041.95"/>
        <n v="16083.6"/>
        <n v="15977.95"/>
        <n v="16284.25"/>
        <n v="16399.8"/>
        <n v="15984.75"/>
        <n v="16283.05"/>
        <n v="16414.7"/>
        <n v="16262.8"/>
        <n v="16223.35"/>
        <n v="16204.45"/>
        <n v="16370.6"/>
        <n v="16695.5"/>
        <n v="16690.75"/>
        <n v="16649.2"/>
        <n v="16646.4"/>
        <n v="16793.85"/>
        <n v="16610.95"/>
        <n v="16487.25"/>
        <n v="16514.3"/>
        <n v="16492.8"/>
        <n v="16324.7"/>
        <n v="15886.15"/>
        <n v="15858.0"/>
        <n v="15783.65"/>
        <n v="15863.15"/>
        <n v="15400.4"/>
        <n v="15382.5"/>
        <n v="15707.25"/>
        <n v="15565.4"/>
        <n v="15628.45"/>
        <n v="15749.25"/>
        <n v="15927.45"/>
        <n v="15892.1"/>
        <n v="15861.6"/>
        <n v="15890.0"/>
        <n v="15793.95"/>
        <n v="15852.35"/>
        <n v="16025.75"/>
        <n v="16011.35"/>
        <n v="16150.5"/>
        <n v="16275.5"/>
        <n v="16248.55"/>
        <n v="16158.75"/>
        <n v="16140.0"/>
        <n v="16070.85"/>
        <n v="16066.95"/>
        <n v="16287.95"/>
        <n v="16359.5"/>
        <n v="16588.0"/>
        <n v="16626.95"/>
        <n v="16752.25"/>
        <n v="16706.05"/>
        <n v="16636.1"/>
        <n v="16653.45"/>
        <n v="16947.65"/>
        <n v="17172.8"/>
        <n v="17356.25"/>
        <n v="17390.15"/>
        <n v="17407.5"/>
        <n v="17490.7"/>
        <n v="17474.4"/>
        <n v="17548.8"/>
        <n v="17566.1"/>
        <n v="17719.3"/>
        <n v="17724.65"/>
        <n v="17839.1"/>
        <n v="17965.95"/>
        <n v="17968.45"/>
        <n v="17992.2"/>
        <n v="17690.05"/>
        <n v="17625.55"/>
        <n v="17623.65"/>
        <n v="17726.5"/>
        <n v="17685.85"/>
        <n v="17380.15"/>
        <n v="17777.65"/>
        <n v="17695.6"/>
        <n v="17643.85"/>
        <n v="17683.15"/>
        <n v="17764.65"/>
        <n v="17650.75"/>
        <n v="17807.65"/>
        <n v="17925.95"/>
        <n v="17980.55"/>
        <n v="18088.3"/>
        <n v="18091.55"/>
        <n v="18096.15"/>
        <n v="17820.05"/>
        <n v="17667.2"/>
        <n v="17919.3"/>
        <n v="17838.7"/>
        <n v="17722.75"/>
        <n v="17642.15"/>
        <n v="17196.4"/>
        <n v="17176.45"/>
        <n v="17037.6"/>
        <n v="17026.05"/>
        <n v="17187.1"/>
        <n v="17114.65"/>
        <n v="17287.3"/>
        <n v="17428.8"/>
        <n v="17337.35"/>
        <n v="17280.15"/>
        <n v="17261.8"/>
        <n v="17142.35"/>
        <n v="17112.35"/>
        <n v="17348.55"/>
        <n v="17328.55"/>
        <n v="17527.8"/>
        <n v="17607.6"/>
        <n v="17584.15"/>
        <n v="17670.15"/>
        <n v="17777.55"/>
        <n v="17811.5"/>
        <n v="17783.9"/>
        <n v="17838.9"/>
        <n v="18022.8"/>
        <n v="18175.8"/>
        <n v="18178.75"/>
        <n v="18106.3"/>
        <n v="18135.1"/>
        <n v="18255.5"/>
        <n v="18296.4"/>
        <n v="18103.1"/>
        <n v="18362.3"/>
        <n v="18399.45"/>
        <n v="18427.95"/>
        <n v="18442.15"/>
        <n v="18417.6"/>
        <n v="18394.6"/>
        <n v="18262.3"/>
        <n v="18261.85"/>
        <n v="18325.4"/>
        <n v="18529.7"/>
        <n v="18534.9"/>
        <n v="18614.25"/>
        <n v="18678.1"/>
        <n v="18816.05"/>
        <n v="18887.6"/>
        <n v="18781.95"/>
        <n v="18728.6"/>
        <n v="18654.9"/>
        <n v="18668.3"/>
        <n v="18625.0"/>
        <n v="18664.7"/>
        <n v="18521.55"/>
        <n v="18617.25"/>
        <n v="18696.1"/>
        <n v="18652.9"/>
        <n v="18440.95"/>
        <n v="18431.65"/>
        <n v="18404.9"/>
        <n v="18473.35"/>
        <n v="18318.75"/>
        <n v="18050.45"/>
        <n v="18084.1"/>
        <n v="18149.25"/>
        <n v="18173.1"/>
        <n v="18229.7"/>
        <n v="18265.25"/>
        <n v="18215.15"/>
        <n v="18251.95"/>
        <n v="18243.0"/>
        <n v="18120.3"/>
        <n v="18047.4"/>
        <n v="18141.4"/>
        <n v="18127.6"/>
        <n v="17976.35"/>
        <n v="17945.8"/>
        <n v="17999.35"/>
        <n v="18049.65"/>
        <n v="18072.05"/>
        <n v="18183.75"/>
        <n v="18155.2"/>
        <n v="18145.45"/>
        <n v="18162.6"/>
        <n v="18201.25"/>
        <n v="18100.6"/>
        <n v="17884.75"/>
        <n v="17709.15"/>
        <n v="17735.7"/>
        <n v="17972.2"/>
        <n v="17653.9"/>
        <n v="17870.3"/>
        <n v="17823.7"/>
        <n v="17811.15"/>
        <n v="17898.7"/>
        <n v="17916.9"/>
        <n v="17876.95"/>
        <n v="17880.7"/>
        <n v="17954.55"/>
        <n v="18034.1"/>
        <n v="18134.75"/>
        <n v="18034.25"/>
        <n v="18004.35"/>
        <n v="17924.9"/>
        <n v="17772.5"/>
        <n v="17620.05"/>
        <n v="17599.75"/>
        <n v="17451.6"/>
        <n v="17440.45"/>
        <n v="17467.75"/>
        <n v="17445.8"/>
        <n v="17644.75"/>
        <n v="17799.95"/>
        <n v="17766.5"/>
        <n v="17772.35"/>
        <n v="17451.5"/>
        <n v="17529.9"/>
        <n v="17224.65"/>
        <n v="17211.35"/>
        <n v="17062.45"/>
        <n v="17145.8"/>
        <n v="17066.6"/>
        <n v="17127.7"/>
        <n v="17207.25"/>
        <n v="17205.4"/>
        <n v="17109.45"/>
        <n v="17091.0"/>
        <n v="17061.75"/>
        <n v="17126.15"/>
        <n v="17381.6"/>
        <n v="17428.05"/>
        <n v="17570.55"/>
        <n v="17638.7"/>
        <n v="17694.1"/>
        <n v="17748.75"/>
        <n v="17825.75"/>
        <n v="17842.15"/>
        <n v="17863.0"/>
        <n v="17766.6"/>
        <n v="17666.15"/>
        <n v="17684.45"/>
        <n v="17663.2"/>
        <n v="17754.5"/>
        <n v="17807.45"/>
        <n v="17827.75"/>
        <n v="17931.6"/>
        <n v="18089.15"/>
        <n v="18180.25"/>
        <n v="18116.35"/>
        <n v="18267.45"/>
        <n v="18216.95"/>
        <n v="18344.2"/>
        <n v="18326.75"/>
        <n v="18389.7"/>
        <n v="18342.75"/>
        <n v="18458.9"/>
        <n v="18432.35"/>
        <n v="18309.0"/>
        <n v="18297.2"/>
        <n v="18218.1"/>
        <n v="18335.25"/>
        <n v="18419.75"/>
        <n v="18392.6"/>
        <n v="18338.1"/>
        <n v="18508.55"/>
        <n v="18641.2"/>
        <n v="18662.45"/>
        <n v="18603.9"/>
        <n v="18580.3"/>
        <n v="18573.7"/>
        <n v="18640.15"/>
        <n v="18622.75"/>
        <n v="18738.95"/>
        <n v="18777.9"/>
        <n v="18676.65"/>
        <n v="18633.6"/>
        <n v="18728.9"/>
        <n v="18769.7"/>
        <n v="18794.1"/>
        <n v="18864.7"/>
        <n v="18881.45"/>
        <n v="18839.7"/>
        <n v="18875.9"/>
        <n v="18886.6"/>
        <n v="18756.4"/>
        <n v="18722.05"/>
        <n v="18829.25"/>
        <n v="19011.25"/>
        <n v="19201.7"/>
        <n v="19345.1"/>
        <n v="19434.15"/>
        <n v="19421.6"/>
        <n v="19512.2"/>
        <n v="19523.6"/>
        <n v="19435.85"/>
        <n v="19515.1"/>
        <n v="19507.7"/>
        <n v="19567.0"/>
        <n v="19595.35"/>
        <n v="19731.85"/>
        <n v="19819.45"/>
        <n v="19851.7"/>
        <n v="19991.85"/>
        <n v="19887.4"/>
        <n v="19782.75"/>
        <n v="19729.35"/>
        <n v="19825.6"/>
        <n v="19867.55"/>
        <n v="19695.9"/>
        <n v="19772.75"/>
        <n v="19795.6"/>
        <n v="19678.25"/>
        <n v="19537.65"/>
        <n v="19538.85"/>
        <n v="19620.45"/>
        <n v="19634.4"/>
        <n v="19645.5"/>
        <n v="19623.6"/>
        <n v="19557.75"/>
        <n v="19465.85"/>
        <n v="19482.75"/>
        <n v="19461.55"/>
        <n v="19373.8"/>
        <n v="19425.95"/>
        <n v="19443.5"/>
        <n v="19472.05"/>
        <n v="19584.45"/>
        <n v="19339.55"/>
        <n v="19366.85"/>
        <n v="19377.9"/>
        <n v="19452.8"/>
        <n v="19388.2"/>
        <n v="19458.55"/>
        <n v="19545.15"/>
        <n v="19587.05"/>
        <n v="19636.45"/>
        <n v="19737.0"/>
        <n v="19867.15"/>
        <n v="20008.15"/>
        <n v="20110.35"/>
        <n v="20096.9"/>
        <n v="20167.65"/>
        <n v="20222.45"/>
        <n v="20195.35"/>
        <n v="20050.65"/>
        <n v="19848.75"/>
        <n v="19798.65"/>
        <n v="19734.15"/>
        <n v="19699.35"/>
        <n v="19730.7"/>
        <n v="19766.65"/>
        <n v="19726.25"/>
        <n v="19623.2"/>
        <n v="19457.8"/>
        <n v="19576.95"/>
        <n v="19675.75"/>
        <n v="19588.95"/>
        <n v="19717.8"/>
        <n v="19839.2"/>
        <n v="19843.3"/>
        <n v="19805.4"/>
        <n v="19781.3"/>
        <n v="19849.75"/>
        <n v="19840.95"/>
        <n v="19681.8"/>
        <n v="19593.8"/>
        <n v="19556.85"/>
        <n v="19347.3"/>
        <n v="19041.7"/>
        <n v="19076.15"/>
        <n v="19158.5"/>
        <n v="19233.7"/>
        <n v="19096.05"/>
        <n v="19175.25"/>
        <n v="19276.25"/>
        <n v="19423.0"/>
        <n v="19423.5"/>
        <n v="19464.4"/>
        <n v="19463.9"/>
        <n v="19451.3"/>
        <n v="19547.25"/>
        <n v="19494.4"/>
        <n v="19693.2"/>
        <n v="19875.25"/>
        <n v="19806.0"/>
        <n v="19756.45"/>
        <n v="19829.1"/>
        <n v="19825.55"/>
        <n v="19875.15"/>
        <n v="19832.85"/>
        <n v="19916.85"/>
        <n v="20104.65"/>
        <n v="20158.7"/>
        <n v="20291.55"/>
        <n v="20702.65"/>
        <n v="20864.05"/>
        <n v="20961.95"/>
        <n v="20941.25"/>
        <n v="21006.1"/>
        <n v="21026.1"/>
        <n v="21037.9"/>
        <n v="20950.0"/>
        <n v="21210.9"/>
        <n v="21492.3"/>
        <n v="21482.8"/>
        <n v="21505.05"/>
        <n v="21593.0"/>
        <n v="21288.35"/>
        <n v="21390.5"/>
        <n v="21477.15"/>
        <n v="21675.75"/>
        <n v="21801.45"/>
        <n v="21770.3"/>
        <n v="21834.35"/>
        <n v="21755.6"/>
        <n v="21677.0"/>
        <n v="21685.65"/>
        <n v="21749.6"/>
        <n v="21763.95"/>
        <n v="21724.45"/>
        <n v="21641.85"/>
        <n v="21726.5"/>
        <n v="21928.25"/>
        <n v="22115.55"/>
        <n v="22124.15"/>
        <n v="21851.5"/>
        <n v="21539.4"/>
        <n v="21670.6"/>
        <n v="21720.3"/>
        <n v="21750.25"/>
        <n v="21482.35"/>
        <n v="21459.0"/>
        <n v="21763.25"/>
        <n v="21813.05"/>
        <n v="21741.35"/>
        <n v="21832.95"/>
        <n v="22126.8"/>
        <n v="21964.3"/>
        <n v="21951.4"/>
        <n v="22053.3"/>
        <n v="22011.05"/>
        <n v="21804.45"/>
        <n v="21831.7"/>
        <n v="21766.8"/>
        <n v="21870.85"/>
        <n v="21953.85"/>
        <n v="22068.65"/>
        <n v="22186.65"/>
        <n v="22215.6"/>
        <n v="22249.4"/>
        <n v="22252.5"/>
        <n v="22297.5"/>
        <n v="22202.15"/>
        <n v="22218.25"/>
        <n v="22229.15"/>
        <n v="22060.55"/>
        <n v="22353.3"/>
        <n v="22419.55"/>
        <n v="22440.9"/>
        <n v="22416.9"/>
        <n v="22497.2"/>
        <n v="22525.65"/>
        <n v="22526.6"/>
        <n v="22452.55"/>
        <n v="22446.75"/>
        <n v="22204.6"/>
        <n v="22120.9"/>
        <n v="22123.7"/>
        <n v="21978.3"/>
        <n v="21930.9"/>
        <n v="22080.95"/>
        <n v="22180.7"/>
        <n v="22073.2"/>
        <n v="22193.6"/>
        <n v="22516.0"/>
        <n v="22529.95"/>
        <n v="22497.6"/>
        <n v="22521.1"/>
        <n v="22619.0"/>
        <n v="22537.6"/>
        <n v="22697.3"/>
        <n v="22768.4"/>
      </sharedItems>
    </cacheField>
    <cacheField name="Low " numFmtId="0">
      <sharedItems containsSemiMixedTypes="0" containsString="0" containsNumber="1">
        <n v="7771.7"/>
        <n v="7772.85"/>
        <n v="7819.1"/>
        <n v="7730.9"/>
        <n v="7714.15"/>
        <n v="7793.0"/>
        <n v="7725.05"/>
        <n v="7765.45"/>
        <n v="7817.8"/>
        <n v="7825.2"/>
        <n v="7812.65"/>
        <n v="7832.0"/>
        <n v="7879.45"/>
        <n v="7922.8"/>
        <n v="7934.15"/>
        <n v="7910.8"/>
        <n v="7853.3"/>
        <n v="7775.7"/>
        <n v="7746.05"/>
        <n v="7685.45"/>
        <n v="7606.9"/>
        <n v="7610.0"/>
        <n v="7575.3"/>
        <n v="7551.05"/>
        <n v="7625.1"/>
        <n v="7715.75"/>
        <n v="7737.55"/>
        <n v="7753.35"/>
        <n v="7733.45"/>
        <n v="7776.85"/>
        <n v="7826.1"/>
        <n v="7835.5"/>
        <n v="7863.0"/>
        <n v="7902.75"/>
        <n v="7889.85"/>
        <n v="7891.15"/>
        <n v="7909.8"/>
        <n v="7781.1"/>
        <n v="7763.25"/>
        <n v="7721.2"/>
        <n v="7556.6"/>
        <n v="7581.05"/>
        <n v="7494.35"/>
        <n v="7487.8"/>
        <n v="7425.8"/>
        <n v="7443.8"/>
        <n v="7427.3"/>
        <n v="7336.4"/>
        <n v="7364.15"/>
        <n v="7241.5"/>
        <n v="7250.0"/>
        <n v="7327.6"/>
        <n v="7421.2"/>
        <n v="7419.7"/>
        <n v="7409.6"/>
        <n v="7402.8"/>
        <n v="7541.25"/>
        <n v="7428.05"/>
        <n v="7350.3"/>
        <n v="7365.95"/>
        <n v="7406.65"/>
        <n v="7363.2"/>
        <n v="7275.15"/>
        <n v="7177.75"/>
        <n v="6959.95"/>
        <n v="6869.0"/>
        <n v="7056.8"/>
        <n v="7037.7"/>
        <n v="6960.65"/>
        <n v="7127.85"/>
        <n v="7145.95"/>
        <n v="7200.7"/>
        <n v="7090.7"/>
        <n v="7009.75"/>
        <n v="6961.4"/>
        <n v="6985.1"/>
        <n v="6825.8"/>
        <n v="7035.1"/>
        <n v="7308.15"/>
        <n v="7406.05"/>
        <n v="7444.1"/>
        <n v="7442.15"/>
        <n v="7424.3"/>
        <n v="7447.4"/>
        <n v="7460.6"/>
        <n v="7515.05"/>
        <n v="7452.8"/>
        <n v="7405.15"/>
        <n v="7479.4"/>
        <n v="7517.9"/>
        <n v="7617.7"/>
        <n v="7643.8"/>
        <n v="7670.6"/>
        <n v="7587.7"/>
        <n v="7582.25"/>
        <n v="7643.45"/>
        <n v="7702.0"/>
        <n v="7666.1"/>
        <n v="7704.4"/>
        <n v="7588.65"/>
        <n v="7591.75"/>
        <n v="7535.85"/>
        <n v="7526.7"/>
        <n v="7516.85"/>
        <n v="7663.35"/>
        <n v="7772.2"/>
        <n v="7842.75"/>
        <n v="7877.55"/>
        <n v="7884.1"/>
        <n v="7873.35"/>
        <n v="7827.0"/>
        <n v="7822.55"/>
        <n v="7940.55"/>
        <n v="7834.45"/>
        <n v="7788.7"/>
        <n v="7777.3"/>
        <n v="7735.15"/>
        <n v="7697.25"/>
        <n v="7706.85"/>
        <n v="7678.35"/>
        <n v="7753.55"/>
        <n v="7837.7"/>
        <n v="7780.9"/>
        <n v="7849.65"/>
        <n v="7784.2"/>
        <n v="7772.15"/>
        <n v="7879.7"/>
        <n v="7810.75"/>
        <n v="7766.8"/>
        <n v="7735.75"/>
        <n v="7722.2"/>
        <n v="7715.8"/>
        <n v="7809.3"/>
        <n v="7948.5"/>
        <n v="8077.05"/>
        <n v="8150.8"/>
        <n v="8134.3"/>
        <n v="8171.05"/>
        <n v="8154.75"/>
        <n v="8209.85"/>
        <n v="8186.05"/>
        <n v="8216.4"/>
        <n v="8252.05"/>
        <n v="8184.6"/>
        <n v="8162.85"/>
        <n v="8063.9"/>
        <n v="8069.5"/>
        <n v="8123.15"/>
        <n v="8074.45"/>
        <n v="8135.8"/>
        <n v="8107.35"/>
        <n v="8202.15"/>
        <n v="8153.25"/>
        <n v="8188.3"/>
        <n v="7927.05"/>
        <n v="8039.35"/>
        <n v="8086.85"/>
        <n v="8157.65"/>
        <n v="8242.1"/>
        <n v="8308.65"/>
        <n v="8364.7"/>
        <n v="8319.95"/>
        <n v="8317.7"/>
        <n v="8287.55"/>
        <n v="8407.05"/>
        <n v="8479.2"/>
        <n v="8493.55"/>
        <n v="8500.7"/>
        <n v="8510.05"/>
        <n v="8494.35"/>
        <n v="8476.7"/>
        <n v="8512.55"/>
        <n v="8503.45"/>
        <n v="8489.8"/>
        <n v="8517.2"/>
        <n v="8577.15"/>
        <n v="8572.05"/>
        <n v="8625.25"/>
        <n v="8631.15"/>
        <n v="8590.5"/>
        <n v="8611.4"/>
        <n v="8529.6"/>
        <n v="8518.15"/>
        <n v="8590.15"/>
        <n v="8697.6"/>
        <n v="8638.2"/>
        <n v="8564.6"/>
        <n v="8540.05"/>
        <n v="8604.45"/>
        <n v="8600.45"/>
        <n v="8603.6"/>
        <n v="8645.05"/>
        <n v="8647.1"/>
        <n v="8614.0"/>
        <n v="8580.0"/>
        <n v="8620.9"/>
        <n v="8583.65"/>
        <n v="8547.55"/>
        <n v="8543.75"/>
        <n v="8642.25"/>
        <n v="8754.05"/>
        <n v="8759.95"/>
        <n v="8768.2"/>
        <n v="8848.45"/>
        <n v="8913.35"/>
        <n v="8896.0"/>
        <n v="8858.7"/>
        <n v="8699.4"/>
        <n v="8688.9"/>
        <n v="8704.35"/>
        <n v="8750.5"/>
        <n v="8774.2"/>
        <n v="8759.3"/>
        <n v="8757.3"/>
        <n v="8837.8"/>
        <n v="8820.3"/>
        <n v="8715.1"/>
        <n v="8690.5"/>
        <n v="8703.15"/>
        <n v="8558.25"/>
        <n v="8555.2"/>
        <n v="8635.0"/>
        <n v="8736.1"/>
        <n v="8731.4"/>
        <n v="8684.65"/>
        <n v="8663.8"/>
        <n v="8703.95"/>
        <n v="8541.35"/>
        <n v="8549.8"/>
        <n v="8506.15"/>
        <n v="8555.9"/>
        <n v="8636.7"/>
        <n v="8678.3"/>
        <n v="8652.05"/>
        <n v="8684.15"/>
        <n v="8663.45"/>
        <n v="8596.6"/>
        <n v="8550.25"/>
        <n v="8581.75"/>
        <n v="8616.25"/>
        <n v="8614.5"/>
        <n v="8504.85"/>
        <n v="8476.15"/>
        <n v="8400.25"/>
        <n v="8481.45"/>
        <n v="8480.1"/>
        <n v="8002.25"/>
        <n v="8510.7"/>
        <n v="8284.95"/>
        <n v="8093.2"/>
        <n v="8089.4"/>
        <n v="8060.3"/>
        <n v="8048.3"/>
        <n v="7916.4"/>
        <n v="7938.15"/>
        <n v="7973.1"/>
        <n v="7952.55"/>
        <n v="7976.75"/>
        <n v="8066.5"/>
        <n v="8128.7"/>
        <n v="8139.25"/>
        <n v="8185.05"/>
        <n v="8070.05"/>
        <n v="8056.85"/>
        <n v="8130.85"/>
        <n v="8077.5"/>
        <n v="8151.75"/>
        <n v="8241.95"/>
        <n v="8154.45"/>
        <n v="8155.8"/>
        <n v="8165.1"/>
        <n v="8121.95"/>
        <n v="8127.45"/>
        <n v="8094.85"/>
        <n v="8062.75"/>
        <n v="8053.25"/>
        <n v="7964.95"/>
        <n v="7942.05"/>
        <n v="7893.8"/>
        <n v="7903.7"/>
        <n v="8028.4"/>
        <n v="8020.8"/>
        <n v="8114.75"/>
        <n v="8133.8"/>
        <n v="8148.6"/>
        <n v="8180.9"/>
        <n v="8223.7"/>
        <n v="8233.25"/>
        <n v="8227.75"/>
        <n v="8261.0"/>
        <n v="8322.25"/>
        <n v="8382.3"/>
        <n v="8373.15"/>
        <n v="8374.4"/>
        <n v="8378.3"/>
        <n v="8397.4"/>
        <n v="8404.05"/>
        <n v="8340.95"/>
        <n v="8327.2"/>
        <n v="8398.15"/>
        <n v="8493.95"/>
        <n v="8606.9"/>
        <n v="8617.75"/>
        <n v="8552.4"/>
        <n v="8537.5"/>
        <n v="8685.8"/>
        <n v="8707.75"/>
        <n v="8770.2"/>
        <n v="8741.05"/>
        <n v="8715.0"/>
        <n v="8724.1"/>
        <n v="8771.2"/>
        <n v="8754.2"/>
        <n v="8772.5"/>
        <n v="8712.85"/>
        <n v="8719.6"/>
        <n v="8804.25"/>
        <n v="8809.8"/>
        <n v="8860.95"/>
        <n v="8905.25"/>
        <n v="8927.55"/>
        <n v="8888.65"/>
        <n v="8867.6"/>
        <n v="8898.6"/>
        <n v="8879.8"/>
        <n v="8860.1"/>
        <n v="8914.0"/>
        <n v="8932.8"/>
        <n v="8891.95"/>
        <n v="8899.5"/>
        <n v="8903.95"/>
        <n v="9060.5"/>
        <n v="9075.5"/>
        <n v="9128.55"/>
        <n v="9147.6"/>
        <n v="9116.3"/>
        <n v="9087.2"/>
        <n v="9019.3"/>
        <n v="9048.6"/>
        <n v="9089.4"/>
        <n v="9024.65"/>
        <n v="9079.8"/>
        <n v="9109.1"/>
        <n v="9136.35"/>
        <n v="9152.1"/>
        <n v="9192.4"/>
        <n v="9215.4"/>
        <n v="9218.85"/>
        <n v="9188.1"/>
        <n v="9174.85"/>
        <n v="9172.85"/>
        <n v="9161.8"/>
        <n v="9144.95"/>
        <n v="9120.25"/>
        <n v="9095.45"/>
        <n v="9075.15"/>
        <n v="9102.65"/>
        <n v="9088.75"/>
        <n v="9130.55"/>
        <n v="9250.35"/>
        <n v="9301.35"/>
        <n v="9322.65"/>
        <n v="9282.25"/>
        <n v="9269.9"/>
        <n v="9298.4"/>
        <n v="9323.25"/>
        <n v="9272.0"/>
        <n v="9297.95"/>
        <n v="9307.7"/>
        <n v="9336.0"/>
        <n v="9411.3"/>
        <n v="9372.55"/>
        <n v="9423.1"/>
        <n v="9456.35"/>
        <n v="9486.1"/>
        <n v="9418.1"/>
        <n v="9390.75"/>
        <n v="9427.9"/>
        <n v="9370.0"/>
        <n v="9341.65"/>
        <n v="9379.2"/>
        <n v="9495.4"/>
        <n v="9547.7"/>
        <n v="9581.2"/>
        <n v="9609.25"/>
        <n v="9589.9"/>
        <n v="9637.45"/>
        <n v="9640.7"/>
        <n v="9630.2"/>
        <n v="9630.55"/>
        <n v="9641.5"/>
        <n v="9608.15"/>
        <n v="9598.5"/>
        <n v="9595.4"/>
        <n v="9580.45"/>
        <n v="9560.8"/>
        <n v="9565.5"/>
        <n v="9614.9"/>
        <n v="9643.75"/>
        <n v="9608.6"/>
        <n v="9617.75"/>
        <n v="9565.3"/>
        <n v="9473.45"/>
        <n v="9474.35"/>
        <n v="9493.8"/>
        <n v="9448.75"/>
        <n v="9543.55"/>
        <n v="9595.5"/>
        <n v="9607.35"/>
        <n v="9639.95"/>
        <n v="9642.65"/>
        <n v="9646.45"/>
        <n v="9778.85"/>
        <n v="9787.7"/>
        <n v="9853.45"/>
        <n v="9845.45"/>
        <n v="9894.7"/>
        <n v="9792.05"/>
        <n v="9851.65"/>
        <n v="9863.45"/>
        <n v="9838.0"/>
        <n v="9919.6"/>
        <n v="9949.1"/>
        <n v="9965.95"/>
        <n v="10005.5"/>
        <n v="9944.5"/>
        <n v="10016.95"/>
        <n v="10065.75"/>
        <n v="10054.2"/>
        <n v="9998.25"/>
        <n v="9988.35"/>
        <n v="10046.35"/>
        <n v="9947.0"/>
        <n v="9893.05"/>
        <n v="9776.2"/>
        <n v="9685.55"/>
        <n v="9752.1"/>
        <n v="9773.85"/>
        <n v="9883.75"/>
        <n v="9783.65"/>
        <n v="9740.1"/>
        <n v="9752.6"/>
        <n v="9786.75"/>
        <n v="9848.85"/>
        <n v="9882.0"/>
        <n v="9783.75"/>
        <n v="9850.8"/>
        <n v="9856.95"/>
        <n v="9909.85"/>
        <n v="9861.0"/>
        <n v="9901.05"/>
        <n v="9882.55"/>
        <n v="9917.2"/>
        <n v="9913.3"/>
        <n v="9968.8"/>
        <n v="10028.05"/>
        <n v="10063.15"/>
        <n v="10070.35"/>
        <n v="10043.65"/>
        <n v="10131.3"/>
        <n v="10129.95"/>
        <n v="10134.2"/>
        <n v="10058.6"/>
        <n v="9952.8"/>
        <n v="9816.05"/>
        <n v="9813.0"/>
        <n v="9714.4"/>
        <n v="9687.55"/>
        <n v="9775.35"/>
        <n v="9831.05"/>
        <n v="9850.65"/>
        <n v="9881.85"/>
        <n v="9906.6"/>
        <n v="9959.45"/>
        <n v="10002.3"/>
        <n v="9955.8"/>
        <n v="9977.1"/>
        <n v="10120.1"/>
        <n v="10175.1"/>
        <n v="10212.6"/>
        <n v="10175.75"/>
        <n v="10123.35"/>
        <n v="10124.5"/>
        <n v="10182.4"/>
        <n v="10240.9"/>
        <n v="10271.85"/>
        <n v="10311.3"/>
        <n v="10344.3"/>
        <n v="10323.95"/>
        <n v="10383.05"/>
        <n v="10412.55"/>
        <n v="10403.6"/>
        <n v="10413.75"/>
        <n v="10340.8"/>
        <n v="10285.5"/>
        <n v="10266.95"/>
        <n v="10254.1"/>
        <n v="10216.25"/>
        <n v="10175.55"/>
        <n v="10094.0"/>
        <n v="10139.2"/>
        <n v="10268.05"/>
        <n v="10261.5"/>
        <n v="10315.05"/>
        <n v="10309.55"/>
        <n v="10307.3"/>
        <n v="10362.25"/>
        <n v="10340.2"/>
        <n v="10355.2"/>
        <n v="10345.9"/>
        <n v="10211.25"/>
        <n v="10108.55"/>
        <n v="10095.7"/>
        <n v="10069.1"/>
        <n v="10033.35"/>
        <n v="10061.9"/>
        <n v="10195.25"/>
        <n v="10282.05"/>
        <n v="10230.2"/>
        <n v="10169.85"/>
        <n v="10141.55"/>
        <n v="10319.65"/>
        <n v="10074.8"/>
        <n v="10406.0"/>
        <n v="10437.15"/>
        <n v="10426.9"/>
        <n v="10448.25"/>
        <n v="10477.95"/>
        <n v="10469.25"/>
        <n v="10460.45"/>
        <n v="10488.65"/>
        <n v="10423.1"/>
        <n v="10404.65"/>
        <n v="10429.55"/>
        <n v="10441.45"/>
        <n v="10520.1"/>
        <n v="10588.55"/>
        <n v="10603.6"/>
        <n v="10592.7"/>
        <n v="10612.35"/>
        <n v="10597.1"/>
        <n v="10713.8"/>
        <n v="10687.85"/>
        <n v="10666.75"/>
        <n v="10782.4"/>
        <n v="10793.9"/>
        <n v="10881.4"/>
        <n v="10994.55"/>
        <n v="11046.15"/>
        <n v="11009.2"/>
        <n v="11075.95"/>
        <n v="11033.9"/>
        <n v="10979.3"/>
        <n v="10878.8"/>
        <n v="10736.1"/>
        <n v="10586.8"/>
        <n v="10276.3"/>
        <n v="10446.4"/>
        <n v="10479.55"/>
        <n v="10398.2"/>
        <n v="10485.4"/>
        <n v="10456.65"/>
        <n v="10511.05"/>
        <n v="10434.05"/>
        <n v="10302.75"/>
        <n v="10347.65"/>
        <n v="10349.6"/>
        <n v="10340.65"/>
        <n v="10396.65"/>
        <n v="10520.2"/>
        <n v="10537.25"/>
        <n v="10461.55"/>
        <n v="10447.15"/>
        <n v="10323.9"/>
        <n v="10215.9"/>
        <n v="10146.4"/>
        <n v="10211.9"/>
        <n v="10295.45"/>
        <n v="10377.85"/>
        <n v="10336.3"/>
        <n v="10346.2"/>
        <n v="10180.25"/>
        <n v="10075.3"/>
        <n v="10049.1"/>
        <n v="10132.95"/>
        <n v="10105.4"/>
        <n v="9951.9"/>
        <n v="9958.55"/>
        <n v="10139.65"/>
        <n v="10096.9"/>
        <n v="10127.75"/>
        <n v="10171.05"/>
        <n v="10111.3"/>
        <n v="10227.45"/>
        <n v="10290.85"/>
        <n v="10328.5"/>
        <n v="10381.5"/>
        <n v="10355.6"/>
        <n v="10395.25"/>
        <n v="10451.45"/>
        <n v="10396.35"/>
        <n v="10495.65"/>
        <n v="10509.7"/>
        <n v="10546.2"/>
        <n v="10527.45"/>
        <n v="10514.95"/>
        <n v="10569.0"/>
        <n v="10536.45"/>
        <n v="10559.65"/>
        <n v="10647.55"/>
        <n v="10704.6"/>
        <n v="10689.8"/>
        <n v="10647.45"/>
        <n v="10601.6"/>
        <n v="10635.65"/>
        <n v="10689.4"/>
        <n v="10689.85"/>
        <n v="10705.0"/>
        <n v="10724.45"/>
        <n v="10774.75"/>
        <n v="10781.4"/>
        <n v="10699.7"/>
        <n v="10664.5"/>
        <n v="10589.1"/>
        <n v="10505.8"/>
        <n v="10490.55"/>
        <n v="10417.8"/>
        <n v="10419.8"/>
        <n v="10524.0"/>
        <n v="10640.55"/>
        <n v="10616.1"/>
        <n v="10558.45"/>
        <n v="10620.4"/>
        <n v="10681.5"/>
        <n v="10618.35"/>
        <n v="10550.9"/>
        <n v="10587.5"/>
        <n v="10722.6"/>
        <n v="10709.05"/>
        <n v="10777.05"/>
        <n v="10789.4"/>
        <n v="10842.65"/>
        <n v="10773.55"/>
        <n v="10755.4"/>
        <n v="10787.35"/>
        <n v="10701.2"/>
        <n v="10724.05"/>
        <n v="10725.9"/>
        <n v="10710.45"/>
        <n v="10753.05"/>
        <n v="10732.55"/>
        <n v="10652.4"/>
        <n v="10557.7"/>
        <n v="10604.65"/>
        <n v="10630.25"/>
        <n v="10677.75"/>
        <n v="10726.25"/>
        <n v="10735.05"/>
        <n v="10807.15"/>
        <n v="10876.65"/>
        <n v="10923.0"/>
        <n v="10999.65"/>
        <n v="10999.75"/>
        <n v="10926.25"/>
        <n v="10925.6"/>
        <n v="10956.3"/>
        <n v="10935.45"/>
        <n v="10946.2"/>
        <n v="11010.95"/>
        <n v="11092.5"/>
        <n v="11113.25"/>
        <n v="11125.7"/>
        <n v="11210.25"/>
        <n v="11261.45"/>
        <n v="11267.75"/>
        <n v="11313.55"/>
        <n v="11234.95"/>
        <n v="11294.55"/>
        <n v="11370.6"/>
        <n v="11359.7"/>
        <n v="11379.3"/>
        <n v="11454.1"/>
        <n v="11419.65"/>
        <n v="11340.3"/>
        <n v="11370.8"/>
        <n v="11366.25"/>
        <n v="11431.8"/>
        <n v="11499.65"/>
        <n v="11539.6"/>
        <n v="11546.7"/>
        <n v="11532.0"/>
        <n v="11595.6"/>
        <n v="11710.5"/>
        <n v="11678.85"/>
        <n v="11639.7"/>
        <n v="11640.1"/>
        <n v="11567.4"/>
        <n v="11496.85"/>
        <n v="11393.85"/>
        <n v="11436.05"/>
        <n v="11484.4"/>
        <n v="11427.3"/>
        <n v="11274.0"/>
        <n v="11250.2"/>
        <n v="11430.55"/>
        <n v="11366.9"/>
        <n v="11268.95"/>
        <n v="11210.9"/>
        <n v="10866.45"/>
        <n v="10943.6"/>
        <n v="10882.85"/>
        <n v="10993.05"/>
        <n v="10953.35"/>
        <n v="10850.3"/>
        <n v="10821.55"/>
        <n v="10843.75"/>
        <n v="10547.25"/>
        <n v="10261.9"/>
        <n v="10198.4"/>
        <n v="10279.35"/>
        <n v="10318.25"/>
        <n v="10138.6"/>
        <n v="10322.15"/>
        <n v="10410.15"/>
        <n v="10525.3"/>
        <n v="10436.45"/>
        <n v="10249.6"/>
        <n v="10224.0"/>
        <n v="10102.35"/>
        <n v="10126.7"/>
        <n v="10079.3"/>
        <n v="10004.55"/>
        <n v="10020.35"/>
        <n v="10175.35"/>
        <n v="10105.1"/>
        <n v="10341.9"/>
        <n v="10457.7"/>
        <n v="10477.0"/>
        <n v="10491.45"/>
        <n v="10582.3"/>
        <n v="10544.85"/>
        <n v="10464.05"/>
        <n v="10440.55"/>
        <n v="10532.7"/>
        <n v="10557.5"/>
        <n v="10631.15"/>
        <n v="10688.8"/>
        <n v="10640.85"/>
        <n v="10562.35"/>
        <n v="10512.0"/>
        <n v="10489.75"/>
        <n v="10596.35"/>
        <n v="10699.85"/>
        <n v="10782.35"/>
        <n v="10835.1"/>
        <n v="10845.35"/>
        <n v="10833.35"/>
        <n v="10747.95"/>
        <n v="10588.25"/>
        <n v="10599.35"/>
        <n v="10474.95"/>
        <n v="10333.85"/>
        <n v="10560.8"/>
        <n v="10749.5"/>
        <n v="10752.1"/>
        <n v="10844.85"/>
        <n v="10819.1"/>
        <n v="10928.0"/>
        <n v="10880.05"/>
        <n v="10738.65"/>
        <n v="10649.25"/>
        <n v="10534.55"/>
        <n v="10764.45"/>
        <n v="10817.15"/>
        <n v="10853.2"/>
        <n v="10807.1"/>
        <n v="10661.25"/>
        <n v="10628.65"/>
        <n v="10750.15"/>
        <n v="10733.25"/>
        <n v="10749.4"/>
        <n v="10801.8"/>
        <n v="10739.4"/>
        <n v="10692.35"/>
        <n v="10777.55"/>
        <n v="10876.9"/>
        <n v="10844.65"/>
        <n v="10852.2"/>
        <n v="10885.75"/>
        <n v="10864.15"/>
        <n v="10811.95"/>
        <n v="10798.65"/>
        <n v="10756.45"/>
        <n v="10630.95"/>
        <n v="10583.65"/>
        <n v="10612.85"/>
        <n v="10678.55"/>
        <n v="10813.45"/>
        <n v="10814.15"/>
        <n v="10886.7"/>
        <n v="10962.7"/>
        <n v="11043.6"/>
        <n v="10925.45"/>
        <n v="10857.1"/>
        <n v="10823.8"/>
        <n v="10772.1"/>
        <n v="10718.75"/>
        <n v="10628.4"/>
        <n v="10585.65"/>
        <n v="10646.4"/>
        <n v="10721.5"/>
        <n v="10758.4"/>
        <n v="10788.05"/>
        <n v="10729.3"/>
        <n v="10751.2"/>
        <n v="10784.85"/>
        <n v="10823.1"/>
        <n v="10817.0"/>
        <n v="10998.85"/>
        <n v="11027.1"/>
        <n v="11008.95"/>
        <n v="11059.85"/>
        <n v="11227.0"/>
        <n v="11276.6"/>
        <n v="11313.75"/>
        <n v="11412.5"/>
        <n v="11451.25"/>
        <n v="11503.1"/>
        <n v="11434.55"/>
        <n v="11311.6"/>
        <n v="11352.45"/>
        <n v="11413.0"/>
        <n v="11452.45"/>
        <n v="11570.15"/>
        <n v="11644.75"/>
        <n v="11655.85"/>
        <n v="11629.15"/>
        <n v="11559.2"/>
        <n v="11609.5"/>
        <n v="11549.1"/>
        <n v="11569.7"/>
        <n v="11571.75"/>
        <n v="11550.55"/>
        <n v="11578.8"/>
        <n v="11648.25"/>
        <n v="11731.55"/>
        <n v="11738.5"/>
        <n v="11583.95"/>
        <n v="11564.8"/>
        <n v="11578.85"/>
        <n v="11624.3"/>
        <n v="11661.75"/>
        <n v="11655.9"/>
        <n v="11699.55"/>
        <n v="11699.35"/>
        <n v="11571.35"/>
        <n v="11484.45"/>
        <n v="11346.95"/>
        <n v="11255.05"/>
        <n v="11251.05"/>
        <n v="11125.6"/>
        <n v="11108.3"/>
        <n v="11136.95"/>
        <n v="11143.35"/>
        <n v="11259.85"/>
        <n v="11591.7"/>
        <n v="11682.8"/>
        <n v="11682.4"/>
        <n v="11614.5"/>
        <n v="11658.1"/>
        <n v="11812.4"/>
        <n v="11864.9"/>
        <n v="11836.8"/>
        <n v="11859.4"/>
        <n v="11829.45"/>
        <n v="11920.1"/>
        <n v="12005.85"/>
        <n v="11830.25"/>
        <n v="11769.5"/>
        <n v="11871.75"/>
        <n v="11904.35"/>
        <n v="11866.35"/>
        <n v="11817.05"/>
        <n v="11797.7"/>
        <n v="11657.75"/>
        <n v="11641.15"/>
        <n v="11625.1"/>
        <n v="11635.05"/>
        <n v="11705.1"/>
        <n v="11670.2"/>
        <n v="11651.0"/>
        <n v="11757.55"/>
        <n v="11821.05"/>
        <n v="11775.5"/>
        <n v="11830.8"/>
        <n v="11814.7"/>
        <n v="11887.05"/>
        <n v="11923.65"/>
        <n v="11797.9"/>
        <n v="11523.3"/>
        <n v="11461.0"/>
        <n v="11475.65"/>
        <n v="11519.5"/>
        <n v="11538.6"/>
        <n v="11532.3"/>
        <n v="11573.95"/>
        <n v="11651.15"/>
        <n v="11582.4"/>
        <n v="11399.3"/>
        <n v="11301.25"/>
        <n v="11302.8"/>
        <n v="11229.8"/>
        <n v="11239.35"/>
        <n v="11210.05"/>
        <n v="11152.4"/>
        <n v="11072.65"/>
        <n v="10999.4"/>
        <n v="10881.0"/>
        <n v="10848.95"/>
        <n v="10782.6"/>
        <n v="10813.8"/>
        <n v="10835.9"/>
        <n v="10842.95"/>
        <n v="11062.8"/>
        <n v="10901.6"/>
        <n v="10935.6"/>
        <n v="10924.3"/>
        <n v="11037.85"/>
        <n v="10985.3"/>
        <n v="10906.65"/>
        <n v="10718.3"/>
        <n v="10637.15"/>
        <n v="10756.55"/>
        <n v="11049.5"/>
        <n v="10987.65"/>
        <n v="10922.4"/>
        <n v="10874.8"/>
        <n v="10772.7"/>
        <n v="10746.35"/>
        <n v="10816.0"/>
        <n v="10867.45"/>
        <n v="10889.8"/>
        <n v="11011.65"/>
        <n v="10964.95"/>
        <n v="10945.75"/>
        <n v="10968.2"/>
        <n v="10796.5"/>
        <n v="10804.85"/>
        <n v="10670.25"/>
        <n v="10691.0"/>
        <n v="11471.35"/>
        <n v="11539.2"/>
        <n v="11416.1"/>
        <n v="11466.35"/>
        <n v="11499.75"/>
        <n v="11390.8"/>
        <n v="11247.9"/>
        <n v="11257.35"/>
        <n v="11158.35"/>
        <n v="11112.65"/>
        <n v="11090.15"/>
        <n v="11208.55"/>
        <n v="11189.4"/>
        <n v="11290.05"/>
        <n v="11342.1"/>
        <n v="11411.1"/>
        <n v="11439.65"/>
        <n v="11553.15"/>
        <n v="11573.65"/>
        <n v="11554.4"/>
        <n v="11534.65"/>
        <n v="11490.75"/>
        <n v="11604.6"/>
        <n v="11627.35"/>
        <n v="11784.45"/>
        <n v="11855.1"/>
        <n v="11843.35"/>
        <n v="11905.35"/>
        <n v="11861.9"/>
        <n v="11850.25"/>
        <n v="11946.85"/>
        <n v="11888.75"/>
        <n v="11853.95"/>
        <n v="11823.2"/>
        <n v="11802.65"/>
        <n v="11879.25"/>
        <n v="11867.6"/>
        <n v="11881.75"/>
        <n v="11966.05"/>
        <n v="11956.9"/>
        <n v="11883.5"/>
        <n v="11919.75"/>
        <n v="12006.35"/>
        <n v="12055.15"/>
        <n v="12099.95"/>
        <n v="12017.4"/>
        <n v="12023.7"/>
        <n v="11956.4"/>
        <n v="11935.3"/>
        <n v="11998.75"/>
        <n v="11888.85"/>
        <n v="11888.05"/>
        <n v="11844.7"/>
        <n v="11832.3"/>
        <n v="11934.0"/>
        <n v="12023.6"/>
        <n v="12046.3"/>
        <n v="12070.35"/>
        <n v="12163.45"/>
        <n v="12191.15"/>
        <n v="12252.75"/>
        <n v="12213.25"/>
        <n v="12202.1"/>
        <n v="12118.85"/>
        <n v="12157.9"/>
        <n v="12213.8"/>
        <n v="12151.8"/>
        <n v="12165.3"/>
        <n v="12195.25"/>
        <n v="12191.35"/>
        <n v="11974.2"/>
        <n v="12005.35"/>
        <n v="11929.6"/>
        <n v="12132.55"/>
        <n v="12213.2"/>
        <n v="12285.8"/>
        <n v="12308.7"/>
        <n v="12278.75"/>
        <n v="12315.8"/>
        <n v="12321.4"/>
        <n v="12216.9"/>
        <n v="12162.3"/>
        <n v="12087.9"/>
        <n v="12094.1"/>
        <n v="12149.65"/>
        <n v="12107.0"/>
        <n v="12024.5"/>
        <n v="12103.8"/>
        <n v="12010.6"/>
        <n v="11945.85"/>
        <n v="11633.3"/>
        <n v="11783.4"/>
        <n v="11953.35"/>
        <n v="12084.65"/>
        <n v="12073.95"/>
        <n v="11990.75"/>
        <n v="12099.0"/>
        <n v="12144.3"/>
        <n v="12139.8"/>
        <n v="12091.2"/>
        <n v="12037.0"/>
        <n v="11908.05"/>
        <n v="12042.1"/>
        <n v="12071.45"/>
        <n v="11813.4"/>
        <n v="11779.9"/>
        <n v="11639.6"/>
        <n v="11536.7"/>
        <n v="11175.05"/>
        <n v="11036.25"/>
        <n v="11152.55"/>
        <n v="11082.15"/>
        <n v="11244.6"/>
        <n v="10827.4"/>
        <n v="10294.45"/>
        <n v="10334.0"/>
        <n v="9508.0"/>
        <n v="8555.15"/>
        <n v="9165.1"/>
        <n v="8915.6"/>
        <n v="7832.55"/>
        <n v="8178.2"/>
        <n v="7583.6"/>
        <n v="7511.1"/>
        <n v="7714.75"/>
        <n v="8304.9"/>
        <n v="8522.9"/>
        <n v="8244.0"/>
        <n v="8358.0"/>
        <n v="8198.35"/>
        <n v="8055.8"/>
        <n v="8360.95"/>
        <n v="8653.9"/>
        <n v="8904.55"/>
        <n v="8912.4"/>
        <n v="8874.1"/>
        <n v="8821.9"/>
        <n v="9091.35"/>
        <n v="9230.8"/>
        <n v="8909.4"/>
        <n v="8946.25"/>
        <n v="9170.15"/>
        <n v="9141.3"/>
        <n v="9260.0"/>
        <n v="9392.35"/>
        <n v="9731.5"/>
        <n v="9266.95"/>
        <n v="9190.75"/>
        <n v="9116.5"/>
        <n v="9175.9"/>
        <n v="9238.2"/>
        <n v="9219.95"/>
        <n v="9043.95"/>
        <n v="9351.1"/>
        <n v="9119.75"/>
        <n v="9050.0"/>
        <n v="8806.75"/>
        <n v="8855.3"/>
        <n v="8875.35"/>
        <n v="9056.1"/>
        <n v="8968.55"/>
        <n v="8996.65"/>
        <n v="9004.25"/>
        <n v="9336.5"/>
        <n v="9376.9"/>
        <n v="9706.95"/>
        <n v="9824.05"/>
        <n v="10035.55"/>
        <n v="9944.25"/>
        <n v="10040.75"/>
        <n v="10120.25"/>
        <n v="10021.45"/>
        <n v="10036.85"/>
        <n v="9885.05"/>
        <n v="9544.35"/>
        <n v="9726.35"/>
        <n v="9728.5"/>
        <n v="9833.8"/>
        <n v="9845.05"/>
        <n v="10072.65"/>
        <n v="10277.6"/>
        <n v="10301.75"/>
        <n v="10281.95"/>
        <n v="10194.5"/>
        <n v="10311.25"/>
        <n v="10223.6"/>
        <n v="10267.35"/>
        <n v="10299.6"/>
        <n v="10485.55"/>
        <n v="10562.65"/>
        <n v="10695.1"/>
        <n v="10689.7"/>
        <n v="10676.55"/>
        <n v="10733.0"/>
        <n v="10713.0"/>
        <n v="10756.05"/>
        <n v="10562.9"/>
        <n v="11056.55"/>
        <n v="11103.15"/>
        <n v="11090.3"/>
        <n v="11087.85"/>
        <n v="11151.4"/>
        <n v="11149.75"/>
        <n v="11084.95"/>
        <n v="11026.65"/>
        <n v="10882.25"/>
        <n v="10908.1"/>
        <n v="11064.05"/>
        <n v="11127.3"/>
        <n v="11142.05"/>
        <n v="11238.0"/>
        <n v="11299.15"/>
        <n v="11242.65"/>
        <n v="11269.95"/>
        <n v="11111.45"/>
        <n v="11144.5"/>
        <n v="11253.15"/>
        <n v="11394.1"/>
        <n v="11289.8"/>
        <n v="11362.2"/>
        <n v="11410.65"/>
        <n v="11423.35"/>
        <n v="11461.85"/>
        <n v="11540.6"/>
        <n v="11589.4"/>
        <n v="11325.85"/>
        <n v="11430.4"/>
        <n v="11507.65"/>
        <n v="11303.65"/>
        <n v="11251.7"/>
        <n v="11290.45"/>
        <n v="11185.15"/>
        <n v="11327.4"/>
        <n v="11419.9"/>
        <n v="11383.55"/>
        <n v="11442.25"/>
        <n v="11516.75"/>
        <n v="11498.5"/>
        <n v="11446.1"/>
        <n v="11218.5"/>
        <n v="11084.65"/>
        <n v="11024.4"/>
        <n v="10790.2"/>
        <n v="10854.85"/>
        <n v="11099.85"/>
        <n v="11181.0"/>
        <n v="11184.55"/>
        <n v="11347.05"/>
        <n v="11452.3"/>
        <n v="11564.3"/>
        <n v="11629.35"/>
        <n v="11791.15"/>
        <n v="11805.2"/>
        <n v="11867.2"/>
        <n v="11888.9"/>
        <n v="11822.15"/>
        <n v="11661.3"/>
        <n v="11667.85"/>
        <n v="11820.4"/>
        <n v="11837.25"/>
        <n v="11775.75"/>
        <n v="11823.45"/>
        <n v="11908.75"/>
        <n v="11711.7"/>
        <n v="11723.0"/>
        <n v="11684.85"/>
        <n v="11606.45"/>
        <n v="11535.45"/>
        <n v="11557.4"/>
        <n v="11723.3"/>
        <n v="11756.4"/>
        <n v="12027.6"/>
        <n v="12131.85"/>
        <n v="12367.35"/>
        <n v="12475.25"/>
        <n v="12571.1"/>
        <n v="12624.85"/>
        <n v="12607.7"/>
        <n v="12749.45"/>
        <n v="12797.1"/>
        <n v="12819.35"/>
        <n v="12745.75"/>
        <n v="12730.25"/>
        <n v="12825.7"/>
        <n v="12978.0"/>
        <n v="12833.65"/>
        <n v="12790.4"/>
        <n v="12914.3"/>
        <n v="12962.8"/>
        <n v="12983.55"/>
        <n v="13107.9"/>
        <n v="13152.85"/>
        <n v="13241.95"/>
        <n v="13311.05"/>
        <n v="13449.6"/>
        <n v="13399.3"/>
        <n v="13402.85"/>
        <n v="13472.45"/>
        <n v="13447.05"/>
        <n v="13606.45"/>
        <n v="13673.55"/>
        <n v="13658.6"/>
        <n v="13131.45"/>
        <n v="13192.9"/>
        <n v="13432.2"/>
        <n v="13626.9"/>
        <n v="13811.55"/>
        <n v="13859.9"/>
        <n v="13864.95"/>
        <n v="13936.45"/>
        <n v="13991.35"/>
        <n v="13953.75"/>
        <n v="14048.15"/>
        <n v="14039.9"/>
        <n v="14123.1"/>
        <n v="14221.65"/>
        <n v="14383.1"/>
        <n v="14432.85"/>
        <n v="14435.7"/>
        <n v="14471.5"/>
        <n v="14357.85"/>
        <n v="14222.8"/>
        <n v="14350.85"/>
        <n v="14517.55"/>
        <n v="14517.25"/>
        <n v="14357.75"/>
        <n v="14218.6"/>
        <n v="13929.3"/>
        <n v="13713.25"/>
        <n v="13596.75"/>
        <n v="13661.75"/>
        <n v="14469.15"/>
        <n v="14574.15"/>
        <n v="14714.75"/>
        <n v="14864.75"/>
        <n v="15041.05"/>
        <n v="15064.3"/>
        <n v="14977.2"/>
        <n v="15065.4"/>
        <n v="15081.0"/>
        <n v="15243.4"/>
        <n v="15242.2"/>
        <n v="15170.75"/>
        <n v="15078.05"/>
        <n v="14898.2"/>
        <n v="14635.05"/>
        <n v="14651.85"/>
        <n v="14723.05"/>
        <n v="15065.35"/>
        <n v="14467.75"/>
        <n v="14638.55"/>
        <n v="14760.8"/>
        <n v="14995.8"/>
        <n v="14980.2"/>
        <n v="14862.1"/>
        <n v="14919.9"/>
        <n v="14925.45"/>
        <n v="15100.85"/>
        <n v="14953.6"/>
        <n v="14745.85"/>
        <n v="14890.65"/>
        <n v="14696.05"/>
        <n v="14478.6"/>
        <n v="14350.1"/>
        <n v="14597.85"/>
        <n v="14707.0"/>
        <n v="14535.0"/>
        <n v="14264.4"/>
        <n v="14414.25"/>
        <n v="14617.6"/>
        <n v="14670.25"/>
        <n v="14692.45"/>
        <n v="14459.5"/>
        <n v="14573.9"/>
        <n v="14649.85"/>
        <n v="14821.1"/>
        <n v="14785.65"/>
        <n v="14248.7"/>
        <n v="14274.9"/>
        <n v="14353.2"/>
        <n v="14559.0"/>
        <n v="14191.4"/>
        <n v="14207.3"/>
        <n v="14151.4"/>
        <n v="14273.3"/>
        <n v="14421.3"/>
        <n v="14484.85"/>
        <n v="14694.95"/>
        <n v="14814.45"/>
        <n v="14601.7"/>
        <n v="14416.25"/>
        <n v="14461.5"/>
        <n v="14506.6"/>
        <n v="14611.5"/>
        <n v="14765.5"/>
        <n v="14892.5"/>
        <n v="14771.4"/>
        <n v="14649.7"/>
        <n v="14591.9"/>
        <n v="14725.35"/>
        <n v="15043.7"/>
        <n v="15008.85"/>
        <n v="14884.9"/>
        <n v="14985.85"/>
        <n v="15145.45"/>
        <n v="15163.4"/>
        <n v="15194.95"/>
        <n v="15272.5"/>
        <n v="15394.75"/>
        <n v="15374.0"/>
        <n v="15528.3"/>
        <n v="15459.85"/>
        <n v="15611.0"/>
        <n v="15622.35"/>
        <n v="15678.1"/>
        <n v="15680.0"/>
        <n v="15566.9"/>
        <n v="15648.5"/>
        <n v="15749.8"/>
        <n v="15606.5"/>
        <n v="15842.4"/>
        <n v="15742.6"/>
        <n v="15616.75"/>
        <n v="15450.9"/>
        <n v="15505.65"/>
        <n v="15752.1"/>
        <n v="15673.95"/>
        <n v="15702.7"/>
        <n v="15772.3"/>
        <n v="15792.15"/>
        <n v="15724.05"/>
        <n v="15708.75"/>
        <n v="15667.05"/>
        <n v="15635.95"/>
        <n v="15762.05"/>
        <n v="15801.0"/>
        <n v="15779.7"/>
        <n v="15682.9"/>
        <n v="15632.75"/>
        <n v="15644.75"/>
        <n v="15744.6"/>
        <n v="15764.2"/>
        <n v="15855.0"/>
        <n v="15882.6"/>
        <n v="15707.5"/>
        <n v="15578.55"/>
        <n v="15726.4"/>
        <n v="15768.4"/>
        <n v="15797.0"/>
        <n v="15701.0"/>
        <n v="15513.45"/>
        <n v="15737.8"/>
        <n v="15744.85"/>
        <n v="15834.65"/>
        <n v="15914.35"/>
        <n v="16176.15"/>
        <n v="16210.3"/>
        <n v="16223.3"/>
        <n v="16179.05"/>
        <n v="16202.25"/>
        <n v="16162.55"/>
        <n v="16286.9"/>
        <n v="16376.3"/>
        <n v="16480.75"/>
        <n v="16495.4"/>
        <n v="16535.85"/>
        <n v="16376.05"/>
        <n v="16395.7"/>
        <n v="16495.3"/>
        <n v="16617.5"/>
        <n v="16603.4"/>
        <n v="16565.6"/>
        <n v="16764.85"/>
        <n v="16915.85"/>
        <n v="17055.05"/>
        <n v="17059.7"/>
        <n v="17212.2"/>
        <n v="17345.55"/>
        <n v="17287.0"/>
        <n v="17254.2"/>
        <n v="17302.7"/>
        <n v="17269.15"/>
        <n v="17367.05"/>
        <n v="17386.9"/>
        <n v="17510.45"/>
        <n v="17537.65"/>
        <n v="17361.8"/>
        <n v="17326.1"/>
        <n v="17524.0"/>
        <n v="17646.55"/>
        <n v="17819.4"/>
        <n v="17802.9"/>
        <n v="17576.1"/>
        <n v="17608.15"/>
        <n v="17585.35"/>
        <n v="17452.9"/>
        <n v="17581.35"/>
        <n v="17640.9"/>
        <n v="17613.15"/>
        <n v="17763.8"/>
        <n v="17840.35"/>
        <n v="17839.1"/>
        <n v="17864.95"/>
        <n v="18050.75"/>
        <n v="18248.7"/>
        <n v="18445.3"/>
        <n v="18377.7"/>
        <n v="18209.35"/>
        <n v="18048.0"/>
        <n v="18034.35"/>
        <n v="17968.5"/>
        <n v="18099.3"/>
        <n v="18167.9"/>
        <n v="17799.45"/>
        <n v="17613.1"/>
        <n v="17697.1"/>
        <n v="17847.6"/>
        <n v="17757.95"/>
        <n v="17900.6"/>
        <n v="17836.1"/>
        <n v="17983.05"/>
        <n v="17915.0"/>
        <n v="17798.2"/>
        <n v="17905.9"/>
        <n v="18071.3"/>
        <n v="17958.8"/>
        <n v="17879.25"/>
        <n v="17688.5"/>
        <n v="17280.45"/>
        <n v="17216.1"/>
        <n v="17354.0"/>
        <n v="17351.7"/>
        <n v="16985.7"/>
        <n v="16782.4"/>
        <n v="16931.4"/>
        <n v="17064.25"/>
        <n v="17149.3"/>
        <n v="17180.8"/>
        <n v="16891.7"/>
        <n v="16987.75"/>
        <n v="17308.95"/>
        <n v="17379.6"/>
        <n v="17405.25"/>
        <n v="17355.95"/>
        <n v="17225.8"/>
        <n v="17192.2"/>
        <n v="17184.95"/>
        <n v="16966.45"/>
        <n v="16410.2"/>
        <n v="16688.25"/>
        <n v="16819.5"/>
        <n v="17015.55"/>
        <n v="16909.6"/>
        <n v="16833.2"/>
        <n v="17161.15"/>
        <n v="17176.65"/>
        <n v="17146.35"/>
        <n v="17238.5"/>
        <n v="17383.3"/>
        <n v="17593.55"/>
        <n v="17748.85"/>
        <n v="17655.55"/>
        <n v="17704.55"/>
        <n v="17879.15"/>
        <n v="17964.4"/>
        <n v="18128.8"/>
        <n v="18163.8"/>
        <n v="18119.65"/>
        <n v="18228.75"/>
        <n v="18085.9"/>
        <n v="17884.9"/>
        <n v="17648.45"/>
        <n v="17485.85"/>
        <n v="16997.85"/>
        <n v="16836.8"/>
        <n v="16866.75"/>
        <n v="17077.1"/>
        <n v="17264.15"/>
        <n v="17244.55"/>
        <n v="17674.8"/>
        <n v="17511.15"/>
        <n v="17462.55"/>
        <n v="17119.4"/>
        <n v="17043.65"/>
        <n v="17339.0"/>
        <n v="17427.15"/>
        <n v="17303.0"/>
        <n v="16809.65"/>
        <n v="16839.25"/>
        <n v="17257.7"/>
        <n v="17235.85"/>
        <n v="17219.2"/>
        <n v="17070.7"/>
        <n v="16843.8"/>
        <n v="17027.85"/>
        <n v="16203.25"/>
        <n v="16478.3"/>
        <n v="16356.3"/>
        <n v="16478.65"/>
        <n v="16442.95"/>
        <n v="16133.8"/>
        <n v="15711.45"/>
        <n v="15671.45"/>
        <n v="15990.0"/>
        <n v="16447.9"/>
        <n v="16470.9"/>
        <n v="16606.5"/>
        <n v="16555.0"/>
        <n v="16837.85"/>
        <n v="17175.75"/>
        <n v="17096.4"/>
        <n v="17006.3"/>
        <n v="17199.6"/>
        <n v="17091.15"/>
        <n v="17076.55"/>
        <n v="17003.9"/>
        <n v="17235.7"/>
        <n v="17387.2"/>
        <n v="17435.2"/>
        <n v="17422.7"/>
        <n v="17791.4"/>
        <n v="17921.55"/>
        <n v="17779.85"/>
        <n v="17623.7"/>
        <n v="17600.55"/>
        <n v="17650.95"/>
        <n v="17442.35"/>
        <n v="17457.4"/>
        <n v="17067.85"/>
        <n v="16824.7"/>
        <n v="16978.95"/>
        <n v="17215.5"/>
        <n v="17149.2"/>
        <n v="16888.7"/>
        <n v="17064.45"/>
        <n v="16958.45"/>
        <n v="17071.05"/>
        <n v="17053.25"/>
        <n v="16917.25"/>
        <n v="16623.95"/>
        <n v="16651.85"/>
        <n v="16340.9"/>
        <n v="16142.1"/>
        <n v="16197.3"/>
        <n v="15992.6"/>
        <n v="15735.75"/>
        <n v="15740.85"/>
        <n v="15739.65"/>
        <n v="15900.8"/>
        <n v="16211.2"/>
        <n v="15775.2"/>
        <n v="16003.85"/>
        <n v="16185.75"/>
        <n v="16078.6"/>
        <n v="16006.95"/>
        <n v="15903.7"/>
        <n v="16221.95"/>
        <n v="16506.15"/>
        <n v="16521.9"/>
        <n v="16438.85"/>
        <n v="16443.05"/>
        <n v="16567.9"/>
        <n v="16444.55"/>
        <n v="16347.1"/>
        <n v="16293.35"/>
        <n v="16243.85"/>
        <n v="16172.6"/>
        <n v="15684.0"/>
        <n v="15659.45"/>
        <n v="15678.9"/>
        <n v="15335.1"/>
        <n v="15183.4"/>
        <n v="15191.1"/>
        <n v="15419.85"/>
        <n v="15385.95"/>
        <n v="15367.5"/>
        <n v="15619.45"/>
        <n v="15815.5"/>
        <n v="15710.15"/>
        <n v="15687.8"/>
        <n v="15728.85"/>
        <n v="15511.05"/>
        <n v="15661.8"/>
        <n v="15785.45"/>
        <n v="15800.9"/>
        <n v="16045.95"/>
        <n v="16157.9"/>
        <n v="16115.5"/>
        <n v="16031.15"/>
        <n v="15950.15"/>
        <n v="15858.2"/>
        <n v="15927.3"/>
        <n v="16142.2"/>
        <n v="16187.05"/>
        <n v="16490.95"/>
        <n v="16483.9"/>
        <n v="16610.9"/>
        <n v="16564.25"/>
        <n v="16463.3"/>
        <n v="16438.75"/>
        <n v="16746.25"/>
        <n v="17018.15"/>
        <n v="17154.8"/>
        <n v="17215.85"/>
        <n v="17225.85"/>
        <n v="17161.25"/>
        <n v="17348.75"/>
        <n v="17359.75"/>
        <n v="17442.8"/>
        <n v="17631.95"/>
        <n v="17597.85"/>
        <n v="17764.05"/>
        <n v="17833.35"/>
        <n v="17852.05"/>
        <n v="17710.75"/>
        <n v="17467.35"/>
        <n v="17345.2"/>
        <n v="17499.25"/>
        <n v="17487.45"/>
        <n v="17519.35"/>
        <n v="17166.2"/>
        <n v="17401.5"/>
        <n v="17468.45"/>
        <n v="17476.45"/>
        <n v="17540.35"/>
        <n v="17587.65"/>
        <n v="17484.3"/>
        <n v="17691.95"/>
        <n v="17786.0"/>
        <n v="17889.15"/>
        <n v="18015.45"/>
        <n v="17771.15"/>
        <n v="17861.5"/>
        <n v="17497.25"/>
        <n v="17429.7"/>
        <n v="17744.4"/>
        <n v="17663.6"/>
        <n v="17532.45"/>
        <n v="17291.65"/>
        <n v="16978.3"/>
        <n v="16942.35"/>
        <n v="16820.4"/>
        <n v="16788.6"/>
        <n v="16747.7"/>
        <n v="16855.55"/>
        <n v="17117.3"/>
        <n v="17315.65"/>
        <n v="17216.95"/>
        <n v="17064.7"/>
        <n v="16950.3"/>
        <n v="16960.05"/>
        <n v="16956.95"/>
        <n v="17169.75"/>
        <n v="17098.55"/>
        <n v="17434.05"/>
        <n v="17472.85"/>
        <n v="17421.0"/>
        <n v="17520.75"/>
        <n v="17707.4"/>
        <n v="17637.0"/>
        <n v="17654.5"/>
        <n v="17723.7"/>
        <n v="17899.9"/>
        <n v="18060.15"/>
        <n v="18048.65"/>
        <n v="17959.2"/>
        <n v="18017.15"/>
        <n v="18064.75"/>
        <n v="18117.5"/>
        <n v="17969.4"/>
        <n v="18259.35"/>
        <n v="18311.4"/>
        <n v="18282.0"/>
        <n v="18344.15"/>
        <n v="18312.95"/>
        <n v="18209.8"/>
        <n v="18133.35"/>
        <n v="18137.7"/>
        <n v="18246.0"/>
        <n v="18294.25"/>
        <n v="18445.1"/>
        <n v="18365.6"/>
        <n v="18552.15"/>
        <n v="18616.55"/>
        <n v="18778.2"/>
        <n v="18639.2"/>
        <n v="18591.35"/>
        <n v="18577.9"/>
        <n v="18528.4"/>
        <n v="18536.95"/>
        <n v="18410.1"/>
        <n v="18345.7"/>
        <n v="18490.2"/>
        <n v="18632.9"/>
        <n v="18387.7"/>
        <n v="18255.15"/>
        <n v="18244.55"/>
        <n v="18202.65"/>
        <n v="18162.75"/>
        <n v="18068.6"/>
        <n v="17779.5"/>
        <n v="17774.25"/>
        <n v="17967.45"/>
        <n v="18068.35"/>
        <n v="17992.8"/>
        <n v="18080.3"/>
        <n v="18086.5"/>
        <n v="18149.8"/>
        <n v="18020.6"/>
        <n v="17892.6"/>
        <n v="17795.55"/>
        <n v="17936.15"/>
        <n v="17856.0"/>
        <n v="17824.35"/>
        <n v="17761.65"/>
        <n v="17853.65"/>
        <n v="17886.95"/>
        <n v="18032.45"/>
        <n v="18063.75"/>
        <n v="18016.2"/>
        <n v="18063.45"/>
        <n v="18078.65"/>
        <n v="17846.15"/>
        <n v="17493.55"/>
        <n v="17405.55"/>
        <n v="17537.55"/>
        <n v="17353.4"/>
        <n v="17445.95"/>
        <n v="17584.2"/>
        <n v="17698.35"/>
        <n v="17652.55"/>
        <n v="17744.15"/>
        <n v="17779.8"/>
        <n v="17801.0"/>
        <n v="17719.75"/>
        <n v="17800.05"/>
        <n v="17853.8"/>
        <n v="18000.65"/>
        <n v="17884.6"/>
        <n v="17818.4"/>
        <n v="17800.3"/>
        <n v="17529.45"/>
        <n v="17455.4"/>
        <n v="17421.8"/>
        <n v="17299.0"/>
        <n v="17255.2"/>
        <n v="17345.25"/>
        <n v="17306.0"/>
        <n v="17427.7"/>
        <n v="17671.95"/>
        <n v="17602.25"/>
        <n v="17573.6"/>
        <n v="17324.35"/>
        <n v="17113.45"/>
        <n v="16987.1"/>
        <n v="16938.9"/>
        <n v="16850.15"/>
        <n v="16958.15"/>
        <n v="16828.35"/>
        <n v="17016.0"/>
        <n v="17107.85"/>
        <n v="17045.3"/>
        <n v="16917.35"/>
        <n v="16918.55"/>
        <n v="16913.75"/>
        <n v="16940.6"/>
        <n v="17204.65"/>
        <n v="17312.75"/>
        <n v="17402.7"/>
        <n v="17502.85"/>
        <n v="17597.95"/>
        <n v="17655.15"/>
        <n v="17717.25"/>
        <n v="17729.65"/>
        <n v="17574.05"/>
        <n v="17610.2"/>
        <n v="17579.85"/>
        <n v="17584.35"/>
        <n v="17553.95"/>
        <n v="17612.5"/>
        <n v="17716.85"/>
        <n v="17711.2"/>
        <n v="17797.9"/>
        <n v="17885.3"/>
        <n v="18101.75"/>
        <n v="18042.4"/>
        <n v="18066.7"/>
        <n v="18055.45"/>
        <n v="18100.3"/>
        <n v="18229.65"/>
        <n v="18211.95"/>
        <n v="18270.4"/>
        <n v="18194.55"/>
        <n v="18287.9"/>
        <n v="18264.35"/>
        <n v="18115.35"/>
        <n v="18104.85"/>
        <n v="18060.4"/>
        <n v="18178.85"/>
        <n v="18324.2"/>
        <n v="18262.95"/>
        <n v="18202.4"/>
        <n v="18333.15"/>
        <n v="18581.25"/>
        <n v="18575.5"/>
        <n v="18483.85"/>
        <n v="18464.55"/>
        <n v="18478.4"/>
        <n v="18582.8"/>
        <n v="18531.6"/>
        <n v="18636.0"/>
        <n v="18615.6"/>
        <n v="18555.4"/>
        <n v="18559.75"/>
        <n v="18631.8"/>
        <n v="18690.0"/>
        <n v="18669.05"/>
        <n v="18710.5"/>
        <n v="18719.15"/>
        <n v="18660.65"/>
        <n v="18794.85"/>
        <n v="18759.5"/>
        <n v="18647.1"/>
        <n v="18646.7"/>
        <n v="18714.25"/>
        <n v="18861.35"/>
        <n v="19024.6"/>
        <n v="19234.4"/>
        <n v="19300.0"/>
        <n v="19339.6"/>
        <n v="19373.0"/>
        <n v="19303.6"/>
        <n v="19327.1"/>
        <n v="19406.45"/>
        <n v="19361.75"/>
        <n v="19385.8"/>
        <n v="19433.5"/>
        <n v="19562.95"/>
        <n v="19690.2"/>
        <n v="19727.45"/>
        <n v="19758.4"/>
        <n v="19700.0"/>
        <n v="19658.3"/>
        <n v="19615.95"/>
        <n v="19716.7"/>
        <n v="19603.55"/>
        <n v="19563.1"/>
        <n v="19597.6"/>
        <n v="19704.6"/>
        <n v="19423.55"/>
        <n v="19296.45"/>
        <n v="19436.45"/>
        <n v="19524.8"/>
        <n v="19533.1"/>
        <n v="19467.5"/>
        <n v="19495.4"/>
        <n v="19412.75"/>
        <n v="19257.9"/>
        <n v="19317.2"/>
        <n v="19326.25"/>
        <n v="19253.6"/>
        <n v="19296.3"/>
        <n v="19381.3"/>
        <n v="19366.6"/>
        <n v="19369.0"/>
        <n v="19229.7"/>
        <n v="19249.7"/>
        <n v="19309.1"/>
        <n v="19334.75"/>
        <n v="19223.65"/>
        <n v="19255.7"/>
        <n v="19432.85"/>
        <n v="19525.75"/>
        <n v="19491.5"/>
        <n v="19550.05"/>
        <n v="19728.05"/>
        <n v="19865.35"/>
        <n v="19914.65"/>
        <n v="19944.1"/>
        <n v="20043.45"/>
        <n v="20129.7"/>
        <n v="20115.7"/>
        <n v="19878.85"/>
        <n v="19709.95"/>
        <n v="19657.5"/>
        <n v="19601.55"/>
        <n v="19637.45"/>
        <n v="19554.0"/>
        <n v="19492.1"/>
        <n v="19551.05"/>
        <n v="19479.65"/>
        <n v="19333.6"/>
        <n v="19487.3"/>
        <n v="19589.4"/>
        <n v="19480.5"/>
        <n v="19565.45"/>
        <n v="19756.95"/>
        <n v="19772.65"/>
        <n v="19635.3"/>
        <n v="19691.85"/>
        <n v="19775.65"/>
        <n v="19659.95"/>
        <n v="19512.35"/>
        <n v="19518.7"/>
        <n v="19257.85"/>
        <n v="19074.15"/>
        <n v="18837.85"/>
        <n v="18926.65"/>
        <n v="18940.0"/>
        <n v="19056.45"/>
        <n v="18973.7"/>
        <n v="19064.15"/>
        <n v="19210.9"/>
        <n v="19309.7"/>
        <n v="19329.1"/>
        <n v="19401.5"/>
        <n v="19378.35"/>
        <n v="19329.45"/>
        <n v="19510.25"/>
        <n v="19414.75"/>
        <n v="19579.65"/>
        <n v="19627.0"/>
        <n v="19667.45"/>
        <n v="19670.5"/>
        <n v="19754.05"/>
        <n v="19703.85"/>
        <n v="19786.75"/>
        <n v="19768.85"/>
        <n v="19800.0"/>
        <n v="19956.3"/>
        <n v="20015.85"/>
        <n v="20183.7"/>
        <n v="20507.75"/>
        <n v="20711.15"/>
        <n v="20852.15"/>
        <n v="20850.8"/>
        <n v="20862.7"/>
        <n v="20923.7"/>
        <n v="20867.15"/>
        <n v="20769.5"/>
        <n v="21074.45"/>
        <n v="21235.3"/>
        <n v="21365.35"/>
        <n v="21337.75"/>
        <n v="21087.35"/>
        <n v="20976.8"/>
        <n v="21232.45"/>
        <n v="21329.45"/>
        <n v="21495.8"/>
        <n v="21678.0"/>
        <n v="21676.9"/>
        <n v="21680.85"/>
        <n v="21555.65"/>
        <n v="21500.35"/>
        <n v="21564.55"/>
        <n v="21629.2"/>
        <n v="21492.9"/>
        <n v="21517.85"/>
        <n v="21448.65"/>
        <n v="21593.75"/>
        <n v="21715.15"/>
        <n v="21963.55"/>
        <n v="21969.8"/>
        <n v="21550.45"/>
        <n v="21285.55"/>
        <n v="21575.0"/>
        <n v="21541.8"/>
        <n v="21192.6"/>
        <n v="21137.2"/>
        <n v="21247.05"/>
        <n v="21429.6"/>
        <n v="21501.8"/>
        <n v="21448.85"/>
        <n v="21658.75"/>
        <n v="21805.55"/>
        <n v="21726.95"/>
        <n v="21737.55"/>
        <n v="21860.15"/>
        <n v="21665.3"/>
        <n v="21629.9"/>
        <n v="21574.75"/>
        <n v="21543.35"/>
        <n v="21530.2"/>
        <n v="21794.8"/>
        <n v="21968.95"/>
        <n v="22021.05"/>
        <n v="22045.85"/>
        <n v="21997.95"/>
        <n v="21875.25"/>
        <n v="22186.1"/>
        <n v="22075.15"/>
        <n v="22085.65"/>
        <n v="21915.85"/>
        <n v="21860.65"/>
        <n v="22047.75"/>
        <n v="22367.05"/>
        <n v="22358.3"/>
        <n v="22269.15"/>
        <n v="22224.35"/>
        <n v="22430.0"/>
        <n v="22307.25"/>
        <n v="22256.0"/>
        <n v="21905.65"/>
        <n v="21917.5"/>
        <n v="21931.7"/>
        <n v="21916.55"/>
        <n v="21793.1"/>
        <n v="21710.2"/>
        <n v="21941.3"/>
        <n v="21883.3"/>
        <n v="21947.55"/>
        <n v="22052.85"/>
        <n v="22163.6"/>
        <n v="22427.75"/>
        <n v="22388.15"/>
        <n v="22346.5"/>
        <n v="22303.8"/>
        <n v="22427.6"/>
        <n v="22550.35"/>
        <n v="22612.25"/>
      </sharedItems>
    </cacheField>
    <cacheField name="Close " numFmtId="0">
      <sharedItems containsSemiMixedTypes="0" containsString="0" containsNumber="1">
        <n v="7915.2"/>
        <n v="7783.35"/>
        <n v="7825.0"/>
        <n v="7762.25"/>
        <n v="7806.6"/>
        <n v="7837.55"/>
        <n v="7731.8"/>
        <n v="7842.75"/>
        <n v="7856.55"/>
        <n v="7849.25"/>
        <n v="7831.6"/>
        <n v="7883.8"/>
        <n v="7942.7"/>
        <n v="7935.25"/>
        <n v="7954.9"/>
        <n v="7931.35"/>
        <n v="7864.15"/>
        <n v="7781.9"/>
        <n v="7765.4"/>
        <n v="7701.7"/>
        <n v="7612.5"/>
        <n v="7683.3"/>
        <n v="7610.45"/>
        <n v="7650.05"/>
        <n v="7700.9"/>
        <n v="7750.9"/>
        <n v="7844.35"/>
        <n v="7761.95"/>
        <n v="7834.45"/>
        <n v="7786.1"/>
        <n v="7865.95"/>
        <n v="7861.05"/>
        <n v="7925.15"/>
        <n v="7928.95"/>
        <n v="7896.25"/>
        <n v="7946.35"/>
        <n v="7963.2"/>
        <n v="7791.3"/>
        <n v="7784.65"/>
        <n v="7741.0"/>
        <n v="7568.3"/>
        <n v="7601.35"/>
        <n v="7563.85"/>
        <n v="7510.3"/>
        <n v="7562.4"/>
        <n v="7536.8"/>
        <n v="7437.8"/>
        <n v="7351.0"/>
        <n v="7435.1"/>
        <n v="7309.3"/>
        <n v="7276.8"/>
        <n v="7422.45"/>
        <n v="7436.15"/>
        <n v="7437.75"/>
        <n v="7424.65"/>
        <n v="7563.55"/>
        <n v="7555.95"/>
        <n v="7455.55"/>
        <n v="7361.8"/>
        <n v="7404.0"/>
        <n v="7489.1"/>
        <n v="7387.25"/>
        <n v="7298.2"/>
        <n v="7215.7"/>
        <n v="6976.35"/>
        <n v="6980.95"/>
        <n v="7162.95"/>
        <n v="7048.25"/>
        <n v="7108.45"/>
        <n v="7191.75"/>
        <n v="7210.75"/>
        <n v="7234.55"/>
        <n v="7109.55"/>
        <n v="7018.7"/>
        <n v="6970.6"/>
        <n v="7029.75"/>
        <n v="6987.05"/>
        <n v="7222.3"/>
        <n v="7368.85"/>
        <n v="7475.6"/>
        <n v="7485.35"/>
        <n v="7485.3"/>
        <n v="7531.8"/>
        <n v="7486.15"/>
        <n v="7510.2"/>
        <n v="7538.75"/>
        <n v="7460.6"/>
        <n v="7498.75"/>
        <n v="7512.55"/>
        <n v="7604.35"/>
        <n v="7704.25"/>
        <n v="7714.9"/>
        <n v="7716.5"/>
        <n v="7615.1"/>
        <n v="7597.0"/>
        <n v="7735.2"/>
        <n v="7738.4"/>
        <n v="7713.05"/>
        <n v="7758.8"/>
        <n v="7603.2"/>
        <n v="7614.35"/>
        <n v="7546.45"/>
        <n v="7555.2"/>
        <n v="7671.4"/>
        <n v="7708.95"/>
        <n v="7850.45"/>
        <n v="7914.7"/>
        <n v="7914.75"/>
        <n v="7912.05"/>
        <n v="7899.3"/>
        <n v="7855.05"/>
        <n v="7962.65"/>
        <n v="7979.9"/>
        <n v="7847.25"/>
        <n v="7849.8"/>
        <n v="7805.9"/>
        <n v="7747.0"/>
        <n v="7706.55"/>
        <n v="7735.5"/>
        <n v="7733.45"/>
        <n v="7866.05"/>
        <n v="7887.8"/>
        <n v="7848.85"/>
        <n v="7900.4"/>
        <n v="7814.9"/>
        <n v="7860.75"/>
        <n v="7890.75"/>
        <n v="7870.15"/>
        <n v="7783.4"/>
        <n v="7749.7"/>
        <n v="7731.05"/>
        <n v="7748.85"/>
        <n v="7934.9"/>
        <n v="8069.65"/>
        <n v="8156.65"/>
        <n v="8178.5"/>
        <n v="8160.1"/>
        <n v="8179.95"/>
        <n v="8218.95"/>
        <n v="8220.8"/>
        <n v="8201.05"/>
        <n v="8266.45"/>
        <n v="8273.05"/>
        <n v="8203.6"/>
        <n v="8170.05"/>
        <n v="8110.6"/>
        <n v="8108.85"/>
        <n v="8206.6"/>
        <n v="8140.75"/>
        <n v="8170.2"/>
        <n v="8238.5"/>
        <n v="8219.9"/>
        <n v="8203.7"/>
        <n v="8270.45"/>
        <n v="8088.6"/>
        <n v="8094.7"/>
        <n v="8127.85"/>
        <n v="8204.0"/>
        <n v="8287.75"/>
        <n v="8328.35"/>
        <n v="8370.7"/>
        <n v="8335.95"/>
        <n v="8337.9"/>
        <n v="8323.2"/>
        <n v="8467.9"/>
        <n v="8521.05"/>
        <n v="8519.5"/>
        <n v="8565.0"/>
        <n v="8541.4"/>
        <n v="8508.7"/>
        <n v="8528.55"/>
        <n v="8565.85"/>
        <n v="8510.1"/>
        <n v="8541.2"/>
        <n v="8635.65"/>
        <n v="8590.65"/>
        <n v="8615.8"/>
        <n v="8666.3"/>
        <n v="8638.5"/>
        <n v="8636.55"/>
        <n v="8622.9"/>
        <n v="8544.85"/>
        <n v="8551.1"/>
        <n v="8683.15"/>
        <n v="8711.35"/>
        <n v="8678.25"/>
        <n v="8575.3"/>
        <n v="8592.15"/>
        <n v="8672.15"/>
        <n v="8642.55"/>
        <n v="8624.05"/>
        <n v="8673.25"/>
        <n v="8666.9"/>
        <n v="8629.15"/>
        <n v="8632.6"/>
        <n v="8650.3"/>
        <n v="8592.2"/>
        <n v="8572.55"/>
        <n v="8607.45"/>
        <n v="8744.35"/>
        <n v="8786.2"/>
        <n v="8774.65"/>
        <n v="8809.65"/>
        <n v="8943.0"/>
        <n v="8917.95"/>
        <n v="8952.5"/>
        <n v="8866.7"/>
        <n v="8715.6"/>
        <n v="8726.6"/>
        <n v="8742.55"/>
        <n v="8779.85"/>
        <n v="8808.4"/>
        <n v="8775.9"/>
        <n v="8777.15"/>
        <n v="8867.45"/>
        <n v="8831.55"/>
        <n v="8723.05"/>
        <n v="8706.4"/>
        <n v="8745.15"/>
        <n v="8591.25"/>
        <n v="8611.15"/>
        <n v="8738.1"/>
        <n v="8769.15"/>
        <n v="8743.95"/>
        <n v="8709.55"/>
        <n v="8697.6"/>
        <n v="8708.8"/>
        <n v="8573.35"/>
        <n v="8583.4"/>
        <n v="8520.4"/>
        <n v="8677.9"/>
        <n v="8659.1"/>
        <n v="8699.4"/>
        <n v="8693.05"/>
        <n v="8708.95"/>
        <n v="8691.3"/>
        <n v="8615.25"/>
        <n v="8638.0"/>
        <n v="8625.7"/>
        <n v="8626.25"/>
        <n v="8514.0"/>
        <n v="8484.95"/>
        <n v="8433.75"/>
        <n v="8497.05"/>
        <n v="8543.55"/>
        <n v="8432.0"/>
        <n v="8525.75"/>
        <n v="8296.3"/>
        <n v="8108.45"/>
        <n v="8111.6"/>
        <n v="8079.95"/>
        <n v="8074.1"/>
        <n v="7929.1"/>
        <n v="8002.3"/>
        <n v="8033.3"/>
        <n v="7965.5"/>
        <n v="8114.3"/>
        <n v="8126.9"/>
        <n v="8142.15"/>
        <n v="8224.5"/>
        <n v="8192.9"/>
        <n v="8086.8"/>
        <n v="8128.75"/>
        <n v="8143.15"/>
        <n v="8102.05"/>
        <n v="8246.85"/>
        <n v="8261.75"/>
        <n v="8170.8"/>
        <n v="8221.8"/>
        <n v="8182.45"/>
        <n v="8153.6"/>
        <n v="8139.45"/>
        <n v="8104.35"/>
        <n v="8082.4"/>
        <n v="8061.3"/>
        <n v="7979.1"/>
        <n v="7985.75"/>
        <n v="7908.25"/>
        <n v="8032.85"/>
        <n v="8034.85"/>
        <n v="8103.6"/>
        <n v="8185.8"/>
        <n v="8179.5"/>
        <n v="8192.25"/>
        <n v="8190.5"/>
        <n v="8273.8"/>
        <n v="8243.8"/>
        <n v="8236.05"/>
        <n v="8288.6"/>
        <n v="8380.65"/>
        <n v="8407.2"/>
        <n v="8400.35"/>
        <n v="8412.8"/>
        <n v="8398.0"/>
        <n v="8417.0"/>
        <n v="8435.1"/>
        <n v="8349.35"/>
        <n v="8391.5"/>
        <n v="8475.8"/>
        <n v="8602.75"/>
        <n v="8641.25"/>
        <n v="8632.75"/>
        <n v="8561.3"/>
        <n v="8716.4"/>
        <n v="8734.25"/>
        <n v="8740.95"/>
        <n v="8801.05"/>
        <n v="8768.3"/>
        <n v="8769.05"/>
        <n v="8778.4"/>
        <n v="8793.55"/>
        <n v="8805.05"/>
        <n v="8792.3"/>
        <n v="8724.7"/>
        <n v="8778.0"/>
        <n v="8821.7"/>
        <n v="8879.2"/>
        <n v="8907.85"/>
        <n v="8926.9"/>
        <n v="8939.5"/>
        <n v="8896.7"/>
        <n v="8879.6"/>
        <n v="8945.8"/>
        <n v="8899.75"/>
        <n v="8897.55"/>
        <n v="8963.45"/>
        <n v="8946.9"/>
        <n v="8924.3"/>
        <n v="8927.0"/>
        <n v="8934.55"/>
        <n v="9087.0"/>
        <n v="9084.8"/>
        <n v="9153.7"/>
        <n v="9160.05"/>
        <n v="9126.85"/>
        <n v="9121.5"/>
        <n v="9030.45"/>
        <n v="9086.3"/>
        <n v="9108.0"/>
        <n v="9045.2"/>
        <n v="9100.8"/>
        <n v="9143.8"/>
        <n v="9173.75"/>
        <n v="9237.85"/>
        <n v="9265.15"/>
        <n v="9261.95"/>
        <n v="9198.3"/>
        <n v="9181.45"/>
        <n v="9237.0"/>
        <n v="9203.45"/>
        <n v="9150.8"/>
        <n v="9139.3"/>
        <n v="9105.15"/>
        <n v="9103.5"/>
        <n v="9136.4"/>
        <n v="9119.4"/>
        <n v="9217.95"/>
        <n v="9306.6"/>
        <n v="9351.85"/>
        <n v="9342.15"/>
        <n v="9304.05"/>
        <n v="9313.8"/>
        <n v="9311.95"/>
        <n v="9359.9"/>
        <n v="9285.3"/>
        <n v="9314.05"/>
        <n v="9316.85"/>
        <n v="9407.3"/>
        <n v="9422.4"/>
        <n v="9400.9"/>
        <n v="9445.4"/>
        <n v="9512.25"/>
        <n v="9525.75"/>
        <n v="9429.45"/>
        <n v="9427.9"/>
        <n v="9438.25"/>
        <n v="9386.15"/>
        <n v="9360.55"/>
        <n v="9509.75"/>
        <n v="9595.1"/>
        <n v="9604.9"/>
        <n v="9624.55"/>
        <n v="9621.25"/>
        <n v="9616.1"/>
        <n v="9653.5"/>
        <n v="9675.1"/>
        <n v="9637.15"/>
        <n v="9663.9"/>
        <n v="9647.25"/>
        <n v="9668.25"/>
        <n v="9616.4"/>
        <n v="9606.9"/>
        <n v="9618.15"/>
        <n v="9578.05"/>
        <n v="9588.05"/>
        <n v="9657.55"/>
        <n v="9633.6"/>
        <n v="9630.0"/>
        <n v="9574.95"/>
        <n v="9511.4"/>
        <n v="9491.25"/>
        <n v="9504.1"/>
        <n v="9520.9"/>
        <n v="9615.0"/>
        <n v="9613.3"/>
        <n v="9637.6"/>
        <n v="9674.55"/>
        <n v="9665.8"/>
        <n v="9771.05"/>
        <n v="9786.05"/>
        <n v="9816.1"/>
        <n v="9891.7"/>
        <n v="9886.35"/>
        <n v="9915.95"/>
        <n v="9827.15"/>
        <n v="9899.6"/>
        <n v="9873.3"/>
        <n v="9915.25"/>
        <n v="9966.4"/>
        <n v="9964.55"/>
        <n v="10020.65"/>
        <n v="10020.55"/>
        <n v="10014.5"/>
        <n v="10077.1"/>
        <n v="10114.65"/>
        <n v="10081.5"/>
        <n v="10013.65"/>
        <n v="10066.4"/>
        <n v="10057.4"/>
        <n v="9978.55"/>
        <n v="9908.05"/>
        <n v="9820.25"/>
        <n v="9710.8"/>
        <n v="9794.15"/>
        <n v="9897.3"/>
        <n v="9904.15"/>
        <n v="9837.4"/>
        <n v="9754.35"/>
        <n v="9765.55"/>
        <n v="9852.5"/>
        <n v="9857.05"/>
        <n v="9912.8"/>
        <n v="9796.05"/>
        <n v="9884.4"/>
        <n v="9917.9"/>
        <n v="9974.4"/>
        <n v="9912.85"/>
        <n v="9952.2"/>
        <n v="9916.2"/>
        <n v="9929.9"/>
        <n v="9934.8"/>
        <n v="10006.05"/>
        <n v="10093.05"/>
        <n v="10079.3"/>
        <n v="10086.6"/>
        <n v="10085.4"/>
        <n v="10153.1"/>
        <n v="10147.55"/>
        <n v="10141.15"/>
        <n v="10121.9"/>
        <n v="9964.4"/>
        <n v="9872.6"/>
        <n v="9871.5"/>
        <n v="9735.75"/>
        <n v="9768.95"/>
        <n v="9788.6"/>
        <n v="9859.5"/>
        <n v="9914.9"/>
        <n v="9888.7"/>
        <n v="9979.7"/>
        <n v="9988.75"/>
        <n v="10016.95"/>
        <n v="9984.8"/>
        <n v="10096.4"/>
        <n v="10167.45"/>
        <n v="10230.85"/>
        <n v="10234.45"/>
        <n v="10210.85"/>
        <n v="10146.55"/>
        <n v="10184.85"/>
        <n v="10207.7"/>
        <n v="10295.35"/>
        <n v="10343.8"/>
        <n v="10323.05"/>
        <n v="10363.65"/>
        <n v="10335.3"/>
        <n v="10440.5"/>
        <n v="10423.8"/>
        <n v="10452.5"/>
        <n v="10451.8"/>
        <n v="10350.15"/>
        <n v="10303.15"/>
        <n v="10308.95"/>
        <n v="10321.75"/>
        <n v="10224.95"/>
        <n v="10186.6"/>
        <n v="10118.05"/>
        <n v="10214.75"/>
        <n v="10283.6"/>
        <n v="10298.75"/>
        <n v="10326.9"/>
        <n v="10342.3"/>
        <n v="10348.75"/>
        <n v="10389.7"/>
        <n v="10399.55"/>
        <n v="10370.25"/>
        <n v="10361.3"/>
        <n v="10226.55"/>
        <n v="10121.8"/>
        <n v="10127.75"/>
        <n v="10118.25"/>
        <n v="10044.1"/>
        <n v="10166.7"/>
        <n v="10265.65"/>
        <n v="10322.25"/>
        <n v="10240.15"/>
        <n v="10192.95"/>
        <n v="10252.1"/>
        <n v="10333.25"/>
        <n v="10388.75"/>
        <n v="10463.2"/>
        <n v="10444.2"/>
        <n v="10440.3"/>
        <n v="10493.0"/>
        <n v="10531.5"/>
        <n v="10490.75"/>
        <n v="10477.9"/>
        <n v="10530.7"/>
        <n v="10435.55"/>
        <n v="10442.2"/>
        <n v="10443.2"/>
        <n v="10504.8"/>
        <n v="10558.85"/>
        <n v="10623.6"/>
        <n v="10637.0"/>
        <n v="10632.2"/>
        <n v="10651.2"/>
        <n v="10681.25"/>
        <n v="10741.55"/>
        <n v="10700.45"/>
        <n v="10788.55"/>
        <n v="10817.0"/>
        <n v="10894.7"/>
        <n v="10966.2"/>
        <n v="11083.7"/>
        <n v="11086.0"/>
        <n v="11069.65"/>
        <n v="11130.4"/>
        <n v="11049.65"/>
        <n v="11027.7"/>
        <n v="11016.9"/>
        <n v="10760.6"/>
        <n v="10666.55"/>
        <n v="10498.25"/>
        <n v="10476.7"/>
        <n v="10576.85"/>
        <n v="10454.95"/>
        <n v="10539.75"/>
        <n v="10500.9"/>
        <n v="10545.5"/>
        <n v="10452.3"/>
        <n v="10378.4"/>
        <n v="10360.4"/>
        <n v="10397.45"/>
        <n v="10382.7"/>
        <n v="10491.05"/>
        <n v="10582.6"/>
        <n v="10554.3"/>
        <n v="10492.85"/>
        <n v="10458.35"/>
        <n v="10358.85"/>
        <n v="10249.25"/>
        <n v="10154.2"/>
        <n v="10242.65"/>
        <n v="10226.85"/>
        <n v="10421.4"/>
        <n v="10426.85"/>
        <n v="10410.9"/>
        <n v="10360.15"/>
        <n v="10195.15"/>
        <n v="10094.25"/>
        <n v="10124.35"/>
        <n v="10155.25"/>
        <n v="10114.75"/>
        <n v="9998.05"/>
        <n v="10130.65"/>
        <n v="10184.15"/>
        <n v="10113.7"/>
        <n v="10211.8"/>
        <n v="10245.0"/>
        <n v="10128.4"/>
        <n v="10325.15"/>
        <n v="10331.6"/>
        <n v="10379.35"/>
        <n v="10402.25"/>
        <n v="10417.15"/>
        <n v="10458.65"/>
        <n v="10480.6"/>
        <n v="10528.35"/>
        <n v="10548.7"/>
        <n v="10526.2"/>
        <n v="10565.3"/>
        <n v="10564.05"/>
        <n v="10584.7"/>
        <n v="10614.35"/>
        <n v="10570.55"/>
        <n v="10617.8"/>
        <n v="10692.3"/>
        <n v="10739.35"/>
        <n v="10718.05"/>
        <n v="10679.65"/>
        <n v="10618.25"/>
        <n v="10715.5"/>
        <n v="10717.8"/>
        <n v="10741.7"/>
        <n v="10716.55"/>
        <n v="10806.5"/>
        <n v="10806.6"/>
        <n v="10801.85"/>
        <n v="10741.1"/>
        <n v="10682.7"/>
        <n v="10596.4"/>
        <n v="10516.7"/>
        <n v="10536.7"/>
        <n v="10430.35"/>
        <n v="10513.85"/>
        <n v="10605.15"/>
        <n v="10688.65"/>
        <n v="10633.3"/>
        <n v="10736.15"/>
        <n v="10696.2"/>
        <n v="10628.5"/>
        <n v="10593.15"/>
        <n v="10684.65"/>
        <n v="10768.35"/>
        <n v="10767.65"/>
        <n v="10786.95"/>
        <n v="10842.85"/>
        <n v="10856.7"/>
        <n v="10808.05"/>
        <n v="10817.7"/>
        <n v="10799.85"/>
        <n v="10710.45"/>
        <n v="10772.05"/>
        <n v="10821.85"/>
        <n v="10762.45"/>
        <n v="10769.15"/>
        <n v="10671.4"/>
        <n v="10589.1"/>
        <n v="10714.3"/>
        <n v="10657.3"/>
        <n v="10699.9"/>
        <n v="10769.9"/>
        <n v="10749.75"/>
        <n v="10772.65"/>
        <n v="10852.9"/>
        <n v="10947.25"/>
        <n v="10948.3"/>
        <n v="11023.2"/>
        <n v="11018.9"/>
        <n v="10936.85"/>
        <n v="11008.05"/>
        <n v="10980.45"/>
        <n v="10957.1"/>
        <n v="11010.2"/>
        <n v="11084.75"/>
        <n v="11134.3"/>
        <n v="11132.0"/>
        <n v="11167.3"/>
        <n v="11278.35"/>
        <n v="11319.55"/>
        <n v="11356.5"/>
        <n v="11346.2"/>
        <n v="11244.7"/>
        <n v="11360.8"/>
        <n v="11387.1"/>
        <n v="11389.45"/>
        <n v="11450.0"/>
        <n v="11470.7"/>
        <n v="11429.5"/>
        <n v="11355.75"/>
        <n v="11435.1"/>
        <n v="11385.05"/>
        <n v="11470.75"/>
        <n v="11551.75"/>
        <n v="11570.9"/>
        <n v="11582.75"/>
        <n v="11557.1"/>
        <n v="11691.95"/>
        <n v="11738.5"/>
        <n v="11691.9"/>
        <n v="11676.8"/>
        <n v="11680.5"/>
        <n v="11582.35"/>
        <n v="11520.3"/>
        <n v="11476.95"/>
        <n v="11536.9"/>
        <n v="11589.1"/>
        <n v="11438.1"/>
        <n v="11287.5"/>
        <n v="11369.9"/>
        <n v="11515.2"/>
        <n v="11377.75"/>
        <n v="11278.9"/>
        <n v="11234.35"/>
        <n v="11143.1"/>
        <n v="10967.4"/>
        <n v="11067.45"/>
        <n v="11053.8"/>
        <n v="10977.55"/>
        <n v="10930.45"/>
        <n v="11008.3"/>
        <n v="10858.25"/>
        <n v="10599.25"/>
        <n v="10316.45"/>
        <n v="10348.05"/>
        <n v="10301.05"/>
        <n v="10460.1"/>
        <n v="10234.65"/>
        <n v="10472.5"/>
        <n v="10512.5"/>
        <n v="10584.75"/>
        <n v="10453.05"/>
        <n v="10303.55"/>
        <n v="10245.25"/>
        <n v="10146.8"/>
        <n v="10224.75"/>
        <n v="10124.9"/>
        <n v="10030.0"/>
        <n v="10250.85"/>
        <n v="10198.4"/>
        <n v="10386.6"/>
        <n v="10380.45"/>
        <n v="10553.0"/>
        <n v="10524.0"/>
        <n v="10530.0"/>
        <n v="10598.4"/>
        <n v="10585.2"/>
        <n v="10482.2"/>
        <n v="10582.5"/>
        <n v="10576.3"/>
        <n v="10616.7"/>
        <n v="10682.2"/>
        <n v="10763.4"/>
        <n v="10656.2"/>
        <n v="10600.05"/>
        <n v="10526.75"/>
        <n v="10628.6"/>
        <n v="10685.6"/>
        <n v="10728.85"/>
        <n v="10858.7"/>
        <n v="10876.75"/>
        <n v="10883.75"/>
        <n v="10869.5"/>
        <n v="10782.9"/>
        <n v="10601.15"/>
        <n v="10693.7"/>
        <n v="10488.45"/>
        <n v="10549.15"/>
        <n v="10737.6"/>
        <n v="10791.55"/>
        <n v="10805.45"/>
        <n v="10888.35"/>
        <n v="10908.7"/>
        <n v="10967.3"/>
        <n v="10951.7"/>
        <n v="10754.0"/>
        <n v="10663.5"/>
        <n v="10729.85"/>
        <n v="10779.8"/>
        <n v="10859.9"/>
        <n v="10862.55"/>
        <n v="10910.1"/>
        <n v="10792.5"/>
        <n v="10672.25"/>
        <n v="10727.35"/>
        <n v="10771.8"/>
        <n v="10802.15"/>
        <n v="10855.15"/>
        <n v="10821.6"/>
        <n v="10794.95"/>
        <n v="10886.8"/>
        <n v="10890.3"/>
        <n v="10905.2"/>
        <n v="10906.95"/>
        <n v="10961.85"/>
        <n v="10922.75"/>
        <n v="10831.5"/>
        <n v="10849.8"/>
        <n v="10780.55"/>
        <n v="10661.55"/>
        <n v="10652.2"/>
        <n v="10651.8"/>
        <n v="10830.95"/>
        <n v="10893.65"/>
        <n v="10912.25"/>
        <n v="10934.35"/>
        <n v="11062.45"/>
        <n v="11069.4"/>
        <n v="10943.6"/>
        <n v="10888.8"/>
        <n v="10831.4"/>
        <n v="10793.65"/>
        <n v="10746.05"/>
        <n v="10724.4"/>
        <n v="10640.95"/>
        <n v="10604.35"/>
        <n v="10735.45"/>
        <n v="10789.85"/>
        <n v="10791.65"/>
        <n v="10880.1"/>
        <n v="10835.3"/>
        <n v="10806.65"/>
        <n v="10863.5"/>
        <n v="10987.45"/>
        <n v="11053.0"/>
        <n v="11058.2"/>
        <n v="11035.4"/>
        <n v="11168.05"/>
        <n v="11301.2"/>
        <n v="11341.7"/>
        <n v="11343.25"/>
        <n v="11426.85"/>
        <n v="11462.2"/>
        <n v="11532.4"/>
        <n v="11521.05"/>
        <n v="11456.9"/>
        <n v="11354.25"/>
        <n v="11483.25"/>
        <n v="11445.05"/>
        <n v="11570.0"/>
        <n v="11623.9"/>
        <n v="11669.15"/>
        <n v="11713.2"/>
        <n v="11643.95"/>
        <n v="11598.0"/>
        <n v="11665.95"/>
        <n v="11604.5"/>
        <n v="11671.95"/>
        <n v="11584.3"/>
        <n v="11596.7"/>
        <n v="11643.45"/>
        <n v="11690.35"/>
        <n v="11787.15"/>
        <n v="11752.8"/>
        <n v="11594.45"/>
        <n v="11575.95"/>
        <n v="11726.15"/>
        <n v="11641.8"/>
        <n v="11754.65"/>
        <n v="11748.15"/>
        <n v="11724.75"/>
        <n v="11712.25"/>
        <n v="11598.25"/>
        <n v="11497.9"/>
        <n v="11359.45"/>
        <n v="11301.8"/>
        <n v="11148.2"/>
        <n v="11222.05"/>
        <n v="11157.0"/>
        <n v="11257.1"/>
        <n v="11407.15"/>
        <n v="11828.25"/>
        <n v="11709.1"/>
        <n v="11737.9"/>
        <n v="11657.05"/>
        <n v="11844.1"/>
        <n v="11924.75"/>
        <n v="11928.75"/>
        <n v="11861.1"/>
        <n v="11945.9"/>
        <n v="11922.8"/>
        <n v="12088.55"/>
        <n v="12021.65"/>
        <n v="11843.75"/>
        <n v="11870.65"/>
        <n v="11922.7"/>
        <n v="11965.6"/>
        <n v="11906.2"/>
        <n v="11914.05"/>
        <n v="11823.3"/>
        <n v="11672.15"/>
        <n v="11691.5"/>
        <n v="11691.45"/>
        <n v="11831.75"/>
        <n v="11724.1"/>
        <n v="11699.65"/>
        <n v="11796.45"/>
        <n v="11847.55"/>
        <n v="11841.55"/>
        <n v="11788.85"/>
        <n v="11865.6"/>
        <n v="11910.3"/>
        <n v="11916.75"/>
        <n v="11946.75"/>
        <n v="11811.15"/>
        <n v="11558.6"/>
        <n v="11555.9"/>
        <n v="11498.9"/>
        <n v="11582.9"/>
        <n v="11552.5"/>
        <n v="11588.35"/>
        <n v="11662.6"/>
        <n v="11687.5"/>
        <n v="11596.9"/>
        <n v="11419.25"/>
        <n v="11331.05"/>
        <n v="11271.3"/>
        <n v="11252.15"/>
        <n v="11284.3"/>
        <n v="11189.2"/>
        <n v="11085.4"/>
        <n v="11118.0"/>
        <n v="10980.0"/>
        <n v="10997.35"/>
        <n v="10862.6"/>
        <n v="10948.25"/>
        <n v="10855.5"/>
        <n v="11032.45"/>
        <n v="11109.65"/>
        <n v="10925.85"/>
        <n v="11029.4"/>
        <n v="11047.8"/>
        <n v="11053.9"/>
        <n v="11017.0"/>
        <n v="10918.7"/>
        <n v="10741.35"/>
        <n v="10829.35"/>
        <n v="11057.85"/>
        <n v="11105.35"/>
        <n v="11046.1"/>
        <n v="11023.25"/>
        <n v="10797.9"/>
        <n v="10844.65"/>
        <n v="10847.9"/>
        <n v="10946.2"/>
        <n v="11003.05"/>
        <n v="11035.7"/>
        <n v="10982.8"/>
        <n v="11075.9"/>
        <n v="11003.5"/>
        <n v="10817.6"/>
        <n v="10840.65"/>
        <n v="10704.8"/>
        <n v="11274.2"/>
        <n v="11600.2"/>
        <n v="11588.2"/>
        <n v="11440.2"/>
        <n v="11571.2"/>
        <n v="11512.4"/>
        <n v="11474.45"/>
        <n v="11359.9"/>
        <n v="11314.0"/>
        <n v="11174.75"/>
        <n v="11126.4"/>
        <n v="11313.3"/>
        <n v="11234.55"/>
        <n v="11305.05"/>
        <n v="11341.15"/>
        <n v="11428.3"/>
        <n v="11464.0"/>
        <n v="11586.35"/>
        <n v="11661.85"/>
        <n v="11604.1"/>
        <n v="11582.6"/>
        <n v="11583.9"/>
        <n v="11627.15"/>
        <n v="11786.85"/>
        <n v="11877.45"/>
        <n v="11890.6"/>
        <n v="11941.3"/>
        <n v="11917.2"/>
        <n v="11966.05"/>
        <n v="12012.05"/>
        <n v="11908.15"/>
        <n v="11913.45"/>
        <n v="11840.45"/>
        <n v="11872.1"/>
        <n v="11895.45"/>
        <n v="11884.5"/>
        <n v="11940.1"/>
        <n v="11999.1"/>
        <n v="11968.4"/>
        <n v="11914.4"/>
        <n v="12073.75"/>
        <n v="12037.7"/>
        <n v="12100.7"/>
        <n v="12151.15"/>
        <n v="12056.05"/>
        <n v="12048.2"/>
        <n v="11994.2"/>
        <n v="12043.2"/>
        <n v="12018.4"/>
        <n v="11921.5"/>
        <n v="11937.5"/>
        <n v="11856.8"/>
        <n v="11910.15"/>
        <n v="11971.8"/>
        <n v="12086.7"/>
        <n v="12053.95"/>
        <n v="12165.0"/>
        <n v="12221.65"/>
        <n v="12259.7"/>
        <n v="12271.8"/>
        <n v="12262.75"/>
        <n v="12214.55"/>
        <n v="12126.55"/>
        <n v="12245.8"/>
        <n v="12255.85"/>
        <n v="12168.45"/>
        <n v="12182.5"/>
        <n v="12282.2"/>
        <n v="12226.65"/>
        <n v="11993.05"/>
        <n v="12052.95"/>
        <n v="12025.35"/>
        <n v="12215.9"/>
        <n v="12256.8"/>
        <n v="12329.55"/>
        <n v="12362.3"/>
        <n v="12343.3"/>
        <n v="12355.5"/>
        <n v="12352.35"/>
        <n v="12224.55"/>
        <n v="12169.85"/>
        <n v="12106.9"/>
        <n v="12180.35"/>
        <n v="12248.25"/>
        <n v="12119.0"/>
        <n v="12055.8"/>
        <n v="12129.5"/>
        <n v="12035.8"/>
        <n v="11962.1"/>
        <n v="11707.9"/>
        <n v="11979.65"/>
        <n v="12089.15"/>
        <n v="12137.95"/>
        <n v="12098.35"/>
        <n v="12031.5"/>
        <n v="12107.9"/>
        <n v="12201.2"/>
        <n v="12174.65"/>
        <n v="12113.45"/>
        <n v="12045.8"/>
        <n v="11992.5"/>
        <n v="12125.9"/>
        <n v="12080.85"/>
        <n v="11829.4"/>
        <n v="11797.9"/>
        <n v="11678.5"/>
        <n v="11633.3"/>
        <n v="11201.75"/>
        <n v="11132.75"/>
        <n v="11303.3"/>
        <n v="11251.0"/>
        <n v="11269.0"/>
        <n v="10989.45"/>
        <n v="10451.45"/>
        <n v="10458.4"/>
        <n v="9590.15"/>
        <n v="9955.2"/>
        <n v="9197.4"/>
        <n v="8967.05"/>
        <n v="8468.8"/>
        <n v="8263.45"/>
        <n v="8745.45"/>
        <n v="7610.25"/>
        <n v="7801.05"/>
        <n v="8317.85"/>
        <n v="8641.45"/>
        <n v="8660.25"/>
        <n v="8281.1"/>
        <n v="8597.75"/>
        <n v="8253.8"/>
        <n v="8083.8"/>
        <n v="8792.2"/>
        <n v="8748.75"/>
        <n v="9111.9"/>
        <n v="8993.85"/>
        <n v="8925.3"/>
        <n v="8992.8"/>
        <n v="9266.75"/>
        <n v="9261.85"/>
        <n v="8981.45"/>
        <n v="9187.3"/>
        <n v="9313.9"/>
        <n v="9154.4"/>
        <n v="9282.3"/>
        <n v="9380.9"/>
        <n v="9553.35"/>
        <n v="9859.9"/>
        <n v="9293.5"/>
        <n v="9205.6"/>
        <n v="9270.9"/>
        <n v="9199.05"/>
        <n v="9251.5"/>
        <n v="9239.2"/>
        <n v="9196.55"/>
        <n v="9383.55"/>
        <n v="9142.75"/>
        <n v="9136.85"/>
        <n v="8823.25"/>
        <n v="8879.1"/>
        <n v="9066.55"/>
        <n v="9106.25"/>
        <n v="9039.25"/>
        <n v="9029.05"/>
        <n v="9314.95"/>
        <n v="9490.1"/>
        <n v="9580.3"/>
        <n v="9826.15"/>
        <n v="9979.1"/>
        <n v="10061.55"/>
        <n v="10029.1"/>
        <n v="10142.15"/>
        <n v="10046.65"/>
        <n v="10116.15"/>
        <n v="9902.0"/>
        <n v="9972.9"/>
        <n v="9813.7"/>
        <n v="9914.0"/>
        <n v="9881.15"/>
        <n v="10091.65"/>
        <n v="10244.4"/>
        <n v="10311.2"/>
        <n v="10471.0"/>
        <n v="10305.3"/>
        <n v="10288.9"/>
        <n v="10383.0"/>
        <n v="10312.4"/>
        <n v="10302.1"/>
        <n v="10430.05"/>
        <n v="10551.7"/>
        <n v="10607.35"/>
        <n v="10763.65"/>
        <n v="10799.65"/>
        <n v="10705.75"/>
        <n v="10813.45"/>
        <n v="10768.05"/>
        <n v="10802.7"/>
        <n v="11162.25"/>
        <n v="11132.6"/>
        <n v="11215.45"/>
        <n v="11194.15"/>
        <n v="11131.8"/>
        <n v="11300.55"/>
        <n v="11202.85"/>
        <n v="11102.15"/>
        <n v="11073.45"/>
        <n v="10891.6"/>
        <n v="11095.25"/>
        <n v="11101.65"/>
        <n v="11200.15"/>
        <n v="11214.05"/>
        <n v="11270.15"/>
        <n v="11322.5"/>
        <n v="11308.4"/>
        <n v="11300.45"/>
        <n v="11178.4"/>
        <n v="11247.1"/>
        <n v="11385.35"/>
        <n v="11408.4"/>
        <n v="11312.2"/>
        <n v="11371.6"/>
        <n v="11466.45"/>
        <n v="11472.25"/>
        <n v="11549.6"/>
        <n v="11559.25"/>
        <n v="11647.6"/>
        <n v="11387.5"/>
        <n v="11470.25"/>
        <n v="11535.0"/>
        <n v="11527.45"/>
        <n v="11333.85"/>
        <n v="11355.05"/>
        <n v="11317.35"/>
        <n v="11278.0"/>
        <n v="11449.25"/>
        <n v="11464.45"/>
        <n v="11440.05"/>
        <n v="11521.8"/>
        <n v="11604.55"/>
        <n v="11516.1"/>
        <n v="11504.95"/>
        <n v="11250.55"/>
        <n v="11153.65"/>
        <n v="11131.85"/>
        <n v="10805.55"/>
        <n v="11050.25"/>
        <n v="11227.55"/>
        <n v="11222.4"/>
        <n v="11247.55"/>
        <n v="11416.95"/>
        <n v="11503.35"/>
        <n v="11662.4"/>
        <n v="11738.85"/>
        <n v="11834.6"/>
        <n v="11914.2"/>
        <n v="11930.95"/>
        <n v="11934.5"/>
        <n v="11971.05"/>
        <n v="11680.35"/>
        <n v="11762.45"/>
        <n v="11873.05"/>
        <n v="11896.8"/>
        <n v="11937.65"/>
        <n v="11896.45"/>
        <n v="11930.35"/>
        <n v="11767.75"/>
        <n v="11889.4"/>
        <n v="11729.6"/>
        <n v="11670.8"/>
        <n v="11642.4"/>
        <n v="11813.5"/>
        <n v="11908.5"/>
        <n v="12120.3"/>
        <n v="12263.55"/>
        <n v="12461.05"/>
        <n v="12631.1"/>
        <n v="12749.15"/>
        <n v="12690.8"/>
        <n v="12719.95"/>
        <n v="12780.25"/>
        <n v="12874.2"/>
        <n v="12938.25"/>
        <n v="12771.7"/>
        <n v="12859.05"/>
        <n v="12926.45"/>
        <n v="13055.15"/>
        <n v="12858.4"/>
        <n v="12987.0"/>
        <n v="12968.95"/>
        <n v="13109.05"/>
        <n v="13113.75"/>
        <n v="13133.9"/>
        <n v="13258.55"/>
        <n v="13355.75"/>
        <n v="13392.95"/>
        <n v="13529.1"/>
        <n v="13478.3"/>
        <n v="13513.85"/>
        <n v="13558.15"/>
        <n v="13567.85"/>
        <n v="13682.7"/>
        <n v="13740.7"/>
        <n v="13760.55"/>
        <n v="13328.4"/>
        <n v="13466.3"/>
        <n v="13601.1"/>
        <n v="13749.25"/>
        <n v="13873.2"/>
        <n v="13932.6"/>
        <n v="13981.95"/>
        <n v="13981.75"/>
        <n v="14018.5"/>
        <n v="14132.9"/>
        <n v="14199.5"/>
        <n v="14146.25"/>
        <n v="14137.35"/>
        <n v="14347.25"/>
        <n v="14484.75"/>
        <n v="14563.45"/>
        <n v="14564.85"/>
        <n v="14595.6"/>
        <n v="14433.7"/>
        <n v="14281.3"/>
        <n v="14521.15"/>
        <n v="14644.7"/>
        <n v="14590.35"/>
        <n v="14371.9"/>
        <n v="14238.9"/>
        <n v="13967.5"/>
        <n v="13817.55"/>
        <n v="13634.6"/>
        <n v="14281.2"/>
        <n v="14647.85"/>
        <n v="14789.95"/>
        <n v="14895.65"/>
        <n v="14924.25"/>
        <n v="15115.8"/>
        <n v="15109.3"/>
        <n v="15106.5"/>
        <n v="15173.3"/>
        <n v="15163.3"/>
        <n v="15314.7"/>
        <n v="15313.45"/>
        <n v="15208.9"/>
        <n v="15118.95"/>
        <n v="14981.75"/>
        <n v="14675.7"/>
        <n v="14707.8"/>
        <n v="14982.0"/>
        <n v="15097.35"/>
        <n v="14529.15"/>
        <n v="14761.55"/>
        <n v="14919.1"/>
        <n v="15245.6"/>
        <n v="15080.75"/>
        <n v="14938.1"/>
        <n v="14956.2"/>
        <n v="15098.4"/>
        <n v="15174.8"/>
        <n v="15030.95"/>
        <n v="14929.5"/>
        <n v="14910.45"/>
        <n v="14721.3"/>
        <n v="14557.85"/>
        <n v="14744.0"/>
        <n v="14736.4"/>
        <n v="14814.75"/>
        <n v="14549.4"/>
        <n v="14324.9"/>
        <n v="14507.3"/>
        <n v="14845.1"/>
        <n v="14690.7"/>
        <n v="14867.35"/>
        <n v="14637.8"/>
        <n v="14683.5"/>
        <n v="14819.05"/>
        <n v="14873.8"/>
        <n v="14834.85"/>
        <n v="14310.8"/>
        <n v="14504.8"/>
        <n v="14581.45"/>
        <n v="14617.85"/>
        <n v="14359.45"/>
        <n v="14296.4"/>
        <n v="14406.15"/>
        <n v="14341.35"/>
        <n v="14485.0"/>
        <n v="14653.05"/>
        <n v="14864.55"/>
        <n v="14894.9"/>
        <n v="14631.1"/>
        <n v="14634.15"/>
        <n v="14496.5"/>
        <n v="14724.8"/>
        <n v="14823.15"/>
        <n v="14942.35"/>
        <n v="14850.75"/>
        <n v="14696.5"/>
        <n v="14677.8"/>
        <n v="14923.15"/>
        <n v="15108.1"/>
        <n v="15030.15"/>
        <n v="14906.05"/>
        <n v="15175.3"/>
        <n v="15197.7"/>
        <n v="15208.45"/>
        <n v="15301.45"/>
        <n v="15337.85"/>
        <n v="15435.65"/>
        <n v="15582.8"/>
        <n v="15574.85"/>
        <n v="15576.2"/>
        <n v="15690.35"/>
        <n v="15670.25"/>
        <n v="15751.65"/>
        <n v="15740.1"/>
        <n v="15635.35"/>
        <n v="15737.75"/>
        <n v="15799.35"/>
        <n v="15811.85"/>
        <n v="15869.25"/>
        <n v="15767.55"/>
        <n v="15691.4"/>
        <n v="15683.35"/>
        <n v="15746.5"/>
        <n v="15772.75"/>
        <n v="15686.95"/>
        <n v="15790.45"/>
        <n v="15860.35"/>
        <n v="15814.7"/>
        <n v="15748.45"/>
        <n v="15721.5"/>
        <n v="15680.0"/>
        <n v="15722.2"/>
        <n v="15834.35"/>
        <n v="15818.25"/>
        <n v="15879.65"/>
        <n v="15727.9"/>
        <n v="15689.8"/>
        <n v="15692.6"/>
        <n v="15812.35"/>
        <n v="15853.95"/>
        <n v="15924.2"/>
        <n v="15923.4"/>
        <n v="15752.4"/>
        <n v="15632.1"/>
        <n v="15824.05"/>
        <n v="15856.05"/>
        <n v="15824.45"/>
        <n v="15746.45"/>
        <n v="15709.4"/>
        <n v="15778.45"/>
        <n v="15763.05"/>
        <n v="15885.15"/>
        <n v="16130.75"/>
        <n v="16258.8"/>
        <n v="16294.6"/>
        <n v="16238.2"/>
        <n v="16258.25"/>
        <n v="16280.1"/>
        <n v="16282.25"/>
        <n v="16364.4"/>
        <n v="16529.1"/>
        <n v="16563.05"/>
        <n v="16614.6"/>
        <n v="16568.85"/>
        <n v="16450.5"/>
        <n v="16496.45"/>
        <n v="16624.6"/>
        <n v="16634.65"/>
        <n v="16636.9"/>
        <n v="16705.2"/>
        <n v="16931.05"/>
        <n v="17132.2"/>
        <n v="17076.25"/>
        <n v="17234.15"/>
        <n v="17323.6"/>
        <n v="17377.8"/>
        <n v="17362.1"/>
        <n v="17353.5"/>
        <n v="17369.25"/>
        <n v="17355.3"/>
        <n v="17380.0"/>
        <n v="17519.45"/>
        <n v="17629.5"/>
        <n v="17585.15"/>
        <n v="17396.9"/>
        <n v="17562.0"/>
        <n v="17546.65"/>
        <n v="17822.95"/>
        <n v="17853.2"/>
        <n v="17855.1"/>
        <n v="17748.6"/>
        <n v="17711.3"/>
        <n v="17618.15"/>
        <n v="17532.05"/>
        <n v="17691.25"/>
        <n v="17822.3"/>
        <n v="17646.0"/>
        <n v="17790.35"/>
        <n v="17895.2"/>
        <n v="17945.95"/>
        <n v="17991.95"/>
        <n v="18161.75"/>
        <n v="18338.55"/>
        <n v="18477.05"/>
        <n v="18418.75"/>
        <n v="18266.6"/>
        <n v="18178.1"/>
        <n v="18114.9"/>
        <n v="18125.4"/>
        <n v="18268.4"/>
        <n v="18210.95"/>
        <n v="17857.25"/>
        <n v="17671.65"/>
        <n v="17929.65"/>
        <n v="17888.95"/>
        <n v="17829.2"/>
        <n v="17916.8"/>
        <n v="18068.55"/>
        <n v="18044.25"/>
        <n v="18017.2"/>
        <n v="17873.6"/>
        <n v="18102.75"/>
        <n v="18109.45"/>
        <n v="17999.2"/>
        <n v="17898.65"/>
        <n v="17764.8"/>
        <n v="17416.55"/>
        <n v="17503.35"/>
        <n v="17415.05"/>
        <n v="17536.25"/>
        <n v="17026.45"/>
        <n v="17053.95"/>
        <n v="16983.2"/>
        <n v="17166.9"/>
        <n v="17401.65"/>
        <n v="17196.7"/>
        <n v="16912.25"/>
        <n v="17176.7"/>
        <n v="17469.75"/>
        <n v="17516.85"/>
        <n v="17511.3"/>
        <n v="17368.25"/>
        <n v="17324.9"/>
        <n v="17221.4"/>
        <n v="17248.4"/>
        <n v="16985.2"/>
        <n v="16614.2"/>
        <n v="16770.85"/>
        <n v="16955.45"/>
        <n v="17072.6"/>
        <n v="17003.75"/>
        <n v="17086.25"/>
        <n v="17233.25"/>
        <n v="17213.6"/>
        <n v="17203.95"/>
        <n v="17354.05"/>
        <n v="17625.7"/>
        <n v="17805.25"/>
        <n v="17925.25"/>
        <n v="17745.9"/>
        <n v="17812.7"/>
        <n v="18003.3"/>
        <n v="18055.75"/>
        <n v="18212.35"/>
        <n v="18257.8"/>
        <n v="18255.75"/>
        <n v="18308.1"/>
        <n v="18113.05"/>
        <n v="17938.4"/>
        <n v="17757.0"/>
        <n v="17617.15"/>
        <n v="17149.1"/>
        <n v="17277.95"/>
        <n v="17110.15"/>
        <n v="17101.95"/>
        <n v="17339.85"/>
        <n v="17576.85"/>
        <n v="17780.0"/>
        <n v="17560.2"/>
        <n v="17516.3"/>
        <n v="17266.75"/>
        <n v="17463.8"/>
        <n v="17605.85"/>
        <n v="17374.75"/>
        <n v="16842.8"/>
        <n v="17352.45"/>
        <n v="17322.2"/>
        <n v="17304.6"/>
        <n v="17276.3"/>
        <n v="17206.65"/>
        <n v="17092.2"/>
        <n v="17063.25"/>
        <n v="16247.95"/>
        <n v="16658.4"/>
        <n v="16793.9"/>
        <n v="16605.95"/>
        <n v="16498.05"/>
        <n v="16245.35"/>
        <n v="15863.15"/>
        <n v="16013.45"/>
        <n v="16345.35"/>
        <n v="16594.9"/>
        <n v="16630.45"/>
        <n v="16871.3"/>
        <n v="16663.0"/>
        <n v="16975.35"/>
        <n v="17287.05"/>
        <n v="17117.6"/>
        <n v="17315.5"/>
        <n v="17245.65"/>
        <n v="17222.75"/>
        <n v="17153.0"/>
        <n v="17222.0"/>
        <n v="17325.3"/>
        <n v="17498.25"/>
        <n v="17464.75"/>
        <n v="17670.45"/>
        <n v="18053.4"/>
        <n v="17957.4"/>
        <n v="17807.65"/>
        <n v="17639.55"/>
        <n v="17784.35"/>
        <n v="17674.95"/>
        <n v="17530.3"/>
        <n v="17475.65"/>
        <n v="17173.65"/>
        <n v="16958.65"/>
        <n v="17136.55"/>
        <n v="17392.6"/>
        <n v="17171.95"/>
        <n v="16953.95"/>
        <n v="17200.8"/>
        <n v="17038.4"/>
        <n v="17245.05"/>
        <n v="17102.55"/>
        <n v="17069.1"/>
        <n v="16677.6"/>
        <n v="16682.65"/>
        <n v="16411.25"/>
        <n v="16301.85"/>
        <n v="16240.05"/>
        <n v="16167.1"/>
        <n v="15808.0"/>
        <n v="15782.15"/>
        <n v="15842.3"/>
        <n v="16259.3"/>
        <n v="16240.3"/>
        <n v="15809.4"/>
        <n v="16266.15"/>
        <n v="16214.7"/>
        <n v="16125.15"/>
        <n v="16025.8"/>
        <n v="16170.15"/>
        <n v="16352.45"/>
        <n v="16661.4"/>
        <n v="16584.55"/>
        <n v="16522.75"/>
        <n v="16628.0"/>
        <n v="16584.3"/>
        <n v="16569.55"/>
        <n v="16416.35"/>
        <n v="16356.25"/>
        <n v="16478.1"/>
        <n v="16201.8"/>
        <n v="15774.4"/>
        <n v="15732.1"/>
        <n v="15692.15"/>
        <n v="15360.6"/>
        <n v="15293.5"/>
        <n v="15350.15"/>
        <n v="15638.8"/>
        <n v="15413.3"/>
        <n v="15556.65"/>
        <n v="15699.25"/>
        <n v="15832.05"/>
        <n v="15850.2"/>
        <n v="15799.1"/>
        <n v="15780.25"/>
        <n v="15752.05"/>
        <n v="15835.35"/>
        <n v="15810.85"/>
        <n v="15989.8"/>
        <n v="16132.9"/>
        <n v="16220.6"/>
        <n v="16216.0"/>
        <n v="16058.3"/>
        <n v="15966.65"/>
        <n v="15938.65"/>
        <n v="16049.2"/>
        <n v="16278.5"/>
        <n v="16340.55"/>
        <n v="16520.85"/>
        <n v="16605.25"/>
        <n v="16719.45"/>
        <n v="16631.0"/>
        <n v="16483.85"/>
        <n v="16641.8"/>
        <n v="16929.6"/>
        <n v="17158.25"/>
        <n v="17340.05"/>
        <n v="17345.45"/>
        <n v="17388.15"/>
        <n v="17382.0"/>
        <n v="17397.5"/>
        <n v="17525.1"/>
        <n v="17534.75"/>
        <n v="17659.0"/>
        <n v="17698.15"/>
        <n v="17825.25"/>
        <n v="17944.25"/>
        <n v="17956.5"/>
        <n v="17758.45"/>
        <n v="17490.7"/>
        <n v="17577.5"/>
        <n v="17604.95"/>
        <n v="17522.45"/>
        <n v="17558.9"/>
        <n v="17312.9"/>
        <n v="17759.3"/>
        <n v="17542.8"/>
        <n v="17539.45"/>
        <n v="17665.8"/>
        <n v="17655.6"/>
        <n v="17624.4"/>
        <n v="17798.75"/>
        <n v="17833.35"/>
        <n v="17936.35"/>
        <n v="18070.05"/>
        <n v="18003.75"/>
        <n v="17877.4"/>
        <n v="17530.85"/>
        <n v="17622.25"/>
        <n v="17816.25"/>
        <n v="17718.35"/>
        <n v="17629.8"/>
        <n v="17327.35"/>
        <n v="17016.3"/>
        <n v="17007.4"/>
        <n v="16858.6"/>
        <n v="16818.1"/>
        <n v="17094.35"/>
        <n v="16887.35"/>
        <n v="17274.3"/>
        <n v="17331.8"/>
        <n v="17314.65"/>
        <n v="17241.0"/>
        <n v="16983.55"/>
        <n v="17123.6"/>
        <n v="17014.35"/>
        <n v="17185.7"/>
        <n v="17311.8"/>
        <n v="17486.95"/>
        <n v="17512.25"/>
        <n v="17563.95"/>
        <n v="17576.3"/>
        <n v="17730.75"/>
        <n v="17656.35"/>
        <n v="17736.95"/>
        <n v="17786.8"/>
        <n v="18012.2"/>
        <n v="18145.4"/>
        <n v="18082.85"/>
        <n v="18052.7"/>
        <n v="18117.15"/>
        <n v="18202.8"/>
        <n v="18157.0"/>
        <n v="18028.2"/>
        <n v="18349.7"/>
        <n v="18329.15"/>
        <n v="18403.4"/>
        <n v="18409.65"/>
        <n v="18343.9"/>
        <n v="18307.65"/>
        <n v="18159.95"/>
        <n v="18244.2"/>
        <n v="18267.25"/>
        <n v="18484.1"/>
        <n v="18512.75"/>
        <n v="18562.75"/>
        <n v="18618.05"/>
        <n v="18758.35"/>
        <n v="18812.5"/>
        <n v="18696.1"/>
        <n v="18701.05"/>
        <n v="18642.75"/>
        <n v="18560.5"/>
        <n v="18609.35"/>
        <n v="18496.6"/>
        <n v="18497.15"/>
        <n v="18608.0"/>
        <n v="18660.3"/>
        <n v="18414.9"/>
        <n v="18269.0"/>
        <n v="18420.45"/>
        <n v="18385.3"/>
        <n v="18199.1"/>
        <n v="18127.35"/>
        <n v="17806.8"/>
        <n v="18014.6"/>
        <n v="18132.3"/>
        <n v="18122.5"/>
        <n v="18191.0"/>
        <n v="18105.3"/>
        <n v="18197.45"/>
        <n v="18232.55"/>
        <n v="18042.95"/>
        <n v="17992.15"/>
        <n v="17859.45"/>
        <n v="18101.2"/>
        <n v="17914.15"/>
        <n v="17895.7"/>
        <n v="17858.2"/>
        <n v="17956.6"/>
        <n v="17894.85"/>
        <n v="18053.3"/>
        <n v="18165.35"/>
        <n v="18107.85"/>
        <n v="18027.65"/>
        <n v="18118.55"/>
        <n v="18118.3"/>
        <n v="17891.95"/>
        <n v="17604.35"/>
        <n v="17648.95"/>
        <n v="17662.15"/>
        <n v="17616.3"/>
        <n v="17610.4"/>
        <n v="17854.05"/>
        <n v="17764.6"/>
        <n v="17721.5"/>
        <n v="17871.7"/>
        <n v="17893.45"/>
        <n v="17856.5"/>
        <n v="17770.9"/>
        <n v="17929.85"/>
        <n v="18015.85"/>
        <n v="18035.85"/>
        <n v="17944.2"/>
        <n v="17844.6"/>
        <n v="17826.7"/>
        <n v="17554.3"/>
        <n v="17511.25"/>
        <n v="17465.8"/>
        <n v="17392.7"/>
        <n v="17303.95"/>
        <n v="17450.9"/>
        <n v="17321.9"/>
        <n v="17594.35"/>
        <n v="17711.45"/>
        <n v="17754.4"/>
        <n v="17589.6"/>
        <n v="17412.9"/>
        <n v="17154.3"/>
        <n v="17043.3"/>
        <n v="16972.15"/>
        <n v="16985.6"/>
        <n v="17100.05"/>
        <n v="16988.4"/>
        <n v="17107.5"/>
        <n v="17151.9"/>
        <n v="17076.9"/>
        <n v="16945.05"/>
        <n v="16985.7"/>
        <n v="16951.7"/>
        <n v="17080.7"/>
        <n v="17359.75"/>
        <n v="17398.05"/>
        <n v="17557.05"/>
        <n v="17599.15"/>
        <n v="17624.05"/>
        <n v="17722.3"/>
        <n v="17812.4"/>
        <n v="17828.0"/>
        <n v="17706.85"/>
        <n v="17660.15"/>
        <n v="17618.75"/>
        <n v="17624.45"/>
        <n v="17743.4"/>
        <n v="17769.25"/>
        <n v="17813.6"/>
        <n v="17915.05"/>
        <n v="18065.0"/>
        <n v="18147.65"/>
        <n v="18089.85"/>
        <n v="18255.8"/>
        <n v="18069.0"/>
        <n v="18264.4"/>
        <n v="18265.95"/>
        <n v="18315.1"/>
        <n v="18297.0"/>
        <n v="18314.8"/>
        <n v="18398.85"/>
        <n v="18286.5"/>
        <n v="18181.75"/>
        <n v="18129.95"/>
        <n v="18203.4"/>
        <n v="18314.4"/>
        <n v="18348.0"/>
        <n v="18285.4"/>
        <n v="18321.15"/>
        <n v="18499.35"/>
        <n v="18598.65"/>
        <n v="18633.85"/>
        <n v="18534.4"/>
        <n v="18487.75"/>
        <n v="18534.1"/>
        <n v="18593.85"/>
        <n v="18599.0"/>
        <n v="18726.4"/>
        <n v="18634.55"/>
        <n v="18563.4"/>
        <n v="18601.5"/>
        <n v="18716.15"/>
        <n v="18755.9"/>
        <n v="18688.1"/>
        <n v="18826.0"/>
        <n v="18755.45"/>
        <n v="18816.7"/>
        <n v="18856.85"/>
        <n v="18771.25"/>
        <n v="18665.5"/>
        <n v="18691.2"/>
        <n v="18817.4"/>
        <n v="18972.1"/>
        <n v="19189.05"/>
        <n v="19322.55"/>
        <n v="19389.0"/>
        <n v="19398.5"/>
        <n v="19497.3"/>
        <n v="19331.8"/>
        <n v="19355.9"/>
        <n v="19439.4"/>
        <n v="19384.3"/>
        <n v="19413.75"/>
        <n v="19564.5"/>
        <n v="19711.45"/>
        <n v="19749.25"/>
        <n v="19833.15"/>
        <n v="19979.15"/>
        <n v="19745.0"/>
        <n v="19672.35"/>
        <n v="19680.6"/>
        <n v="19778.3"/>
        <n v="19659.9"/>
        <n v="19646.05"/>
        <n v="19753.8"/>
        <n v="19733.55"/>
        <n v="19526.55"/>
        <n v="19381.65"/>
        <n v="19517.0"/>
        <n v="19597.3"/>
        <n v="19570.85"/>
        <n v="19632.55"/>
        <n v="19543.1"/>
        <n v="19428.3"/>
        <n v="19434.55"/>
        <n v="19465.0"/>
        <n v="19365.25"/>
        <n v="19310.15"/>
        <n v="19393.6"/>
        <n v="19396.45"/>
        <n v="19444.0"/>
        <n v="19386.7"/>
        <n v="19265.8"/>
        <n v="19306.05"/>
        <n v="19342.65"/>
        <n v="19347.45"/>
        <n v="19253.8"/>
        <n v="19435.3"/>
        <n v="19528.8"/>
        <n v="19574.9"/>
        <n v="19611.05"/>
        <n v="19727.05"/>
        <n v="19819.95"/>
        <n v="19996.35"/>
        <n v="19993.2"/>
        <n v="20070.0"/>
        <n v="20103.1"/>
        <n v="20192.35"/>
        <n v="20133.3"/>
        <n v="19901.4"/>
        <n v="19742.35"/>
        <n v="19674.25"/>
        <n v="19674.55"/>
        <n v="19664.7"/>
        <n v="19716.45"/>
        <n v="19523.55"/>
        <n v="19638.3"/>
        <n v="19528.75"/>
        <n v="19436.1"/>
        <n v="19545.75"/>
        <n v="19653.5"/>
        <n v="19512.35"/>
        <n v="19689.85"/>
        <n v="19811.35"/>
        <n v="19794.0"/>
        <n v="19751.05"/>
        <n v="19731.75"/>
        <n v="19811.5"/>
        <n v="19671.1"/>
        <n v="19624.7"/>
        <n v="19542.65"/>
        <n v="19281.75"/>
        <n v="19122.15"/>
        <n v="18857.25"/>
        <n v="19047.25"/>
        <n v="19140.9"/>
        <n v="19079.6"/>
        <n v="18989.15"/>
        <n v="19133.25"/>
        <n v="19230.6"/>
        <n v="19411.75"/>
        <n v="19406.7"/>
        <n v="19443.5"/>
        <n v="19395.3"/>
        <n v="19425.35"/>
        <n v="19525.55"/>
        <n v="19443.55"/>
        <n v="19675.45"/>
        <n v="19765.2"/>
        <n v="19731.8"/>
        <n v="19694.0"/>
        <n v="19783.4"/>
        <n v="19811.85"/>
        <n v="19802.0"/>
        <n v="19794.7"/>
        <n v="19889.7"/>
        <n v="20096.6"/>
        <n v="20133.15"/>
        <n v="20267.9"/>
        <n v="20686.8"/>
        <n v="20855.1"/>
        <n v="20937.7"/>
        <n v="20901.15"/>
        <n v="20969.4"/>
        <n v="20997.1"/>
        <n v="20906.4"/>
        <n v="20926.35"/>
        <n v="21182.7"/>
        <n v="21456.65"/>
        <n v="21418.65"/>
        <n v="21453.1"/>
        <n v="21150.15"/>
        <n v="21255.05"/>
        <n v="21349.4"/>
        <n v="21441.35"/>
        <n v="21654.75"/>
        <n v="21778.7"/>
        <n v="21731.4"/>
        <n v="21741.9"/>
        <n v="21665.8"/>
        <n v="21517.35"/>
        <n v="21658.6"/>
        <n v="21710.8"/>
        <n v="21513.0"/>
        <n v="21544.85"/>
        <n v="21618.7"/>
        <n v="21647.2"/>
        <n v="21894.55"/>
        <n v="22097.45"/>
        <n v="22032.3"/>
        <n v="21571.95"/>
        <n v="21462.25"/>
        <n v="21622.4"/>
        <n v="21571.8"/>
        <n v="21238.8"/>
        <n v="21453.95"/>
        <n v="21352.6"/>
        <n v="21737.6"/>
        <n v="21522.1"/>
        <n v="21725.7"/>
        <n v="21697.45"/>
        <n v="21853.8"/>
        <n v="21771.7"/>
        <n v="21929.4"/>
        <n v="21930.5"/>
        <n v="21717.95"/>
        <n v="21782.5"/>
        <n v="21616.05"/>
        <n v="21743.25"/>
        <n v="21840.05"/>
        <n v="21910.75"/>
        <n v="22040.7"/>
        <n v="22122.25"/>
        <n v="22196.95"/>
        <n v="22055.05"/>
        <n v="22217.45"/>
        <n v="22212.7"/>
        <n v="22122.05"/>
        <n v="22198.35"/>
        <n v="21951.15"/>
        <n v="21982.8"/>
        <n v="22338.75"/>
        <n v="22378.4"/>
        <n v="22405.6"/>
        <n v="22356.3"/>
        <n v="22474.05"/>
        <n v="22493.55"/>
        <n v="22332.65"/>
        <n v="22335.7"/>
        <n v="21997.7"/>
        <n v="22146.65"/>
        <n v="22023.35"/>
        <n v="22055.7"/>
        <n v="21817.45"/>
        <n v="21839.1"/>
        <n v="22011.95"/>
        <n v="22096.75"/>
        <n v="22004.7"/>
        <n v="22123.65"/>
        <n v="22326.9"/>
        <n v="22462.0"/>
        <n v="22453.3"/>
        <n v="22434.65"/>
        <n v="22514.65"/>
        <n v="22513.7"/>
        <n v="22666.3"/>
        <n v="22642.75"/>
      </sharedItems>
    </cacheField>
    <cacheField name="Shares Traded " numFmtId="0">
      <sharedItems containsString="0" containsBlank="1" containsNumber="1" containsInteger="1">
        <n v="2.18422388E8"/>
        <n v="1.70267413E8"/>
        <n v="2.2380435E7"/>
        <n v="1.65876819E8"/>
        <n v="1.54134885E8"/>
        <n v="1.49451211E8"/>
        <n v="1.48037721E8"/>
        <n v="1.36702518E8"/>
        <n v="1.56610433E8"/>
        <n v="1.30871603E8"/>
        <n v="1.34562905E8"/>
        <n v="2.26632193E8"/>
        <n v="1.54863047E8"/>
        <n v="2.23041699E8"/>
        <n v="1.42945421E8"/>
        <n v="1.30207404E8"/>
        <n v="1.296284E8"/>
        <n v="1.57231681E8"/>
        <n v="1.41893279E8"/>
        <n v="1.39318392E8"/>
        <n v="1.4431569E8"/>
        <n v="1.45249292E8"/>
        <n v="1.7299648E8"/>
        <n v="1.53492615E8"/>
        <n v="1.38479057E8"/>
        <n v="1.59149338E8"/>
        <n v="1.8125678E8"/>
        <n v="1.97319843E8"/>
        <n v="1.30174102E8"/>
        <n v="1.29633328E8"/>
        <n v="1.21480721E8"/>
        <n v="9.6374245E7"/>
        <n v="1.26737811E8"/>
        <n v="1.16535971E8"/>
        <n v="1.10145855E8"/>
        <n v="1.55645098E8"/>
        <n v="6.4843836E7"/>
        <n v="1.38864905E8"/>
        <n v="1.49672973E8"/>
        <n v="1.51715828E8"/>
        <n v="1.94732861E8"/>
        <n v="1.6234869E8"/>
        <n v="1.94836791E8"/>
        <n v="1.68975973E8"/>
        <n v="2.21908258E8"/>
        <n v="2.06988549E8"/>
        <n v="2.03643071E8"/>
        <n v="2.40798183E8"/>
        <n v="1.94068339E8"/>
        <n v="2.32614141E8"/>
        <n v="2.48113284E8"/>
        <n v="2.36282061E8"/>
        <n v="1.68202502E8"/>
        <n v="1.93389891E8"/>
        <n v="2.83036298E8"/>
        <n v="3.07934042E8"/>
        <n v="2.06645021E8"/>
        <n v="2.37338907E8"/>
        <n v="1.97863301E8"/>
        <n v="2.29563364E8"/>
        <n v="2.57518899E8"/>
        <n v="1.76758985E8"/>
        <n v="2.1873028E8"/>
        <n v="2.54481339E8"/>
        <n v="3.01302956E8"/>
        <n v="3.44210729E8"/>
        <n v="3.65217073E8"/>
        <n v="2.61607451E8"/>
        <n v="2.68017961E8"/>
        <n v="2.54331498E8"/>
        <n v="1.9820648E8"/>
        <n v="1.59162842E8"/>
        <n v="2.00396978E8"/>
        <n v="2.05898417E8"/>
        <n v="2.91932544E8"/>
        <n v="2.13142575E8"/>
        <n v="4.87969285E8"/>
        <n v="2.8356157E8"/>
        <n v="3.48965708E8"/>
        <n v="2.87248532E8"/>
        <n v="2.9044123E8"/>
        <n v="2.64945393E8"/>
        <n v="2.52709391E8"/>
        <n v="2.31584305E8"/>
        <n v="2.04806572E8"/>
        <n v="1.72067214E8"/>
        <n v="1.99653871E8"/>
        <n v="2.01430035E8"/>
        <n v="2.47043954E8"/>
        <n v="2.4472749E8"/>
        <n v="2.02853386E8"/>
        <n v="2.15355848E8"/>
        <n v="2.05794773E8"/>
        <n v="2.49905118E8"/>
        <n v="2.23493457E8"/>
        <n v="2.39843751E8"/>
        <n v="3.91914059E8"/>
        <n v="1.89571551E8"/>
        <n v="1.6027794E8"/>
        <n v="2.10126897E8"/>
        <n v="1.70653808E8"/>
        <n v="2.4168405E8"/>
        <n v="1.4781646E8"/>
        <n v="1.85353268E8"/>
        <n v="1.68508978E8"/>
        <n v="2.27217288E8"/>
        <n v="1.90258561E8"/>
        <n v="2.1163006E8"/>
        <n v="2.30577117E8"/>
        <n v="1.8898854E8"/>
        <n v="1.50776959E8"/>
        <n v="2.08656803E8"/>
        <n v="2.13174058E8"/>
        <n v="3.01485186E8"/>
        <n v="2.51227047E8"/>
        <n v="1.50818181E8"/>
        <n v="1.9227137E8"/>
        <n v="2.05939089E8"/>
        <n v="1.90792828E8"/>
        <n v="1.68662226E8"/>
        <n v="1.65616829E8"/>
        <n v="1.66957276E8"/>
        <n v="2.20712496E8"/>
        <n v="1.57444918E8"/>
        <n v="1.85061782E8"/>
        <n v="2.11547775E8"/>
        <n v="1.8914081E8"/>
        <n v="1.61169418E8"/>
        <n v="1.75711829E8"/>
        <n v="1.61889432E8"/>
        <n v="1.77347948E8"/>
        <n v="1.51538169E8"/>
        <n v="1.81636649E8"/>
        <n v="2.72456307E8"/>
        <n v="2.68963949E8"/>
        <n v="2.55086293E8"/>
        <n v="4.85645737E8"/>
        <n v="2.00371829E8"/>
        <n v="1.87316365E8"/>
        <n v="3.90652017E8"/>
        <n v="1.76885226E8"/>
        <n v="2.49365706E8"/>
        <n v="1.79710369E8"/>
        <n v="1.80293039E8"/>
        <n v="1.87757375E8"/>
        <n v="1.74916286E8"/>
        <n v="1.50042362E8"/>
        <n v="1.74953935E8"/>
        <n v="1.95028743E8"/>
        <n v="1.7184276E8"/>
        <n v="1.73750792E8"/>
        <n v="1.41161921E8"/>
        <n v="1.40268297E8"/>
        <n v="1.58852677E8"/>
        <n v="3.06803641E8"/>
        <n v="1.67462711E8"/>
        <n v="1.75724276E8"/>
        <n v="1.51499716E8"/>
        <n v="2.88031935E8"/>
        <n v="1.70581881E8"/>
        <n v="1.58955823E8"/>
        <n v="1.43253937E8"/>
        <n v="1.60327315E8"/>
        <n v="1.42159935E8"/>
        <n v="1.54399933E8"/>
        <n v="1.8933975E8"/>
        <n v="2.01492184E8"/>
        <n v="1.58738499E8"/>
        <n v="2.28598684E8"/>
        <n v="1.69400452E8"/>
        <n v="1.73050805E8"/>
        <n v="1.6534938E8"/>
        <n v="1.54575685E8"/>
        <n v="1.47619642E8"/>
        <n v="1.54631398E8"/>
        <n v="1.59563469E8"/>
        <n v="1.8979638E8"/>
        <n v="2.40721865E8"/>
        <n v="1.61935155E8"/>
        <n v="1.94186858E8"/>
        <n v="1.74556789E8"/>
        <n v="1.68033073E8"/>
        <n v="1.69780463E8"/>
        <n v="1.62784913E8"/>
        <n v="1.77877012E8"/>
        <n v="2.06261255E8"/>
        <n v="1.78963496E8"/>
        <n v="1.95114539E8"/>
        <n v="2.72014034E8"/>
        <n v="2.31771409E8"/>
        <n v="1.79540691E8"/>
        <n v="1.69431656E8"/>
        <n v="1.97770568E8"/>
        <n v="1.56976546E8"/>
        <n v="1.93302503E8"/>
        <n v="1.54168043E8"/>
        <n v="2.19736214E8"/>
        <n v="1.52146666E8"/>
        <n v="1.33723771E8"/>
        <n v="1.54828719E8"/>
        <n v="3.73422334E8"/>
        <n v="2.46336047E8"/>
        <n v="1.97385217E8"/>
        <n v="2.01617132E8"/>
        <n v="2.99145644E8"/>
        <n v="2.23937056E8"/>
        <n v="1.81344327E8"/>
        <n v="1.90199613E8"/>
        <n v="1.89984289E8"/>
        <n v="1.49889703E8"/>
        <n v="2.74039556E8"/>
        <n v="1.35814177E8"/>
        <n v="1.40718486E8"/>
        <n v="1.5344133E8"/>
        <n v="1.78136644E8"/>
        <n v="1.91618169E8"/>
        <n v="1.69050086E8"/>
        <n v="1.56100521E8"/>
        <n v="1.70643694E8"/>
        <n v="3.84395249E8"/>
        <n v="1.87333285E8"/>
        <n v="1.41472076E8"/>
        <n v="1.89990151E8"/>
        <n v="1.62103951E8"/>
        <n v="1.68713605E8"/>
        <n v="1.550538E8"/>
        <n v="1.11794053E8"/>
        <n v="2.18861324E8"/>
        <n v="1.67848947E8"/>
        <n v="2.03516577E8"/>
        <n v="2.16626083E8"/>
        <n v="1.77397872E8"/>
        <n v="1.65952091E8"/>
        <n v="1.62162047E8"/>
        <n v="1.61966274E8"/>
        <n v="1.95696479E8"/>
        <n v="2.26133074E8"/>
        <n v="2.50336333E8"/>
        <n v="1.80906084E8"/>
        <n v="1.6610872E7"/>
        <n v="1.70068995E8"/>
        <n v="1.6013048E8"/>
        <n v="1.75773254E8"/>
        <n v="2.31783152E8"/>
        <n v="1.78070534E8"/>
        <n v="2.01759648E8"/>
        <n v="3.23968654E8"/>
        <n v="2.7119693E8"/>
        <n v="2.75221694E8"/>
        <n v="3.70298063E8"/>
        <n v="2.77801233E8"/>
        <n v="1.97183084E8"/>
        <n v="1.66199545E8"/>
        <n v="2.25608889E8"/>
        <n v="2.16677654E8"/>
        <n v="1.86602328E8"/>
        <n v="2.68619026E8"/>
        <n v="1.83355873E8"/>
        <n v="1.95595287E8"/>
        <n v="1.95618384E8"/>
        <n v="2.55725357E8"/>
        <n v="1.62597213E8"/>
        <n v="1.76767415E8"/>
        <n v="1.30435865E8"/>
        <n v="1.18854323E8"/>
        <n v="1.75024334E8"/>
        <n v="1.46857616E8"/>
        <n v="1.54344775E8"/>
        <n v="1.11432551E8"/>
        <n v="1.89739559E8"/>
        <n v="1.4913252E8"/>
        <n v="1.87425988E8"/>
        <n v="2.09268331E8"/>
        <n v="1.10669713E8"/>
        <n v="1.32026742E8"/>
        <n v="1.27543733E8"/>
        <n v="1.2640958E8"/>
        <n v="1.27921701E8"/>
        <n v="1.10171222E8"/>
        <n v="1.22463312E8"/>
        <n v="1.30580701E8"/>
        <n v="1.83984077E8"/>
        <n v="1.3145725E8"/>
        <n v="1.22016111E8"/>
        <n v="1.31186021E8"/>
        <n v="1.36476345E8"/>
        <n v="1.63957452E8"/>
        <n v="1.4368985E8"/>
        <n v="1.0221119E8"/>
        <n v="1.47312927E8"/>
        <n v="1.92285417E8"/>
        <n v="1.77948383E8"/>
        <n v="1.90949616E8"/>
        <n v="1.27938836E8"/>
        <n v="1.25781216E8"/>
        <n v="1.68867039E8"/>
        <n v="1.70956149E8"/>
        <n v="2.08901233E8"/>
        <n v="2.009931E8"/>
        <n v="1.84745781E8"/>
        <n v="3.0149015E8"/>
        <n v="2.83905821E8"/>
        <n v="3.1411076E8"/>
        <n v="5.37110119E8"/>
        <n v="3.37797412E8"/>
        <n v="2.92329202E8"/>
        <n v="1.96936238E8"/>
        <n v="2.00403782E8"/>
        <n v="2.33294532E8"/>
        <n v="2.25485726E8"/>
        <n v="1.93282248E8"/>
        <n v="2.32947341E8"/>
        <n v="2.11180353E8"/>
        <n v="1.94133563E8"/>
        <n v="2.22828919E8"/>
        <n v="1.90277738E8"/>
        <n v="3.07526025E8"/>
        <n v="1.73022362E8"/>
        <n v="1.81091326E8"/>
        <n v="2.54677956E8"/>
        <n v="3.88874096E8"/>
        <n v="1.95847099E8"/>
        <n v="3.0272289E8"/>
        <n v="2.12328974E8"/>
        <n v="2.2560814E8"/>
        <n v="2.08915878E8"/>
        <n v="1.80194586E8"/>
        <n v="1.78827506E8"/>
        <n v="1.83325544E8"/>
        <n v="1.76810453E8"/>
        <n v="1.57419999E8"/>
        <n v="2.78726933E8"/>
        <n v="2.48033251E8"/>
        <n v="2.15096446E8"/>
        <n v="2.95554265E8"/>
        <n v="3.423959E8"/>
        <n v="2.55396073E8"/>
        <n v="2.39463699E8"/>
        <n v="1.97705274E8"/>
        <n v="2.10021581E8"/>
        <n v="2.09036051E8"/>
        <n v="1.88985603E8"/>
        <n v="2.50902906E8"/>
        <n v="3.33410368E8"/>
        <n v="1.96771674E8"/>
        <n v="1.43444541E8"/>
        <n v="1.90529461E8"/>
        <n v="1.91937207E8"/>
        <n v="1.95918747E8"/>
        <n v="1.3996875E8"/>
        <n v="2.06261727E8"/>
        <n v="1.66755013E8"/>
        <n v="1.716956E8"/>
        <n v="1.32244225E8"/>
        <n v="1.79569574E8"/>
        <n v="1.79117382E8"/>
        <n v="1.75629897E8"/>
        <n v="1.59981265E8"/>
        <n v="1.72908048E8"/>
        <n v="1.73896951E8"/>
        <n v="1.9139512E8"/>
        <n v="2.15881711E8"/>
        <n v="1.67229353E8"/>
        <n v="1.66558241E8"/>
        <n v="1.56342492E8"/>
        <n v="2.77895923E8"/>
        <n v="2.39133531E8"/>
        <n v="1.79709949E8"/>
        <n v="1.36417428E8"/>
        <n v="1.57363135E8"/>
        <n v="1.7643984E8"/>
        <n v="1.59079418E8"/>
        <n v="1.45163953E8"/>
        <n v="1.71709433E8"/>
        <n v="2.1185604E8"/>
        <n v="1.99340647E8"/>
        <n v="2.59861396E8"/>
        <n v="2.02874757E8"/>
        <n v="2.31345629E8"/>
        <n v="2.18265181E8"/>
        <n v="2.98147347E8"/>
        <n v="2.25647631E8"/>
        <n v="2.42266034E8"/>
        <n v="1.99894193E8"/>
        <n v="4.27053433E8"/>
        <n v="1.81533283E8"/>
        <n v="1.67195027E8"/>
        <n v="1.31685021E8"/>
        <n v="1.50379695E8"/>
        <n v="1.65669924E8"/>
        <n v="1.60165459E8"/>
        <n v="1.63897548E8"/>
        <n v="1.45786938E8"/>
        <n v="1.33734363E8"/>
        <n v="1.8737875E8"/>
        <n v="1.76423424E8"/>
        <n v="2.19808528E8"/>
        <n v="1.46146062E8"/>
        <n v="1.64437226E8"/>
        <n v="1.48490556E8"/>
        <n v="2.04888654E8"/>
        <n v="1.80580579E8"/>
        <n v="2.09593904E8"/>
        <n v="1.77652206E8"/>
        <n v="2.67283587E8"/>
        <n v="1.852026E8"/>
        <n v="1.88690599E8"/>
        <n v="1.49313755E8"/>
        <n v="1.34849476E8"/>
        <n v="1.5200194E8"/>
        <n v="1.46232151E8"/>
        <n v="4.0142973E7"/>
        <n v="1.85322358E8"/>
        <n v="1.50045594E8"/>
        <n v="1.86866752E8"/>
        <n v="1.64456602E8"/>
        <n v="1.68596771E8"/>
        <n v="3.0300786E8"/>
        <n v="2.06376192E8"/>
        <n v="1.66083004E8"/>
        <n v="1.93286125E8"/>
        <n v="1.79905535E8"/>
        <n v="1.91206247E8"/>
        <n v="2.03697844E8"/>
        <n v="2.96782048E8"/>
        <n v="1.97491415E8"/>
        <n v="2.45096535E8"/>
        <n v="1.90000516E8"/>
        <n v="1.66463276E8"/>
        <n v="1.98665837E8"/>
        <n v="1.84082134E8"/>
        <n v="1.41566282E8"/>
        <n v="2.09645343E8"/>
        <n v="1.74395293E8"/>
        <n v="2.42820594E8"/>
        <n v="2.94732998E8"/>
        <n v="2.01613585E8"/>
        <n v="2.26269013E8"/>
        <n v="2.03652311E8"/>
        <n v="2.53931517E8"/>
        <n v="2.11627775E8"/>
        <n v="1.89267122E8"/>
        <n v="1.73815509E8"/>
        <n v="1.90398702E8"/>
        <n v="1.64493772E8"/>
        <n v="1.78668444E8"/>
        <n v="1.62704136E8"/>
        <n v="3.37782004E8"/>
        <n v="1.62730656E8"/>
        <n v="1.53369495E8"/>
        <n v="1.43522342E8"/>
        <n v="1.53767846E8"/>
        <n v="1.94626599E8"/>
        <n v="1.68698771E8"/>
        <n v="1.78409875E8"/>
        <n v="1.88248293E8"/>
        <n v="2.21608053E8"/>
        <n v="2.32637517E8"/>
        <n v="2.74799134E8"/>
        <n v="1.6085268E8"/>
        <n v="1.93345992E8"/>
        <n v="2.05605243E8"/>
        <n v="1.97710666E8"/>
        <n v="2.33621596E8"/>
        <n v="2.2820697E8"/>
        <n v="1.96792799E8"/>
        <n v="2.06305991E8"/>
        <n v="3.96874518E8"/>
        <n v="2.02350211E8"/>
        <n v="1.67833406E8"/>
        <n v="1.60993982E8"/>
        <n v="1.52362417E8"/>
        <n v="2.01858899E8"/>
        <n v="1.48395842E8"/>
        <n v="1.5324657E8"/>
        <n v="1.95593061E8"/>
        <n v="2.07106672E8"/>
        <n v="2.37230047E8"/>
        <n v="2.09327364E8"/>
        <n v="2.01782377E8"/>
        <n v="2.6211179E8"/>
        <n v="3.1086379E7"/>
        <n v="2.24799211E8"/>
        <n v="2.23914325E8"/>
        <n v="6.12620774E8"/>
        <n v="4.43036008E8"/>
        <n v="3.2241141E8"/>
        <n v="2.44193178E8"/>
        <n v="2.398097E8"/>
        <n v="2.68270466E8"/>
        <n v="2.07735021E8"/>
        <n v="2.06101238E8"/>
        <n v="1.99559409E8"/>
        <n v="2.95830692E8"/>
        <n v="2.82950322E8"/>
        <n v="2.47606613E8"/>
        <n v="2.8796294E8"/>
        <n v="2.16799588E8"/>
        <n v="3.14413476E8"/>
        <n v="2.13836202E8"/>
        <n v="1.88180035E8"/>
        <n v="2.09592893E8"/>
        <n v="1.51751415E8"/>
        <n v="1.91859084E8"/>
        <n v="1.62504058E8"/>
        <n v="1.57651842E8"/>
        <n v="1.33177324E8"/>
        <n v="1.46276512E8"/>
        <n v="2.02050866E8"/>
        <n v="1.5719293E8"/>
        <n v="3.5310524E8"/>
        <n v="1.47765528E8"/>
        <n v="1.53240126E8"/>
        <n v="1.60253042E8"/>
        <n v="1.71208366E8"/>
        <n v="1.71339022E8"/>
        <n v="2.06234019E8"/>
        <n v="1.52034656E8"/>
        <n v="1.80546894E8"/>
        <n v="1.87191964E8"/>
        <n v="1.5910396E8"/>
        <n v="2.62974703E8"/>
        <n v="2.37506982E8"/>
        <n v="1.74340665E8"/>
        <n v="1.8059746E8"/>
        <n v="1.56646972E8"/>
        <n v="1.43119167E8"/>
        <n v="1.60417384E8"/>
        <n v="1.70307122E8"/>
        <n v="2.81309989E8"/>
        <n v="1.56736221E8"/>
        <n v="1.3453209E8"/>
        <n v="1.5809243E8"/>
        <n v="1.72516859E8"/>
        <n v="1.80257392E8"/>
        <n v="1.86469717E8"/>
        <n v="1.74181231E8"/>
        <n v="2.11291563E8"/>
        <n v="1.81900014E8"/>
        <n v="1.58630055E8"/>
        <n v="1.80592153E8"/>
        <n v="1.81262074E8"/>
        <n v="2.17468081E8"/>
        <n v="2.60488465E8"/>
        <n v="3.21609375E8"/>
        <n v="2.14011963E8"/>
        <n v="2.38815813E8"/>
        <n v="2.93445774E8"/>
        <n v="2.92197072E8"/>
        <n v="3.40469462E8"/>
        <n v="2.49220726E8"/>
        <n v="2.34969503E8"/>
        <n v="2.53462573E8"/>
        <n v="3.15743486E8"/>
        <n v="2.91431992E8"/>
        <n v="2.47479157E8"/>
        <n v="2.74656443E8"/>
        <n v="2.58095424E8"/>
        <n v="2.39407938E8"/>
        <n v="1.97502912E8"/>
        <n v="2.24114801E8"/>
        <n v="2.3632944E8"/>
        <n v="2.17090245E8"/>
        <n v="1.90043189E8"/>
        <n v="1.93087737E8"/>
        <n v="1.93464871E8"/>
        <n v="2.41331542E8"/>
        <n v="3.23259078E8"/>
        <n v="2.17134363E8"/>
        <n v="1.77238616E8"/>
        <n v="1.93250158E8"/>
        <n v="2.94794221E8"/>
        <n v="1.81378504E8"/>
        <n v="1.9997572E8"/>
        <n v="2.29782297E8"/>
        <n v="2.57200599E8"/>
        <n v="2.33377712E8"/>
        <n v="1.92333334E8"/>
        <n v="2.23135459E8"/>
        <n v="2.74852794E8"/>
        <n v="1.86991169E8"/>
        <n v="1.79308593E8"/>
        <n v="3.38702439E8"/>
        <n v="2.16670033E8"/>
        <n v="2.09327593E8"/>
        <n v="2.11060429E8"/>
        <n v="2.37632983E8"/>
        <n v="2.94515154E8"/>
        <n v="2.70665332E8"/>
        <n v="2.32713976E8"/>
        <n v="3.54977198E8"/>
        <m/>
        <n v="2.11652029E8"/>
        <n v="2.38182921E8"/>
        <n v="2.44116235E8"/>
        <n v="2.06355691E8"/>
        <n v="2.28512954E8"/>
        <n v="2.59523888E8"/>
        <n v="2.58077363E8"/>
        <n v="2.46027888E8"/>
        <n v="2.19724716E8"/>
        <n v="2.00950876E8"/>
        <n v="2.12449535E8"/>
        <n v="2.11823044E8"/>
        <n v="2.70740891E8"/>
        <n v="2.52227268E8"/>
        <n v="2.00203196E8"/>
        <n v="2.25972673E8"/>
        <n v="1.95129613E8"/>
        <n v="3.45536167E8"/>
        <n v="3.06671172E8"/>
        <n v="1.79163468E8"/>
        <n v="2.36757172E8"/>
        <n v="1.90869804E8"/>
        <n v="1.92296041E8"/>
        <n v="1.7362024E8"/>
        <n v="2.78118616E8"/>
        <n v="2.2211564E8"/>
        <n v="1.97988475E8"/>
        <n v="2.09392114E8"/>
        <n v="1.76697512E8"/>
        <n v="2.62202312E8"/>
        <n v="2.38221884E8"/>
        <n v="2.20738923E8"/>
        <n v="2.29908939E8"/>
        <n v="1.97294184E8"/>
        <n v="2.49236637E8"/>
        <n v="2.9991912E8"/>
        <n v="3.06792497E8"/>
        <n v="2.68914888E8"/>
        <n v="2.39786001E8"/>
        <n v="2.32761575E8"/>
        <n v="2.46124259E8"/>
        <n v="6.29198569E8"/>
        <n v="2.27355567E8"/>
        <n v="2.10148313E8"/>
        <n v="1.72898027E8"/>
        <n v="1.95761429E8"/>
        <n v="2.27663151E8"/>
        <n v="2.15942528E8"/>
        <n v="2.17849903E8"/>
        <n v="2.04419184E8"/>
        <n v="2.20003032E8"/>
        <n v="1.90031664E8"/>
        <n v="3.14764425E8"/>
        <n v="2.02727202E8"/>
        <n v="2.3138279E8"/>
        <n v="1.99467082E8"/>
        <n v="2.30507383E8"/>
        <n v="2.36898415E8"/>
        <n v="2.36693278E8"/>
        <n v="2.26846382E8"/>
        <n v="2.53620792E8"/>
        <n v="3.63157327E8"/>
        <n v="2.50327878E8"/>
        <n v="3.04536687E8"/>
        <n v="2.08371545E8"/>
        <n v="1.79268271E8"/>
        <n v="2.27267176E8"/>
        <n v="2.56547706E8"/>
        <n v="1.89331016E8"/>
        <n v="2.0306198E8"/>
        <n v="2.29211999E8"/>
        <n v="2.56034815E8"/>
        <n v="2.41670818E8"/>
        <n v="2.16971413E8"/>
        <n v="2.1710758E8"/>
        <n v="2.32502459E8"/>
        <n v="2.22056399E8"/>
        <n v="1.93144113E8"/>
        <n v="2.36153085E8"/>
        <n v="2.12247395E8"/>
        <n v="2.12333169E8"/>
        <n v="3.76657398E8"/>
        <n v="3.24343457E8"/>
        <n v="2.87435926E8"/>
        <n v="2.64430889E8"/>
        <n v="2.78012697E8"/>
        <n v="2.16533127E8"/>
        <n v="2.2514636E8"/>
        <n v="2.10002582E8"/>
        <n v="2.33409612E8"/>
        <n v="2.17047641E8"/>
        <n v="3.11521403E8"/>
        <n v="3.36424182E8"/>
        <n v="2.5446676E8"/>
        <n v="2.3984168E8"/>
        <n v="2.99610298E8"/>
        <n v="2.41985503E8"/>
        <n v="2.39843358E8"/>
        <n v="2.31063669E8"/>
        <n v="2.56163842E8"/>
        <n v="2.25604574E8"/>
        <n v="2.05689327E8"/>
        <n v="2.49420312E8"/>
        <n v="2.5935155E8"/>
        <n v="3.23450305E8"/>
        <n v="3.57230312E8"/>
        <n v="2.41726864E8"/>
        <n v="2.6270103E8"/>
        <n v="2.53689858E8"/>
        <n v="2.55558129E8"/>
        <n v="3.05029077E8"/>
        <n v="2.95597988E8"/>
        <n v="3.18093125E8"/>
        <n v="2.76509748E8"/>
        <n v="2.85218296E8"/>
        <n v="2.07620518E8"/>
        <n v="2.48298794E8"/>
        <n v="2.58424384E8"/>
        <n v="7.41153209E8"/>
        <n v="3.98815949E8"/>
        <n v="4.1754883E8"/>
        <n v="3.51041146E8"/>
        <n v="4.18210067E8"/>
        <n v="4.92894147E8"/>
        <n v="3.98987274E8"/>
        <n v="3.98756507E8"/>
        <n v="4.38202008E8"/>
        <n v="6.25153832E8"/>
        <n v="4.70279031E8"/>
        <n v="4.43795275E8"/>
        <n v="3.7384413E8"/>
        <n v="4.98509417E8"/>
        <n v="3.54056762E8"/>
        <n v="2.67517728E8"/>
        <n v="2.73444095E8"/>
        <n v="2.93586908E8"/>
        <n v="3.68552204E8"/>
        <n v="3.06472776E8"/>
        <n v="3.1204209E8"/>
        <n v="3.62272428E8"/>
        <n v="5.22421914E8"/>
        <n v="3.75563273E8"/>
        <n v="3.75749433E8"/>
        <n v="2.98753965E8"/>
        <n v="3.86618948E8"/>
        <n v="3.59340403E8"/>
        <n v="4.34175607E8"/>
        <n v="3.11176379E8"/>
        <n v="3.0987881E8"/>
        <n v="3.2194181E7"/>
        <n v="3.05817331E8"/>
        <n v="2.67710127E8"/>
        <n v="2.62541595E8"/>
        <n v="3.96373781E8"/>
        <n v="3.06011926E8"/>
        <n v="3.53384918E8"/>
        <n v="2.80522364E8"/>
        <n v="3.04322623E8"/>
        <n v="3.10191008E8"/>
        <n v="2.46926671E8"/>
        <n v="3.32863041E8"/>
        <n v="3.82834178E8"/>
        <n v="4.37627174E8"/>
        <n v="7.1265089E8"/>
        <n v="4.67857329E8"/>
        <n v="4.22358631E8"/>
        <n v="3.32137359E8"/>
        <n v="3.22019985E8"/>
        <n v="3.28275196E8"/>
        <n v="3.35849636E8"/>
        <n v="3.93097292E8"/>
        <n v="4.38699334E8"/>
        <n v="3.71697496E8"/>
        <n v="3.87810061E8"/>
        <n v="3.50579275E8"/>
        <n v="3.06145514E8"/>
        <n v="2.94942271E8"/>
        <n v="3.21801803E8"/>
        <n v="3.28802751E8"/>
        <n v="3.89235107E8"/>
        <n v="2.30291344E8"/>
        <n v="2.71942701E8"/>
        <n v="4.70160392E8"/>
        <n v="2.53086507E8"/>
        <n v="1.86494657E8"/>
        <n v="1.59404542E8"/>
        <n v="3.09665939E8"/>
        <n v="2.86241745E8"/>
        <n v="2.96596655E8"/>
        <n v="2.6937108E8"/>
        <n v="2.77697672E8"/>
        <n v="3.33010535E8"/>
        <n v="2.54365477E8"/>
        <n v="2.607922E8"/>
        <n v="2.98774178E8"/>
        <n v="3.10737078E8"/>
        <n v="2.76539042E8"/>
        <n v="2.71676319E8"/>
        <n v="3.23814108E8"/>
        <n v="2.88829125E8"/>
        <n v="3.00768112E8"/>
        <n v="2.98876314E8"/>
        <n v="3.61082096E8"/>
        <n v="4.63444758E8"/>
        <n v="4.19682627E8"/>
        <n v="3.56908994E8"/>
        <n v="4.1010791E8"/>
        <n v="6.04818027E8"/>
        <n v="4.82272661E8"/>
        <n v="3.18300039E8"/>
        <n v="2.68095127E8"/>
        <n v="2.98510497E8"/>
        <n v="2.63544426E8"/>
        <n v="3.52787419E8"/>
        <n v="2.85985383E8"/>
        <n v="2.92314643E8"/>
        <n v="3.21958549E8"/>
        <n v="6.27041405E8"/>
        <n v="5.21876968E8"/>
        <n v="3.4544024E8"/>
        <n v="2.9150706E8"/>
        <n v="2.89195306E8"/>
        <n v="2.79584955E8"/>
        <n v="3.96846597E8"/>
        <n v="3.85905142E8"/>
        <n v="4.14954476E8"/>
        <n v="3.81080073E8"/>
        <n v="6.44159018E8"/>
        <n v="3.08526309E8"/>
        <n v="3.73220239E8"/>
        <n v="3.7255085E8"/>
        <n v="3.21208766E8"/>
        <n v="3.26569833E8"/>
        <n v="3.52242287E8"/>
        <n v="3.91310519E8"/>
        <n v="3.82996187E8"/>
        <n v="2.94480678E8"/>
        <n v="4.63704896E8"/>
        <n v="3.20250041E8"/>
        <n v="3.26099667E8"/>
        <n v="3.66298049E8"/>
        <n v="3.86193935E8"/>
        <n v="2.94459196E8"/>
        <n v="2.82575496E8"/>
        <n v="3.50446089E8"/>
        <n v="5.27678809E8"/>
        <n v="4.16276981E8"/>
        <n v="3.7957266E8"/>
        <n v="3.86131413E8"/>
        <n v="3.6576007E8"/>
        <n v="3.4902983E8"/>
        <n v="2.66665797E8"/>
        <n v="2.60932608E8"/>
        <n v="3.00467538E8"/>
        <n v="3.5994111E8"/>
        <n v="2.79775726E8"/>
        <n v="2.46006184E8"/>
        <n v="2.89996075E8"/>
        <n v="3.5431504E8"/>
        <n v="3.39653709E8"/>
        <n v="2.60356055E8"/>
        <n v="2.72544486E8"/>
        <n v="3.35196513E8"/>
        <n v="6.04360395E8"/>
        <n v="3.33483764E8"/>
        <n v="5.32630874E8"/>
        <n v="3.80278045E8"/>
        <n v="3.05519934E8"/>
        <n v="2.9904648E8"/>
        <n v="3.37495624E8"/>
        <n v="3.72826025E8"/>
        <n v="3.73028059E8"/>
        <n v="3.87323416E8"/>
        <n v="3.57586433E8"/>
        <n v="3.98122725E8"/>
        <n v="4.14174258E8"/>
        <n v="3.50734572E8"/>
        <n v="4.121092E8"/>
        <n v="4.52096261E8"/>
        <n v="3.81038129E8"/>
        <n v="3.55870667E8"/>
        <n v="5.69030654E8"/>
        <n v="3.74637415E8"/>
        <n v="3.48356214E8"/>
        <n v="5.98308334E8"/>
        <n v="3.18068673E8"/>
        <n v="4.21199867E8"/>
        <n v="4.38879129E8"/>
        <n v="3.15296955E8"/>
        <n v="2.89221904E8"/>
        <n v="4.15206942E8"/>
        <n v="3.0245591E8"/>
        <n v="3.03329445E8"/>
        <n v="3.32181958E8"/>
        <n v="2.83718253E8"/>
        <n v="4.47901993E8"/>
        <n v="3.90294634E8"/>
        <n v="2.95528399E8"/>
        <n v="3.65525622E8"/>
        <n v="4.46933027E8"/>
        <n v="4.42016954E8"/>
        <n v="4.68430388E8"/>
        <n v="2.77620788E8"/>
        <n v="3.00476353E8"/>
        <n v="3.27885018E8"/>
        <n v="4.8016935E8"/>
        <n v="3.03888701E8"/>
        <n v="2.78415889E8"/>
        <n v="3.63197036E8"/>
        <n v="3.40527508E8"/>
        <n v="3.33595172E8"/>
        <n v="5.30720039E8"/>
        <n v="4.64029444E8"/>
        <n v="4.42520253E8"/>
        <n v="3.37571014E8"/>
        <n v="3.17257578E8"/>
        <n v="3.59421182E8"/>
        <n v="3.68788782E8"/>
        <n v="4.80156167E8"/>
        <n v="4.64827734E8"/>
        <n v="4.98258158E8"/>
        <n v="4.46049198E8"/>
        <n v="5.16044335E8"/>
        <n v="4.58931191E8"/>
        <n v="4.13202832E8"/>
        <n v="5.53676897E8"/>
        <n v="5.2267042E8"/>
        <n v="4.82862376E8"/>
        <n v="4.79059399E8"/>
        <n v="5.36694278E8"/>
        <n v="4.99918953E8"/>
        <n v="5.47416246E8"/>
        <n v="5.06556609E8"/>
        <n v="5.17891491E8"/>
        <n v="5.48465787E8"/>
        <n v="4.82471622E8"/>
        <n v="5.38063563E8"/>
        <n v="6.24634647E8"/>
        <n v="5.11541716E8"/>
        <n v="4.70909918E8"/>
        <n v="3.69493161E8"/>
        <n v="4.44715679E8"/>
        <n v="5.57867906E8"/>
        <n v="6.68193449E8"/>
        <n v="6.67079625E8"/>
        <n v="6.84141923E8"/>
        <n v="6.85551267E8"/>
        <n v="5.49954696E8"/>
        <n v="6.4987616E8"/>
        <n v="6.28154431E8"/>
        <n v="4.83038985E8"/>
        <n v="5.08784352E8"/>
        <n v="5.95699267E8"/>
        <n v="4.97214445E8"/>
        <n v="4.12471067E8"/>
        <n v="6.87140326E8"/>
        <n v="5.5143605E8"/>
        <n v="6.24305151E8"/>
        <n v="4.34449776E8"/>
        <n v="4.82013044E8"/>
        <n v="5.19155072E8"/>
        <n v="6.42599183E8"/>
        <n v="1.35676745E9"/>
        <n v="8.82826741E8"/>
        <n v="6.51722255E8"/>
        <n v="6.2905464E8"/>
        <n v="8.44465614E8"/>
        <n v="6.5001728E8"/>
        <n v="7.56848686E8"/>
        <n v="1.305415159E9"/>
        <n v="1.017479514E9"/>
        <n v="9.2852445E8"/>
        <n v="7.33198763E8"/>
        <n v="7.41148639E8"/>
        <n v="5.62017945E8"/>
        <n v="7.3779515E8"/>
        <n v="5.87579191E8"/>
        <n v="5.2739618E8"/>
        <n v="5.33468525E8"/>
        <n v="7.97572398E8"/>
        <n v="8.53440208E8"/>
        <n v="8.67601307E8"/>
        <n v="6.64159887E8"/>
        <n v="7.00481662E8"/>
        <n v="8.1202784E8"/>
        <n v="1.61779004E8"/>
        <n v="9.51722529E8"/>
        <n v="7.2521976E8"/>
        <n v="1.41483725E9"/>
        <n v="8.55338495E8"/>
        <n v="8.23050457E8"/>
        <n v="6.31952071E8"/>
        <n v="6.0335129E8"/>
        <n v="5.62963817E8"/>
        <n v="7.8925436E8"/>
        <n v="5.48979515E8"/>
        <n v="6.59035969E8"/>
        <n v="5.59494025E8"/>
        <n v="5.80154179E8"/>
        <n v="5.14352437E8"/>
        <n v="6.13909679E8"/>
        <n v="6.46661147E8"/>
        <n v="5.57685781E8"/>
        <n v="4.86815185E8"/>
        <n v="5.34289467E8"/>
        <n v="1.201335831E9"/>
        <n v="5.84226618E8"/>
        <n v="6.20479403E8"/>
        <n v="8.04430391E8"/>
        <n v="7.20945335E8"/>
        <n v="6.05789334E8"/>
        <n v="7.47193818E8"/>
        <n v="5.62228745E8"/>
        <n v="6.09221205E8"/>
        <n v="5.99115748E8"/>
        <n v="6.50219487E8"/>
        <n v="9.97655048E8"/>
        <n v="7.52617138E8"/>
        <n v="5.97712516E8"/>
        <n v="4.37703921E8"/>
        <n v="4.99585789E8"/>
        <n v="5.18854651E8"/>
        <n v="6.23049839E8"/>
        <n v="8.1067609E8"/>
        <n v="6.04782354E8"/>
        <n v="4.70290298E8"/>
        <n v="5.20326632E8"/>
        <n v="3.83788556E8"/>
        <n v="4.11084614E8"/>
        <n v="4.26931711E8"/>
        <n v="3.04078039E8"/>
        <n v="4.07697594E8"/>
        <n v="4.28770054E8"/>
        <n v="3.96501419E8"/>
        <n v="4.47818617E8"/>
        <n v="4.4599164E8"/>
        <n v="4.77469878E8"/>
        <n v="6.6062793E8"/>
        <n v="5.00968242E8"/>
        <n v="6.16260555E8"/>
        <n v="6.84352965E8"/>
        <n v="3.95670245E8"/>
        <n v="5.02060615E8"/>
        <n v="4.91609317E8"/>
        <n v="4.43976442E8"/>
        <n v="5.26294513E8"/>
        <n v="8.67653663E8"/>
        <n v="5.93237908E8"/>
        <n v="4.41158138E8"/>
        <n v="4.78484057E8"/>
        <n v="5.1436234E8"/>
        <n v="5.38138743E8"/>
        <n v="7.71278258E8"/>
        <n v="5.37634767E8"/>
        <n v="6.69815788E8"/>
        <n v="5.60430291E8"/>
        <n v="7.5803258E8"/>
        <n v="5.65116236E8"/>
        <n v="4.73475144E8"/>
        <n v="5.25674715E8"/>
        <n v="4.80491557E8"/>
        <n v="4.12399174E8"/>
        <n v="5.01510138E8"/>
        <n v="6.2305327E8"/>
        <n v="4.55412408E8"/>
        <n v="6.77307424E8"/>
        <n v="5.14030605E8"/>
        <n v="5.02875583E8"/>
        <n v="4.91224913E8"/>
        <n v="4.61349973E8"/>
        <n v="5.67990976E8"/>
        <n v="6.09266324E8"/>
        <n v="8.10523106E8"/>
        <n v="6.81148567E8"/>
        <n v="6.96919348E8"/>
        <n v="7.98021596E8"/>
        <n v="1.353209029E9"/>
        <n v="1.811564187E9"/>
        <n v="1.566119057E9"/>
        <n v="1.219079693E9"/>
        <n v="1.344263317E9"/>
        <n v="1.389061775E9"/>
        <n v="8.98523271E8"/>
        <n v="9.36185892E8"/>
        <n v="1.517275761E9"/>
        <n v="9.26508824E8"/>
        <n v="1.0722636E9"/>
        <n v="6.54151814E8"/>
        <n v="7.39354439E8"/>
        <n v="7.38114713E8"/>
        <n v="8.66534643E8"/>
        <n v="8.01923401E8"/>
        <n v="5.93953051E8"/>
        <n v="7.13390935E8"/>
        <n v="5.07509685E8"/>
        <n v="6.97752438E8"/>
        <n v="8.15245226E8"/>
        <n v="8.9756269E8"/>
        <n v="7.43036134E8"/>
        <n v="6.44468815E8"/>
        <n v="8.80159358E8"/>
        <n v="7.20116479E8"/>
        <n v="6.8491052E8"/>
        <n v="7.26364699E8"/>
        <n v="6.55122903E8"/>
        <n v="7.34383388E8"/>
        <n v="6.66650462E8"/>
        <n v="6.59439249E8"/>
        <n v="5.12793298E8"/>
        <n v="6.14548983E8"/>
        <n v="6.5302695E8"/>
        <n v="9.31173802E8"/>
        <n v="6.87487134E8"/>
        <n v="7.25196178E8"/>
        <n v="7.22185448E8"/>
        <n v="7.08740416E8"/>
        <n v="6.09053504E8"/>
        <n v="7.04647074E8"/>
        <n v="8.05458787E8"/>
        <n v="8.46395245E8"/>
        <n v="6.02555564E8"/>
        <n v="5.75857112E8"/>
        <n v="7.72983297E8"/>
        <n v="7.62152894E8"/>
        <n v="6.2230814E8"/>
        <n v="6.31542699E8"/>
        <n v="6.75759336E8"/>
        <n v="6.5495996E8"/>
        <n v="7.63492487E8"/>
        <n v="8.37911425E8"/>
        <n v="9.67005438E8"/>
        <n v="7.94183122E8"/>
        <n v="7.70192848E8"/>
        <n v="7.94664422E8"/>
        <n v="7.75106567E8"/>
        <n v="9.87122302E8"/>
        <n v="9.36485541E8"/>
        <n v="7.5421746E8"/>
        <n v="6.32383068E8"/>
        <n v="7.15453486E8"/>
        <n v="7.96306399E8"/>
        <n v="7.16053036E8"/>
        <n v="8.99895044E8"/>
        <n v="6.8541839E8"/>
        <n v="6.22895963E8"/>
        <n v="8.92096343E8"/>
        <n v="6.85385093E8"/>
        <n v="6.69195109E8"/>
        <n v="8.54799801E8"/>
        <n v="9.94190886E8"/>
        <n v="6.71910159E8"/>
        <n v="5.74544482E8"/>
        <n v="5.5623856E8"/>
        <n v="5.73550127E8"/>
        <n v="5.97423931E8"/>
        <n v="5.25190704E8"/>
        <n v="5.71212914E8"/>
        <n v="6.36764929E8"/>
        <n v="7.67941333E8"/>
        <n v="6.18652409E8"/>
        <n v="5.90705425E8"/>
        <n v="5.54050579E8"/>
        <n v="5.32368699E8"/>
        <n v="7.71998838E8"/>
        <n v="7.65074288E8"/>
        <n v="6.21575333E8"/>
        <n v="6.78935175E8"/>
        <n v="5.88148687E8"/>
        <n v="6.8389135E8"/>
        <n v="6.00726301E8"/>
        <n v="6.77761342E8"/>
        <n v="6.42560311E8"/>
        <n v="6.80929323E8"/>
        <n v="6.25738313E8"/>
        <n v="6.67639446E8"/>
        <n v="6.00374615E8"/>
        <n v="4.52629891E8"/>
        <n v="4.91999534E8"/>
        <n v="5.86084846E8"/>
        <n v="6.0985896E8"/>
        <n v="5.62355175E8"/>
        <n v="6.45109756E8"/>
        <n v="6.33963958E8"/>
        <n v="5.79242492E8"/>
        <n v="6.26217997E8"/>
        <n v="7.9158777E8"/>
        <n v="6.6871917E8"/>
        <n v="5.32900535E8"/>
        <n v="6.38152608E8"/>
        <n v="7.43442521E8"/>
        <n v="7.1977649E8"/>
        <n v="8.06997707E8"/>
        <n v="1.37178945E9"/>
        <n v="7.83769555E8"/>
        <n v="5.93494423E8"/>
        <n v="6.07115212E8"/>
        <n v="6.81338905E8"/>
        <n v="5.60322964E8"/>
        <n v="5.7223935E8"/>
        <n v="7.28880693E8"/>
        <n v="6.79419973E8"/>
        <n v="5.54789157E8"/>
        <n v="6.42270123E8"/>
        <n v="5.06667239E8"/>
        <n v="5.27804775E8"/>
        <n v="5.17729494E8"/>
        <n v="7.64154094E8"/>
        <n v="6.02851737E8"/>
        <n v="6.72249921E8"/>
        <n v="7.14925847E8"/>
        <n v="7.06139506E8"/>
        <n v="5.59597322E8"/>
        <n v="4.72777324E8"/>
        <n v="4.98295735E8"/>
        <n v="4.99343849E8"/>
        <n v="4.47740006E8"/>
        <n v="5.30597393E8"/>
        <n v="5.61444728E8"/>
        <n v="5.13367516E8"/>
        <n v="6.08768573E8"/>
        <n v="6.11079482E8"/>
        <n v="5.22627571E8"/>
        <n v="4.58304851E8"/>
        <n v="5.69245407E8"/>
        <n v="6.08865041E8"/>
        <n v="5.55764762E8"/>
        <n v="5.4142099E8"/>
        <n v="4.53560934E8"/>
        <n v="6.2365814E8"/>
        <n v="5.44901152E8"/>
        <n v="5.02340361E8"/>
        <n v="5.19815905E8"/>
        <n v="6.16318543E8"/>
        <n v="7.04018608E8"/>
        <n v="5.54959844E8"/>
        <n v="5.53672805E8"/>
        <n v="5.68434165E8"/>
        <n v="6.74303605E8"/>
        <n v="6.67290347E8"/>
        <n v="6.32455414E8"/>
        <n v="5.76837602E8"/>
        <n v="5.53449924E8"/>
        <n v="8.47450692E8"/>
        <n v="8.80475468E8"/>
        <n v="6.22017762E8"/>
        <n v="5.13948665E8"/>
        <n v="1.07868139E8"/>
        <n v="7.07676873E8"/>
        <n v="7.31321438E8"/>
        <n v="7.68751782E8"/>
        <n v="6.63997267E8"/>
        <n v="6.33117401E8"/>
        <n v="5.71864976E8"/>
        <n v="6.79005507E8"/>
        <n v="5.49798925E8"/>
        <n v="1.162360673E9"/>
        <n v="5.83633902E8"/>
        <n v="7.17711761E8"/>
        <n v="7.13688035E8"/>
        <n v="6.40514315E8"/>
        <n v="5.91722966E8"/>
        <n v="5.43165361E8"/>
        <n v="5.02605319E8"/>
        <n v="5.53402501E8"/>
        <n v="7.87707481E8"/>
        <n v="5.58390043E8"/>
        <n v="4.97600393E8"/>
        <n v="4.62151091E8"/>
        <n v="4.1600852E8"/>
        <n v="5.19393189E8"/>
        <n v="6.872554E8"/>
        <n v="6.961973E8"/>
        <n v="4.58651819E8"/>
        <n v="4.7136773E8"/>
        <n v="4.0363403E8"/>
        <n v="4.39593961E8"/>
        <n v="3.80681073E8"/>
        <n v="4.52410109E8"/>
        <n v="2.58090905E8"/>
        <n v="4.94999295E8"/>
        <n v="4.92475349E8"/>
        <n v="6.32323316E8"/>
        <n v="5.59173512E8"/>
        <n v="6.13472067E8"/>
        <n v="6.72878543E8"/>
        <n v="9.29566952E8"/>
        <n v="8.73956688E8"/>
        <n v="6.20194977E8"/>
        <n v="7.89557216E8"/>
        <n v="7.62043554E8"/>
        <n v="5.46108304E8"/>
        <n v="6.23069963E8"/>
        <n v="7.04646957E8"/>
        <n v="7.76750347E8"/>
        <n v="6.18631493E8"/>
        <n v="6.60711117E8"/>
        <n v="6.37871621E8"/>
        <n v="7.53206122E8"/>
        <n v="8.70529495E8"/>
        <n v="9.14965225E8"/>
        <n v="8.69477087E8"/>
        <n v="8.84686415E8"/>
        <n v="9.35629058E8"/>
        <n v="6.71242694E8"/>
        <n v="7.13279133E8"/>
        <n v="6.24791133E8"/>
        <n v="5.00122414E8"/>
        <n v="5.71808807E8"/>
        <n v="4.5595972E8"/>
        <n v="6.4854532E8"/>
        <n v="5.04767226E8"/>
        <n v="7.70629541E8"/>
        <n v="7.12213821E8"/>
        <n v="6.09898454E8"/>
        <n v="7.44092809E8"/>
        <n v="4.03754669E8"/>
        <n v="8.03883875E8"/>
        <n v="1.103644519E9"/>
        <n v="5.07302977E8"/>
        <n v="6.21723916E8"/>
        <n v="5.44205583E8"/>
        <n v="5.34850447E8"/>
        <n v="6.40700362E8"/>
        <n v="5.80308065E8"/>
        <n v="6.75271251E8"/>
        <n v="4.04585756E8"/>
        <n v="4.93238854E8"/>
        <n v="4.67473367E8"/>
        <n v="4.37651327E8"/>
        <n v="4.79352147E8"/>
        <n v="5.42216908E8"/>
        <n v="9.19178208E8"/>
        <n v="4.58997059E8"/>
        <n v="4.74150088E8"/>
        <n v="4.56403503E8"/>
        <n v="6.06820996E8"/>
        <n v="4.81000845E8"/>
        <n v="5.94520567E8"/>
        <n v="4.36874691E8"/>
        <n v="4.30028476E8"/>
        <n v="5.0047669E8"/>
        <n v="4.74211156E8"/>
        <n v="4.76382016E8"/>
        <n v="5.03728173E8"/>
        <n v="4.98347599E8"/>
        <n v="6.38475842E8"/>
        <n v="5.88666016E8"/>
        <n v="5.56851211E8"/>
        <n v="5.68568743E8"/>
        <n v="5.03142904E8"/>
        <n v="4.56704716E8"/>
        <n v="5.16985252E8"/>
        <n v="4.76613608E8"/>
        <n v="4.48533329E8"/>
        <n v="4.42211685E8"/>
        <n v="4.53990807E8"/>
        <n v="5.11466673E8"/>
        <n v="5.94744498E8"/>
        <n v="4.43410846E8"/>
        <n v="4.79657079E8"/>
        <n v="4.37261063E8"/>
        <n v="4.45281496E8"/>
        <n v="4.83677266E8"/>
        <n v="5.10598577E8"/>
        <n v="6.16204478E8"/>
        <n v="6.20318215E8"/>
        <n v="6.02738614E8"/>
        <n v="5.34516176E8"/>
        <n v="5.71923125E8"/>
        <n v="5.63293717E8"/>
        <n v="4.67455658E8"/>
        <n v="5.5773047E8"/>
        <n v="5.66722866E8"/>
        <n v="4.17323446E8"/>
        <n v="3.77682051E8"/>
        <n v="6.82374351E8"/>
        <n v="4.5558244E8"/>
        <n v="4.35999456E8"/>
        <n v="4.09562322E8"/>
        <n v="4.28641666E8"/>
        <n v="4.10240584E8"/>
        <n v="4.14162241E8"/>
        <n v="3.93970049E8"/>
        <n v="3.78164658E8"/>
        <n v="4.57855735E8"/>
        <n v="2.98297041E8"/>
        <n v="3.63011297E8"/>
        <n v="3.92862037E8"/>
        <n v="3.23262818E8"/>
        <n v="3.40191175E8"/>
        <n v="3.57649243E8"/>
        <n v="6.40821642E8"/>
        <n v="3.51530072E8"/>
        <n v="3.22237561E8"/>
        <n v="2.87536735E8"/>
        <n v="3.16662241E8"/>
        <n v="3.1461438E8"/>
        <n v="2.55099272E8"/>
        <n v="3.60334724E8"/>
        <n v="2.62386323E8"/>
        <n v="2.24921644E8"/>
        <n v="2.54808999E8"/>
        <n v="2.07032153E8"/>
        <n v="3.91410742E8"/>
        <n v="3.29308646E8"/>
        <n v="3.07928495E8"/>
        <n v="2.43249366E8"/>
        <n v="2.16272488E8"/>
        <n v="2.46676549E8"/>
        <n v="2.39924352E8"/>
        <n v="2.84851049E8"/>
        <n v="2.76298105E8"/>
        <n v="2.42131813E8"/>
        <n v="2.74284165E8"/>
        <n v="2.65250867E8"/>
        <n v="2.94098244E8"/>
        <n v="2.67076679E8"/>
        <n v="3.11012065E8"/>
        <n v="3.18601589E8"/>
        <n v="4.01584915E8"/>
        <n v="4.00021237E8"/>
        <n v="2.44847433E8"/>
        <n v="3.41289658E8"/>
        <n v="4.27337644E8"/>
        <n v="4.18174517E8"/>
        <n v="3.20087281E8"/>
        <n v="2.40452917E8"/>
        <n v="2.87989486E8"/>
        <n v="2.77895886E8"/>
        <n v="2.80181324E8"/>
        <n v="3.21866286E8"/>
        <n v="2.5404933E8"/>
        <n v="2.9738847E8"/>
        <n v="2.51796822E8"/>
        <n v="3.50819323E8"/>
        <n v="2.75597782E8"/>
        <n v="2.75362819E8"/>
        <n v="2.65920141E8"/>
        <n v="2.53530997E8"/>
        <n v="2.17405743E8"/>
        <n v="2.83483108E8"/>
        <n v="4.64390247E8"/>
        <n v="3.01894634E8"/>
        <n v="2.42377518E8"/>
        <n v="2.61373795E8"/>
        <n v="2.28045532E8"/>
        <n v="2.43417811E8"/>
        <n v="2.52652423E8"/>
        <n v="2.41509352E8"/>
        <n v="2.41053924E8"/>
        <n v="2.30354386E8"/>
        <n v="3.88191629E8"/>
        <n v="5.03310763E8"/>
        <n v="5.08285916E8"/>
        <n v="3.39102046E8"/>
        <n v="3.63578479E8"/>
        <n v="2.95191136E8"/>
        <n v="3.20514486E8"/>
        <n v="3.60130853E8"/>
        <n v="2.95714657E8"/>
        <n v="3.97997281E8"/>
        <n v="5.62237732E8"/>
        <n v="3.78592721E8"/>
        <n v="3.05763919E8"/>
        <n v="2.95761839E8"/>
        <n v="4.27000191E8"/>
        <n v="3.9583355E8"/>
        <n v="4.19890959E8"/>
        <n v="3.24066351E8"/>
        <n v="3.75756457E8"/>
        <n v="3.55568313E8"/>
        <n v="5.06679748E8"/>
        <n v="5.3871444E8"/>
        <n v="4.69883515E8"/>
        <n v="3.68230309E8"/>
        <n v="3.71276478E8"/>
        <n v="3.65902008E8"/>
        <n v="3.24748084E8"/>
        <n v="4.18703647E8"/>
        <n v="3.41377869E8"/>
        <n v="3.35248487E8"/>
        <n v="3.74205784E8"/>
        <n v="3.36466864E8"/>
        <n v="2.8119013E8"/>
        <n v="2.96441997E8"/>
        <n v="3.30995982E8"/>
        <n v="4.8520856E7"/>
        <n v="3.38919483E8"/>
        <n v="2.70197527E8"/>
        <n v="2.61446523E8"/>
        <n v="2.32121151E8"/>
        <n v="2.49111898E8"/>
        <n v="2.80428633E8"/>
        <n v="2.67431829E8"/>
        <n v="2.95715938E8"/>
        <n v="2.78425148E8"/>
        <n v="3.56400425E8"/>
        <n v="3.08843255E8"/>
        <n v="2.98052158E8"/>
        <n v="2.55947032E8"/>
        <n v="3.56330009E8"/>
        <n v="3.4888875E8"/>
        <n v="4.97999836E8"/>
        <n v="2.95542125E8"/>
        <n v="2.798675E8"/>
        <n v="2.92526485E8"/>
        <n v="2.31716681E8"/>
        <n v="2.54144221E8"/>
        <n v="2.57791948E8"/>
        <n v="2.37170272E8"/>
        <n v="2.04467484E8"/>
        <n v="2.56560534E8"/>
        <n v="2.70965586E8"/>
        <n v="2.14972109E8"/>
        <n v="2.19496063E8"/>
        <n v="3.54591366E8"/>
        <n v="3.30614079E8"/>
        <n v="2.41030834E8"/>
        <n v="2.07946105E8"/>
        <n v="1.96965302E8"/>
        <n v="1.82564833E8"/>
        <n v="1.44777457E8"/>
        <n v="1.760261E8"/>
        <n v="1.61679423E8"/>
        <n v="3.20831676E8"/>
        <n v="1.6702572E8"/>
        <n v="2.0045643E8"/>
        <n v="2.47437472E8"/>
        <n v="2.51460038E8"/>
        <n v="2.36454824E8"/>
        <n v="2.39338015E8"/>
        <n v="2.32418075E8"/>
        <n v="2.20238796E8"/>
        <n v="2.44974287E8"/>
        <n v="3.03700545E8"/>
        <n v="2.29451608E8"/>
        <n v="2.66702919E8"/>
        <n v="2.27507319E8"/>
        <n v="2.76662654E8"/>
        <n v="2.58094246E8"/>
        <n v="2.77645373E8"/>
        <n v="3.23847388E8"/>
        <n v="3.26515896E8"/>
        <n v="3.95596577E8"/>
        <n v="3.55284285E8"/>
        <n v="3.21660346E8"/>
        <n v="3.86391485E8"/>
        <n v="2.71205907E8"/>
        <n v="2.26614989E8"/>
        <n v="2.6143417E8"/>
        <n v="2.65037933E8"/>
        <n v="2.6852621E8"/>
        <n v="2.36350514E8"/>
        <n v="2.7360644E8"/>
        <n v="2.5314166E8"/>
        <n v="3.0551074E8"/>
        <n v="2.98658142E8"/>
        <n v="2.44549223E8"/>
        <n v="2.32136131E8"/>
        <n v="1.89620888E8"/>
        <n v="2.15183301E8"/>
        <n v="3.00131995E8"/>
        <n v="2.00229631E8"/>
        <n v="4.57967874E8"/>
        <n v="3.29780732E8"/>
        <n v="4.04214666E8"/>
        <n v="5.17723542E8"/>
        <n v="4.42068263E8"/>
        <n v="4.5614304E8"/>
        <n v="5.8540366E8"/>
        <n v="5.43600673E8"/>
        <n v="4.62231428E8"/>
        <n v="4.86445481E8"/>
        <n v="3.43717045E8"/>
        <n v="3.14669685E8"/>
        <n v="3.81631902E8"/>
        <n v="2.59973396E8"/>
        <n v="4.48335248E8"/>
        <n v="2.85451208E8"/>
        <n v="3.38263468E8"/>
        <n v="2.92120348E8"/>
        <n v="2.90280124E8"/>
        <n v="2.37115741E8"/>
        <n v="2.53240837E8"/>
        <n v="2.35149625E8"/>
        <n v="5.05031841E8"/>
        <n v="2.81111679E8"/>
        <n v="2.91773447E8"/>
        <n v="3.45526502E8"/>
        <n v="2.83453612E8"/>
        <n v="3.2882442E8"/>
        <n v="3.08840215E8"/>
        <n v="2.74447433E8"/>
        <n v="2.51701846E8"/>
        <n v="2.6602906E8"/>
        <n v="2.45061941E8"/>
        <n v="3.76130248E8"/>
        <n v="4.01399563E8"/>
        <n v="2.86069736E8"/>
        <n v="2.85200022E8"/>
        <n v="2.6273974E8"/>
        <n v="2.75685925E8"/>
        <n v="2.61065753E8"/>
        <n v="2.6514048E8"/>
        <n v="3.12914417E8"/>
        <n v="3.36243642E8"/>
        <n v="2.78155513E8"/>
        <n v="3.10632799E8"/>
        <n v="2.65793403E8"/>
        <n v="3.00527719E8"/>
        <n v="2.8840295E8"/>
        <n v="2.830612E8"/>
        <n v="2.84294438E8"/>
        <n v="3.14921678E8"/>
        <n v="3.6913554E8"/>
        <n v="2.17646558E8"/>
        <n v="2.95687774E8"/>
        <n v="2.90441105E8"/>
        <n v="3.13876082E8"/>
        <n v="2.52402013E8"/>
        <n v="2.93829853E8"/>
        <n v="2.49778296E8"/>
        <n v="2.43342347E8"/>
        <n v="3.14305739E8"/>
        <n v="2.74064956E8"/>
        <n v="2.51400757E8"/>
        <n v="6.5161361E8"/>
        <n v="2.49619038E8"/>
        <n v="2.35958283E8"/>
        <n v="2.45514871E8"/>
        <n v="2.33589132E8"/>
        <n v="2.33814633E8"/>
        <n v="2.43481044E8"/>
        <n v="2.04954394E8"/>
        <n v="1.89680523E8"/>
        <n v="2.25534385E8"/>
        <n v="2.25425862E8"/>
        <n v="1.83011236E8"/>
        <n v="2.64735957E8"/>
        <n v="3.42629997E8"/>
        <n v="2.60022438E8"/>
        <n v="2.62794687E8"/>
        <n v="2.20889589E8"/>
        <n v="2.5917181E8"/>
        <n v="2.19599372E8"/>
        <n v="2.10932505E8"/>
        <n v="2.51865155E8"/>
        <n v="4.44949551E8"/>
        <n v="3.06027777E8"/>
        <n v="3.64090131E8"/>
        <n v="3.04328467E8"/>
        <n v="2.54164463E8"/>
        <n v="2.883753E8"/>
        <n v="2.64615218E8"/>
        <n v="2.81102369E8"/>
        <n v="2.55915072E8"/>
        <n v="2.08648707E8"/>
        <n v="2.332641E8"/>
        <n v="2.28603433E8"/>
        <n v="2.05768079E8"/>
        <n v="2.2774485E8"/>
        <n v="2.22630928E8"/>
        <n v="2.84359582E8"/>
        <n v="2.43625339E8"/>
        <n v="1.90906776E8"/>
        <n v="2.11392171E8"/>
        <n v="2.08208122E8"/>
        <n v="1.8521097E8"/>
        <n v="3.76256315E8"/>
        <n v="4.36059722E8"/>
        <n v="3.81532671E8"/>
        <n v="3.33639093E8"/>
        <n v="2.85414666E8"/>
        <n v="3.24981426E8"/>
        <n v="3.55310802E8"/>
        <n v="2.56994113E8"/>
        <n v="3.12716544E8"/>
        <n v="3.11247237E8"/>
        <n v="3.03872483E8"/>
        <n v="2.78042725E8"/>
        <n v="2.62768582E8"/>
        <n v="2.63914197E8"/>
        <n v="2.95627263E8"/>
        <n v="2.87559133E8"/>
        <n v="2.85616338E8"/>
        <n v="2.61953239E8"/>
        <n v="2.30181848E8"/>
        <n v="2.66636238E8"/>
        <n v="2.44854637E8"/>
        <n v="3.24687477E8"/>
        <n v="3.08526598E8"/>
        <n v="2.56268616E8"/>
        <n v="2.30309013E8"/>
        <n v="2.51204527E8"/>
        <n v="3.54137885E8"/>
        <n v="2.79845682E8"/>
        <n v="2.70299618E8"/>
        <n v="2.28242025E8"/>
        <n v="2.59922741E8"/>
        <n v="3.65866933E8"/>
        <n v="2.89637528E8"/>
        <n v="4.68464263E8"/>
        <n v="2.58329581E8"/>
        <n v="2.63100874E8"/>
        <n v="2.45532498E8"/>
        <n v="2.84094023E8"/>
        <n v="3.90754862E8"/>
        <n v="4.92002942E8"/>
        <n v="3.59895458E8"/>
        <n v="3.23922457E8"/>
        <n v="3.4003438E8"/>
        <n v="3.80204763E8"/>
        <n v="2.85850587E8"/>
        <n v="2.31601639E8"/>
        <n v="2.6823932E8"/>
        <n v="2.16273136E8"/>
        <n v="2.34005512E8"/>
        <n v="2.82617982E8"/>
        <n v="2.56037322E8"/>
        <n v="2.66438674E8"/>
        <n v="2.26997138E8"/>
        <n v="2.12223419E8"/>
        <n v="2.3949363E8"/>
        <n v="2.10480869E8"/>
        <n v="2.49604832E8"/>
        <n v="2.7770268E8"/>
        <n v="4.5029477E7"/>
        <n v="2.51358203E8"/>
        <n v="3.24649088E8"/>
        <n v="2.50030113E8"/>
        <n v="2.27174539E8"/>
        <n v="3.49924808E8"/>
        <n v="2.70878019E8"/>
        <n v="2.12968291E8"/>
        <n v="2.67941526E8"/>
        <n v="3.14758398E8"/>
        <n v="3.07155149E8"/>
        <n v="2.56451785E8"/>
        <n v="3.78469072E8"/>
        <n v="3.01401961E8"/>
        <n v="2.50926391E8"/>
        <n v="2.19268992E8"/>
        <n v="2.0051291E8"/>
        <n v="1.98794846E8"/>
        <n v="2.13794598E8"/>
        <n v="1.77681099E8"/>
        <n v="1.78791087E8"/>
        <n v="2.04044559E8"/>
        <n v="2.05876043E8"/>
        <n v="2.06468884E8"/>
        <n v="1.95255179E8"/>
        <n v="3.45636288E8"/>
        <n v="3.24955829E8"/>
        <n v="2.54401004E8"/>
        <n v="2.88393766E8"/>
        <n v="2.1777709E8"/>
        <n v="2.0050172E8"/>
        <n v="2.02811256E8"/>
        <n v="2.15839572E8"/>
        <n v="1.93883468E8"/>
        <n v="1.87585567E8"/>
        <n v="2.08030337E8"/>
        <n v="1.83127544E8"/>
        <n v="2.77650193E8"/>
        <n v="1.54847475E8"/>
        <n v="1.69041783E8"/>
        <n v="1.87594274E8"/>
        <n v="1.9569965E8"/>
        <n v="2.21454773E8"/>
        <n v="1.76652342E8"/>
        <n v="2.14257094E8"/>
        <n v="1.93873167E8"/>
        <n v="2.81052828E8"/>
        <n v="1.92005563E8"/>
        <n v="2.56073979E8"/>
        <n v="2.08699772E8"/>
        <n v="2.35162202E8"/>
        <n v="2.69949738E8"/>
        <n v="2.38220578E8"/>
        <n v="2.57237669E8"/>
        <n v="2.83277918E8"/>
        <n v="2.59853294E8"/>
        <n v="2.2776906E8"/>
        <n v="2.56700729E8"/>
        <n v="2.06195816E8"/>
        <n v="2.19055125E8"/>
        <n v="2.55840928E8"/>
        <n v="2.37833991E8"/>
        <n v="2.37225269E8"/>
        <n v="2.02460434E8"/>
        <n v="2.16910302E8"/>
        <n v="2.57227052E8"/>
        <n v="4.76342611E8"/>
        <n v="4.32434028E8"/>
        <n v="3.98338541E8"/>
        <n v="5.12870802E8"/>
        <n v="4.90113567E8"/>
        <n v="4.24123037E8"/>
        <n v="2.8254479E8"/>
        <n v="3.54395693E8"/>
        <n v="2.90994265E8"/>
        <n v="2.60854055E8"/>
        <n v="2.31991834E8"/>
        <n v="2.31276483E8"/>
        <n v="2.44512944E8"/>
        <n v="2.292738E8"/>
        <n v="2.30246175E8"/>
        <n v="2.08053929E8"/>
        <n v="1.74563233E8"/>
        <n v="1.98248205E8"/>
        <n v="2.04021979E8"/>
        <n v="2.40807918E8"/>
        <n v="2.09406363E8"/>
        <n v="2.46448847E8"/>
        <n v="4.20881259E8"/>
        <n v="2.72881409E8"/>
        <n v="3.10669094E8"/>
        <n v="3.56169518E8"/>
        <n v="3.62801096E8"/>
        <n v="2.67041402E8"/>
        <n v="2.62352056E8"/>
        <n v="2.3592757E8"/>
        <n v="2.54914657E8"/>
        <n v="2.906042E8"/>
        <n v="2.4818897E8"/>
        <n v="3.49820607E8"/>
        <n v="4.08121255E8"/>
        <n v="2.41777405E8"/>
        <n v="2.46737873E8"/>
        <n v="1.85700457E8"/>
        <n v="2.19171517E8"/>
        <n v="2.28038299E8"/>
        <n v="2.1841867E8"/>
        <n v="2.38840919E8"/>
        <n v="3.45911087E8"/>
        <n v="2.63889033E8"/>
        <n v="2.30170687E8"/>
        <n v="2.48345193E8"/>
        <n v="2.42708337E8"/>
        <n v="2.54819382E8"/>
        <n v="3.04263454E8"/>
        <n v="2.32816318E8"/>
        <n v="2.85764798E8"/>
        <n v="3.57401212E8"/>
        <n v="2.5885669E8"/>
        <n v="2.81463379E8"/>
        <n v="2.15103396E8"/>
        <n v="2.30156645E8"/>
        <n v="2.55740393E8"/>
        <n v="2.97445999E8"/>
        <n v="2.33008677E8"/>
        <n v="2.4143466E8"/>
        <n v="2.90263674E8"/>
        <n v="2.65216308E8"/>
        <n v="2.26171254E8"/>
        <n v="2.26643581E8"/>
        <n v="2.39702311E8"/>
        <n v="2.28399379E8"/>
        <n v="2.45368649E8"/>
        <n v="2.20450874E8"/>
        <n v="2.48932544E8"/>
        <n v="2.41702589E8"/>
        <n v="2.16088535E8"/>
        <n v="2.19490491E8"/>
        <n v="2.2989851E8"/>
        <n v="2.72103515E8"/>
        <n v="2.60898407E8"/>
        <n v="2.62560942E8"/>
        <n v="2.70354216E8"/>
        <n v="2.32621507E8"/>
        <n v="2.35915651E8"/>
        <n v="1.98668359E8"/>
        <n v="2.65323978E8"/>
        <n v="2.34391323E8"/>
        <n v="6.96495765E8"/>
        <n v="2.65630759E8"/>
        <n v="2.70923679E8"/>
        <n v="2.56111496E8"/>
        <n v="2.20789926E8"/>
        <n v="2.60109671E8"/>
        <n v="2.86468927E8"/>
        <n v="2.21760885E8"/>
        <n v="1.79463966E8"/>
        <n v="2.33167883E8"/>
        <n v="2.61354575E8"/>
        <n v="2.63004991E8"/>
        <n v="2.72771256E8"/>
        <n v="2.19815214E8"/>
        <n v="2.11649257E8"/>
        <n v="2.17481345E8"/>
        <n v="2.52697871E8"/>
        <n v="2.10562119E8"/>
        <n v="1.71271325E8"/>
        <n v="2.22464605E8"/>
        <n v="3.98782019E8"/>
        <n v="2.47906587E8"/>
        <n v="2.26050219E8"/>
        <n v="2.26916635E8"/>
        <n v="2.24418797E8"/>
        <n v="2.68261285E8"/>
        <n v="2.37102566E8"/>
        <n v="2.68246132E8"/>
        <n v="2.51263638E8"/>
        <n v="3.27941559E8"/>
        <n v="3.10442517E8"/>
        <n v="2.91165841E8"/>
        <n v="2.68707894E8"/>
        <n v="2.86353897E8"/>
        <n v="2.59660464E8"/>
        <n v="2.74698867E8"/>
        <n v="3.12461795E8"/>
        <n v="2.65562151E8"/>
        <n v="3.69653496E8"/>
        <n v="2.44747425E8"/>
        <n v="3.34891351E8"/>
        <n v="2.58671382E8"/>
        <n v="2.95053318E8"/>
        <n v="2.98048161E8"/>
        <n v="2.90666798E8"/>
        <n v="3.15688612E8"/>
        <n v="2.80799561E8"/>
        <n v="2.16586074E8"/>
        <n v="2.60294052E8"/>
        <n v="2.66495074E8"/>
        <n v="3.12193785E8"/>
        <n v="2.35524048E8"/>
        <n v="2.43850815E8"/>
        <n v="2.2662723E8"/>
        <n v="2.68663456E8"/>
        <n v="2.56142364E8"/>
        <n v="2.62589133E8"/>
        <n v="2.08704354E8"/>
        <n v="2.25214991E8"/>
        <n v="2.68256859E8"/>
        <n v="4.66518217E8"/>
        <n v="2.48178769E8"/>
        <n v="3.07388116E8"/>
        <n v="2.33004568E8"/>
        <n v="5.62557215E8"/>
        <n v="3.72502191E8"/>
        <n v="3.96071122E8"/>
        <n v="3.03958622E8"/>
        <n v="5.12974083E8"/>
        <n v="3.04929822E8"/>
        <n v="2.88093693E8"/>
        <n v="2.4876313E8"/>
        <n v="3.28064239E8"/>
        <n v="2.51394599E8"/>
        <n v="2.75111881E8"/>
        <n v="4.38185104E8"/>
        <n v="2.64870758E8"/>
        <n v="3.78065882E8"/>
        <n v="2.7513226E8"/>
        <n v="2.46410075E8"/>
        <n v="1.88398392E8"/>
        <n v="2.04869058E8"/>
        <n v="2.03559874E8"/>
        <n v="3.52810261E8"/>
        <n v="2.43508919E8"/>
        <n v="2.21719625E8"/>
        <n v="2.7714831E8"/>
        <n v="2.34865323E8"/>
        <n v="1.59051277E8"/>
        <n v="1.650948E8"/>
        <n v="2.16559447E8"/>
        <n v="2.1372973E8"/>
        <n v="2.17904144E8"/>
        <n v="2.54955979E8"/>
        <n v="1.80964341E8"/>
        <n v="1.85846716E8"/>
        <n v="1.98942937E8"/>
        <n v="2.30312163E8"/>
        <n v="1.98341255E8"/>
        <n v="1.76044288E8"/>
        <n v="2.25291741E8"/>
        <n v="3.00356469E8"/>
        <n v="2.05201044E8"/>
        <n v="1.80132492E8"/>
        <n v="2.06049341E8"/>
        <n v="1.94103279E8"/>
        <n v="2.45595109E8"/>
        <n v="1.89516123E8"/>
        <n v="1.80690631E8"/>
        <n v="1.98660124E8"/>
        <n v="1.94967997E8"/>
        <n v="2.08418472E8"/>
        <n v="1.52215785E8"/>
        <n v="3.7311902E7"/>
        <n v="1.89275733E8"/>
        <n v="2.91464988E8"/>
        <n v="2.82686669E8"/>
        <n v="2.36827462E8"/>
        <n v="1.73780543E8"/>
        <n v="1.94969012E8"/>
        <n v="1.84497984E8"/>
        <n v="1.70024085E8"/>
        <n v="1.45895044E8"/>
        <n v="2.29595031E8"/>
        <n v="2.36241768E8"/>
        <n v="4.86585349E8"/>
        <n v="2.65812566E8"/>
        <n v="3.81107418E8"/>
        <n v="4.2100835E8"/>
        <n v="3.59212958E8"/>
        <n v="2.74985308E8"/>
        <n v="2.92440768E8"/>
        <n v="2.12921451E8"/>
        <n v="2.44867128E8"/>
        <n v="2.60269318E8"/>
        <n v="3.34410589E8"/>
        <n v="5.08761756E8"/>
        <n v="2.49668965E8"/>
        <n v="2.49750062E8"/>
        <n v="3.63886229E8"/>
        <n v="2.77548079E8"/>
        <n v="2.84708918E8"/>
        <n v="2.19467748E8"/>
        <n v="2.56542963E8"/>
        <n v="3.93080755E8"/>
        <n v="2.70922276E8"/>
        <n v="1.53995217E8"/>
        <n v="2.63711568E8"/>
        <n v="3.11933117E8"/>
        <n v="3.39172697E8"/>
        <n v="3.09303266E8"/>
        <n v="2.31452935E8"/>
        <n v="2.28568589E8"/>
        <n v="2.16991926E8"/>
        <n v="2.12453866E8"/>
        <n v="2.94678459E8"/>
        <n v="3.45543523E8"/>
        <n v="2.92433764E8"/>
        <n v="4.55999867E8"/>
        <n v="3.87341268E8"/>
        <n v="3.43055124E8"/>
        <n v="1.6207374E8"/>
        <n v="4.49718534E8"/>
        <n v="4.07460664E8"/>
        <n v="4.18143077E8"/>
        <n v="3.76702289E8"/>
        <n v="3.75137333E8"/>
        <n v="4.10583065E8"/>
        <n v="3.32541208E8"/>
        <n v="4.42794738E8"/>
        <n v="4.40849699E8"/>
        <n v="3.70968111E8"/>
        <n v="3.46263704E8"/>
        <n v="4.91069786E8"/>
        <n v="3.4922285E8"/>
        <n v="2.87436165E8"/>
        <n v="3.65785766E8"/>
        <n v="3.59120861E8"/>
        <n v="3.45394395E8"/>
        <n v="2.18252325E8"/>
        <n v="2.95705319E8"/>
        <n v="3.64545679E8"/>
        <n v="3.43495136E8"/>
        <n v="2.25983194E8"/>
        <n v="2.07775504E8"/>
        <n v="2.52199186E8"/>
        <n v="2.02952371E8"/>
        <n v="3.60165824E8"/>
        <n v="3.51503075E8"/>
        <n v="3.5763814E7"/>
        <n v="2.98794435E8"/>
        <n v="2.96153036E8"/>
        <n v="3.1226256E8"/>
        <n v="3.79865142E8"/>
        <n v="2.77897373E8"/>
        <n v="2.99201167E8"/>
        <n v="4.93341697E8"/>
        <n v="4.2674246E8"/>
        <n v="6.61460455E8"/>
        <n v="3.56321519E8"/>
        <n v="3.44157465E8"/>
        <n v="3.12414696E8"/>
        <n v="3.53172434E8"/>
        <n v="3.88656439E8"/>
        <n v="3.28403719E8"/>
        <n v="4.09136866E8"/>
        <n v="4.07422815E8"/>
        <n v="2.43637071E8"/>
        <n v="2.89524237E8"/>
        <n v="3.09647491E8"/>
        <n v="4.00986156E8"/>
        <n v="2.42244731E8"/>
        <n v="2.27633561E8"/>
        <n v="2.32356772E8"/>
      </sharedItems>
    </cacheField>
    <cacheField name="Turnover (â‚¹ Cr)" numFmtId="0">
      <sharedItems containsString="0" containsBlank="1" containsNumber="1">
        <n v="9376.17"/>
        <n v="7153.47"/>
        <n v="1123.44"/>
        <n v="7731.55"/>
        <n v="6871.15"/>
        <n v="6367.14"/>
        <n v="6112.32"/>
        <n v="7410.15"/>
        <n v="7298.01"/>
        <n v="6099.09"/>
        <n v="6686.27"/>
        <n v="11054.04"/>
        <n v="7068.72"/>
        <n v="15368.67"/>
        <n v="6796.67"/>
        <n v="6242.53"/>
        <n v="5636.41"/>
        <n v="7758.36"/>
        <n v="6403.97"/>
        <n v="5986.06"/>
        <n v="6599.6"/>
        <n v="6492.02"/>
        <n v="6894.44"/>
        <n v="6290.42"/>
        <n v="6152.14"/>
        <n v="6703.76"/>
        <n v="7367.15"/>
        <n v="8074.5"/>
        <n v="5558.38"/>
        <n v="5028.11"/>
        <n v="4663.45"/>
        <n v="3383.99"/>
        <n v="5755.48"/>
        <n v="4950.36"/>
        <n v="4392.87"/>
        <n v="6780.85"/>
        <n v="2613.91"/>
        <n v="5897.08"/>
        <n v="5948.51"/>
        <n v="6722.17"/>
        <n v="7803.21"/>
        <n v="6753.57"/>
        <n v="7327.15"/>
        <n v="7071.48"/>
        <n v="9585.17"/>
        <n v="9246.75"/>
        <n v="8279.07"/>
        <n v="8431.56"/>
        <n v="7038.84"/>
        <n v="8794.16"/>
        <n v="9401.16"/>
        <n v="7666.39"/>
        <n v="5910.99"/>
        <n v="6834.77"/>
        <n v="10049.88"/>
        <n v="11277.33"/>
        <n v="8209.5"/>
        <n v="8030.99"/>
        <n v="6748.17"/>
        <n v="7465.35"/>
        <n v="8628.24"/>
        <n v="5746.45"/>
        <n v="7415.13"/>
        <n v="8129.65"/>
        <n v="9250.27"/>
        <n v="11062.63"/>
        <n v="10204.34"/>
        <n v="7638.39"/>
        <n v="7686.32"/>
        <n v="8051.51"/>
        <n v="6156.58"/>
        <n v="5832.89"/>
        <n v="6433.16"/>
        <n v="6497.18"/>
        <n v="9090.16"/>
        <n v="6880.96"/>
        <n v="15992.15"/>
        <n v="9896.58"/>
        <n v="10983.06"/>
        <n v="9255.43"/>
        <n v="8135.06"/>
        <n v="8417.86"/>
        <n v="9036.29"/>
        <n v="8875.92"/>
        <n v="7558.55"/>
        <n v="6330.45"/>
        <n v="7577.78"/>
        <n v="7102.59"/>
        <n v="9539.89"/>
        <n v="9971.59"/>
        <n v="8381.51"/>
        <n v="8628.05"/>
        <n v="7612.54"/>
        <n v="10102.36"/>
        <n v="10474.75"/>
        <n v="9908.6"/>
        <n v="15918.74"/>
        <n v="8118.47"/>
        <n v="6506.44"/>
        <n v="8412.34"/>
        <n v="6802.69"/>
        <n v="7709.23"/>
        <n v="5981.23"/>
        <n v="7055.61"/>
        <n v="6945.44"/>
        <n v="10071.44"/>
        <n v="10356.03"/>
        <n v="10069.83"/>
        <n v="9613.3"/>
        <n v="7714.04"/>
        <n v="7362.13"/>
        <n v="9686.21"/>
        <n v="9669.04"/>
        <n v="14943.3"/>
        <n v="9872.58"/>
        <n v="6079.16"/>
        <n v="8536.83"/>
        <n v="7816.27"/>
        <n v="8089.45"/>
        <n v="6296.51"/>
        <n v="7559.77"/>
        <n v="7306.72"/>
        <n v="9394.05"/>
        <n v="7171.91"/>
        <n v="10152.08"/>
        <n v="7790.24"/>
        <n v="8195.95"/>
        <n v="7333.13"/>
        <n v="7163.38"/>
        <n v="6798.89"/>
        <n v="7141.74"/>
        <n v="6119.23"/>
        <n v="8202.39"/>
        <n v="12422.0"/>
        <n v="10607.22"/>
        <n v="9199.38"/>
        <n v="21491.53"/>
        <n v="8408.53"/>
        <n v="8389.69"/>
        <n v="10762.52"/>
        <n v="7657.92"/>
        <n v="10462.49"/>
        <n v="7614.02"/>
        <n v="7973.1"/>
        <n v="7853.83"/>
        <n v="7343.99"/>
        <n v="6003.23"/>
        <n v="6945.89"/>
        <n v="7764.57"/>
        <n v="7741.9"/>
        <n v="7392.97"/>
        <n v="5978.26"/>
        <n v="6377.69"/>
        <n v="6805.86"/>
        <n v="13263.08"/>
        <n v="7614.06"/>
        <n v="7777.39"/>
        <n v="6940.87"/>
        <n v="12346.32"/>
        <n v="7358.38"/>
        <n v="6662.92"/>
        <n v="5976.01"/>
        <n v="7592.94"/>
        <n v="6886.33"/>
        <n v="7576.69"/>
        <n v="7873.74"/>
        <n v="8284.38"/>
        <n v="6890.07"/>
        <n v="12375.84"/>
        <n v="8200.06"/>
        <n v="7928.14"/>
        <n v="7936.36"/>
        <n v="7399.71"/>
        <n v="6504.0"/>
        <n v="7850.12"/>
        <n v="8765.45"/>
        <n v="10885.88"/>
        <n v="12998.06"/>
        <n v="8428.8"/>
        <n v="9881.67"/>
        <n v="8652.31"/>
        <n v="8507.82"/>
        <n v="7399.03"/>
        <n v="7635.01"/>
        <n v="7862.15"/>
        <n v="9111.4"/>
        <n v="8206.18"/>
        <n v="8634.8"/>
        <n v="11998.86"/>
        <n v="10937.35"/>
        <n v="8161.38"/>
        <n v="7900.6"/>
        <n v="8354.88"/>
        <n v="7394.57"/>
        <n v="7309.82"/>
        <n v="7199.72"/>
        <n v="10508.32"/>
        <n v="7153.37"/>
        <n v="6857.99"/>
        <n v="8392.76"/>
        <n v="22534.29"/>
        <n v="9653.93"/>
        <n v="8231.93"/>
        <n v="9571.31"/>
        <n v="11430.95"/>
        <n v="10773.98"/>
        <n v="9976.28"/>
        <n v="9248.73"/>
        <n v="9112.57"/>
        <n v="7347.34"/>
        <n v="14430.63"/>
        <n v="7364.64"/>
        <n v="7035.07"/>
        <n v="7572.41"/>
        <n v="9305.56"/>
        <n v="9793.98"/>
        <n v="8518.5"/>
        <n v="7446.12"/>
        <n v="8348.19"/>
        <n v="19467.3"/>
        <n v="8849.27"/>
        <n v="7173.62"/>
        <n v="8251.59"/>
        <n v="6866.33"/>
        <n v="8114.93"/>
        <n v="8144.3"/>
        <n v="5159.83"/>
        <n v="10581.55"/>
        <n v="9613.47"/>
        <n v="8590.35"/>
        <n v="9162.11"/>
        <n v="7790.01"/>
        <n v="7120.32"/>
        <n v="8022.44"/>
        <n v="6876.28"/>
        <n v="8718.02"/>
        <n v="9696.9"/>
        <n v="12300.53"/>
        <n v="8953.72"/>
        <n v="805.89"/>
        <n v="8441.3"/>
        <n v="7683.07"/>
        <n v="7558.06"/>
        <n v="11798.48"/>
        <n v="8436.7"/>
        <n v="8515.57"/>
        <n v="15536.37"/>
        <n v="12386.39"/>
        <n v="12485.11"/>
        <n v="17387.22"/>
        <n v="13705.03"/>
        <n v="8713.06"/>
        <n v="7901.64"/>
        <n v="9199.11"/>
        <n v="9000.44"/>
        <n v="8681.67"/>
        <n v="11868.11"/>
        <n v="8920.79"/>
        <n v="8666.87"/>
        <n v="8486.32"/>
        <n v="14473.78"/>
        <n v="7720.96"/>
        <n v="8050.5"/>
        <n v="6432.02"/>
        <n v="5417.56"/>
        <n v="7900.03"/>
        <n v="7275.01"/>
        <n v="6866.81"/>
        <n v="5026.02"/>
        <n v="8976.54"/>
        <n v="6763.63"/>
        <n v="8579.44"/>
        <n v="9854.07"/>
        <n v="5272.2"/>
        <n v="6296.67"/>
        <n v="6304.6"/>
        <n v="6206.58"/>
        <n v="5907.28"/>
        <n v="4808.67"/>
        <n v="5282.66"/>
        <n v="5816.34"/>
        <n v="7635.4"/>
        <n v="5800.7"/>
        <n v="5255.49"/>
        <n v="6053.67"/>
        <n v="6543.13"/>
        <n v="8180.68"/>
        <n v="7298.74"/>
        <n v="5197.62"/>
        <n v="6904.57"/>
        <n v="8938.68"/>
        <n v="7359.24"/>
        <n v="9156.16"/>
        <n v="6043.67"/>
        <n v="6389.21"/>
        <n v="7411.23"/>
        <n v="7324.14"/>
        <n v="9014.51"/>
        <n v="8664.94"/>
        <n v="8524.17"/>
        <n v="13901.89"/>
        <n v="11568.92"/>
        <n v="9333.49"/>
        <n v="14721.17"/>
        <n v="13494.05"/>
        <n v="11555.02"/>
        <n v="8193.45"/>
        <n v="8701.51"/>
        <n v="9060.63"/>
        <n v="9110.24"/>
        <n v="8972.67"/>
        <n v="10320.17"/>
        <n v="8659.48"/>
        <n v="8494.44"/>
        <n v="10472.37"/>
        <n v="9695.63"/>
        <n v="23432.58"/>
        <n v="7833.53"/>
        <n v="8863.71"/>
        <n v="13514.08"/>
        <n v="17243.08"/>
        <n v="10388.83"/>
        <n v="13819.57"/>
        <n v="9681.99"/>
        <n v="10075.19"/>
        <n v="9783.57"/>
        <n v="8955.06"/>
        <n v="8149.28"/>
        <n v="9489.36"/>
        <n v="8493.21"/>
        <n v="7385.28"/>
        <n v="14087.57"/>
        <n v="9671.51"/>
        <n v="9275.05"/>
        <n v="13226.29"/>
        <n v="9251.16"/>
        <n v="10191.6"/>
        <n v="10065.92"/>
        <n v="8699.36"/>
        <n v="8853.03"/>
        <n v="8921.57"/>
        <n v="8139.28"/>
        <n v="11089.43"/>
        <n v="15585.42"/>
        <n v="10955.05"/>
        <n v="8337.06"/>
        <n v="11461.96"/>
        <n v="10332.6"/>
        <n v="10217.13"/>
        <n v="8140.08"/>
        <n v="9385.2"/>
        <n v="8412.97"/>
        <n v="8908.17"/>
        <n v="6473.27"/>
        <n v="8527.5"/>
        <n v="8950.27"/>
        <n v="8843.5"/>
        <n v="8476.63"/>
        <n v="9720.75"/>
        <n v="10426.02"/>
        <n v="10483.32"/>
        <n v="12910.38"/>
        <n v="8673.32"/>
        <n v="9110.59"/>
        <n v="7975.14"/>
        <n v="12379.74"/>
        <n v="10466.68"/>
        <n v="8300.22"/>
        <n v="7504.66"/>
        <n v="8619.06"/>
        <n v="9289.89"/>
        <n v="9813.47"/>
        <n v="7790.97"/>
        <n v="9209.89"/>
        <n v="10726.23"/>
        <n v="10782.46"/>
        <n v="11544.77"/>
        <n v="9432.97"/>
        <n v="11553.27"/>
        <n v="11045.95"/>
        <n v="16964.26"/>
        <n v="11204.36"/>
        <n v="12484.61"/>
        <n v="9765.4"/>
        <n v="19605.94"/>
        <n v="9482.61"/>
        <n v="8564.3"/>
        <n v="7192.24"/>
        <n v="8416.55"/>
        <n v="8989.36"/>
        <n v="8822.63"/>
        <n v="9078.71"/>
        <n v="7686.89"/>
        <n v="7056.83"/>
        <n v="10540.68"/>
        <n v="9868.08"/>
        <n v="11920.62"/>
        <n v="8144.36"/>
        <n v="8476.67"/>
        <n v="8023.4"/>
        <n v="10738.45"/>
        <n v="9092.74"/>
        <n v="11084.51"/>
        <n v="9103.73"/>
        <n v="13395.85"/>
        <n v="8783.59"/>
        <n v="8720.76"/>
        <n v="7774.69"/>
        <n v="7311.1"/>
        <n v="7539.21"/>
        <n v="8514.53"/>
        <n v="1920.78"/>
        <n v="9908.41"/>
        <n v="7966.44"/>
        <n v="10244.56"/>
        <n v="9187.71"/>
        <n v="8310.48"/>
        <n v="13184.22"/>
        <n v="10935.6"/>
        <n v="8942.56"/>
        <n v="11860.28"/>
        <n v="10837.2"/>
        <n v="10491.32"/>
        <n v="11403.3"/>
        <n v="18601.99"/>
        <n v="11996.8"/>
        <n v="13131.89"/>
        <n v="11515.29"/>
        <n v="9165.92"/>
        <n v="10714.1"/>
        <n v="10397.88"/>
        <n v="7827.95"/>
        <n v="10780.41"/>
        <n v="8831.72"/>
        <n v="12040.13"/>
        <n v="13435.56"/>
        <n v="9486.82"/>
        <n v="10815.38"/>
        <n v="9927.47"/>
        <n v="15636.16"/>
        <n v="11764.0"/>
        <n v="9850.89"/>
        <n v="9961.13"/>
        <n v="10392.63"/>
        <n v="9900.06"/>
        <n v="8469.09"/>
        <n v="8008.72"/>
        <n v="14619.43"/>
        <n v="9314.82"/>
        <n v="8069.64"/>
        <n v="7566.62"/>
        <n v="8926.98"/>
        <n v="9455.48"/>
        <n v="8792.49"/>
        <n v="9545.94"/>
        <n v="9894.2"/>
        <n v="10682.41"/>
        <n v="11047.46"/>
        <n v="13650.9"/>
        <n v="8106.66"/>
        <n v="8796.21"/>
        <n v="10105.71"/>
        <n v="11114.28"/>
        <n v="11941.88"/>
        <n v="11258.68"/>
        <n v="9754.02"/>
        <n v="10127.39"/>
        <n v="18962.4"/>
        <n v="11087.11"/>
        <n v="9698.55"/>
        <n v="8790.29"/>
        <n v="7823.55"/>
        <n v="9986.18"/>
        <n v="7425.19"/>
        <n v="8055.5"/>
        <n v="10227.9"/>
        <n v="10579.8"/>
        <n v="12379.8"/>
        <n v="11774.68"/>
        <n v="10422.81"/>
        <n v="13177.83"/>
        <n v="1685.16"/>
        <n v="12144.31"/>
        <n v="11539.73"/>
        <n v="25922.51"/>
        <n v="23135.46"/>
        <n v="15149.9"/>
        <n v="12558.7"/>
        <n v="12830.06"/>
        <n v="14206.21"/>
        <n v="10779.63"/>
        <n v="10070.83"/>
        <n v="10231.76"/>
        <n v="16182.46"/>
        <n v="14789.39"/>
        <n v="12697.28"/>
        <n v="14682.6"/>
        <n v="11783.34"/>
        <n v="15398.97"/>
        <n v="11609.18"/>
        <n v="9995.55"/>
        <n v="11023.35"/>
        <n v="8502.63"/>
        <n v="10443.99"/>
        <n v="9136.04"/>
        <n v="8789.42"/>
        <n v="8197.66"/>
        <n v="7551.71"/>
        <n v="9979.25"/>
        <n v="8852.8"/>
        <n v="19005.56"/>
        <n v="8518.58"/>
        <n v="8458.66"/>
        <n v="8749.09"/>
        <n v="9598.82"/>
        <n v="9910.28"/>
        <n v="11468.15"/>
        <n v="8453.76"/>
        <n v="10380.24"/>
        <n v="10070.44"/>
        <n v="9549.23"/>
        <n v="15106.77"/>
        <n v="12921.61"/>
        <n v="10982.95"/>
        <n v="11303.0"/>
        <n v="9411.2"/>
        <n v="8755.32"/>
        <n v="9043.77"/>
        <n v="9077.6"/>
        <n v="14551.58"/>
        <n v="8943.1"/>
        <n v="7546.56"/>
        <n v="8665.47"/>
        <n v="9541.6"/>
        <n v="9561.95"/>
        <n v="10306.22"/>
        <n v="9907.27"/>
        <n v="10733.37"/>
        <n v="9720.65"/>
        <n v="9635.01"/>
        <n v="11005.12"/>
        <n v="11333.11"/>
        <n v="12709.44"/>
        <n v="14334.26"/>
        <n v="17930.3"/>
        <n v="11792.26"/>
        <n v="14469.06"/>
        <n v="16423.91"/>
        <n v="16915.14"/>
        <n v="19939.54"/>
        <n v="16118.36"/>
        <n v="13232.19"/>
        <n v="14459.69"/>
        <n v="17719.4"/>
        <n v="16542.51"/>
        <n v="13980.63"/>
        <n v="15606.34"/>
        <n v="13971.66"/>
        <n v="12569.23"/>
        <n v="10602.15"/>
        <n v="11133.78"/>
        <n v="12188.94"/>
        <n v="11035.38"/>
        <n v="10026.71"/>
        <n v="9871.36"/>
        <n v="9619.95"/>
        <n v="12996.36"/>
        <n v="17711.46"/>
        <n v="12704.32"/>
        <n v="10274.89"/>
        <n v="10276.42"/>
        <n v="16299.11"/>
        <n v="10179.48"/>
        <n v="10673.92"/>
        <n v="12143.95"/>
        <n v="12128.88"/>
        <n v="11479.51"/>
        <n v="9874.81"/>
        <n v="10968.95"/>
        <n v="23965.25"/>
        <n v="9564.68"/>
        <n v="8588.01"/>
        <n v="18811.97"/>
        <n v="11111.43"/>
        <n v="10947.12"/>
        <n v="11269.73"/>
        <n v="11558.88"/>
        <n v="14435.17"/>
        <n v="12695.47"/>
        <n v="11175.79"/>
        <n v="18807.48"/>
        <m/>
        <n v="10167.12"/>
        <n v="11861.79"/>
        <n v="11674.92"/>
        <n v="10131.74"/>
        <n v="10714.13"/>
        <n v="11905.12"/>
        <n v="11790.58"/>
        <n v="12249.66"/>
        <n v="12354.55"/>
        <n v="11242.05"/>
        <n v="10501.71"/>
        <n v="9888.65"/>
        <n v="12559.11"/>
        <n v="15372.66"/>
        <n v="13642.67"/>
        <n v="12281.53"/>
        <n v="11125.11"/>
        <n v="19200.41"/>
        <n v="16886.89"/>
        <n v="10412.57"/>
        <n v="14820.58"/>
        <n v="11018.21"/>
        <n v="9721.56"/>
        <n v="9239.44"/>
        <n v="12783.49"/>
        <n v="10390.92"/>
        <n v="10526.38"/>
        <n v="10432.43"/>
        <n v="9075.44"/>
        <n v="13582.7"/>
        <n v="11359.48"/>
        <n v="12506.3"/>
        <n v="13908.47"/>
        <n v="11346.13"/>
        <n v="12017.36"/>
        <n v="13456.6"/>
        <n v="12914.16"/>
        <n v="12431.16"/>
        <n v="11764.35"/>
        <n v="11817.39"/>
        <n v="12224.76"/>
        <n v="29479.77"/>
        <n v="12965.01"/>
        <n v="14120.49"/>
        <n v="10027.54"/>
        <n v="9920.75"/>
        <n v="11315.24"/>
        <n v="12360.88"/>
        <n v="11384.97"/>
        <n v="11989.07"/>
        <n v="12982.8"/>
        <n v="11659.79"/>
        <n v="19271.43"/>
        <n v="11182.48"/>
        <n v="12290.16"/>
        <n v="10858.35"/>
        <n v="12211.18"/>
        <n v="13520.01"/>
        <n v="12012.41"/>
        <n v="12113.53"/>
        <n v="13837.03"/>
        <n v="20187.98"/>
        <n v="14440.17"/>
        <n v="13591.3"/>
        <n v="10896.89"/>
        <n v="10388.69"/>
        <n v="13676.58"/>
        <n v="14006.48"/>
        <n v="10843.92"/>
        <n v="12834.85"/>
        <n v="15944.45"/>
        <n v="15787.28"/>
        <n v="14744.56"/>
        <n v="13709.57"/>
        <n v="12649.4"/>
        <n v="13320.2"/>
        <n v="12199.98"/>
        <n v="14105.94"/>
        <n v="14932.51"/>
        <n v="13931.15"/>
        <n v="12528.8"/>
        <n v="21595.33"/>
        <n v="15203.09"/>
        <n v="14716.66"/>
        <n v="15297.4"/>
        <n v="14436.12"/>
        <n v="12267.66"/>
        <n v="12984.66"/>
        <n v="11321.55"/>
        <n v="12457.71"/>
        <n v="12422.62"/>
        <n v="15842.76"/>
        <n v="15738.26"/>
        <n v="12899.22"/>
        <n v="13935.35"/>
        <n v="17081.62"/>
        <n v="13275.31"/>
        <n v="14119.93"/>
        <n v="13528.83"/>
        <n v="16117.77"/>
        <n v="13019.55"/>
        <n v="11707.5"/>
        <n v="13946.7"/>
        <n v="14324.65"/>
        <n v="18275.54"/>
        <n v="20755.73"/>
        <n v="16139.58"/>
        <n v="16254.78"/>
        <n v="15078.23"/>
        <n v="15161.0"/>
        <n v="16441.02"/>
        <n v="16513.89"/>
        <n v="18745.54"/>
        <n v="15567.9"/>
        <n v="16423.36"/>
        <n v="11294.84"/>
        <n v="13814.11"/>
        <n v="15116.69"/>
        <n v="35131.19"/>
        <n v="23023.34"/>
        <n v="22878.57"/>
        <n v="17803.68"/>
        <n v="22582.86"/>
        <n v="23227.86"/>
        <n v="20391.72"/>
        <n v="21225.59"/>
        <n v="23711.57"/>
        <n v="25254.21"/>
        <n v="22130.94"/>
        <n v="18285.41"/>
        <n v="19592.59"/>
        <n v="21907.13"/>
        <n v="18606.04"/>
        <n v="14372.15"/>
        <n v="15453.03"/>
        <n v="17173.14"/>
        <n v="20505.66"/>
        <n v="17241.94"/>
        <n v="18114.71"/>
        <n v="19413.24"/>
        <n v="23503.76"/>
        <n v="16120.14"/>
        <n v="17514.85"/>
        <n v="14789.51"/>
        <n v="21513.85"/>
        <n v="18111.88"/>
        <n v="21758.8"/>
        <n v="14761.17"/>
        <n v="14006.19"/>
        <n v="1534.08"/>
        <n v="15294.83"/>
        <n v="13445.33"/>
        <n v="13078.98"/>
        <n v="19374.89"/>
        <n v="14937.67"/>
        <n v="16728.88"/>
        <n v="13540.9"/>
        <n v="13077.24"/>
        <n v="15382.32"/>
        <n v="12254.36"/>
        <n v="15927.25"/>
        <n v="17296.28"/>
        <n v="17737.28"/>
        <n v="26283.43"/>
        <n v="19964.33"/>
        <n v="18484.91"/>
        <n v="15857.16"/>
        <n v="15176.26"/>
        <n v="16488.87"/>
        <n v="18597.83"/>
        <n v="16524.36"/>
        <n v="20112.91"/>
        <n v="17447.45"/>
        <n v="17582.8"/>
        <n v="14486.1"/>
        <n v="12528.59"/>
        <n v="13556.45"/>
        <n v="17172.64"/>
        <n v="14945.94"/>
        <n v="18663.85"/>
        <n v="10695.6"/>
        <n v="12831.99"/>
        <n v="19119.88"/>
        <n v="12615.01"/>
        <n v="10176.13"/>
        <n v="8688.26"/>
        <n v="15352.25"/>
        <n v="15030.45"/>
        <n v="14516.74"/>
        <n v="12731.29"/>
        <n v="13433.48"/>
        <n v="16213.3"/>
        <n v="12031.26"/>
        <n v="13084.6"/>
        <n v="12732.57"/>
        <n v="14879.91"/>
        <n v="13081.63"/>
        <n v="13215.83"/>
        <n v="16408.83"/>
        <n v="17289.7"/>
        <n v="17483.62"/>
        <n v="14736.91"/>
        <n v="15298.48"/>
        <n v="20542.36"/>
        <n v="21144.33"/>
        <n v="18832.06"/>
        <n v="21214.81"/>
        <n v="27471.18"/>
        <n v="23112.37"/>
        <n v="15478.81"/>
        <n v="13435.13"/>
        <n v="15172.85"/>
        <n v="13542.69"/>
        <n v="15507.05"/>
        <n v="13818.92"/>
        <n v="14424.78"/>
        <n v="15360.98"/>
        <n v="20797.41"/>
        <n v="20733.95"/>
        <n v="14903.19"/>
        <n v="13765.01"/>
        <n v="13209.71"/>
        <n v="14758.5"/>
        <n v="24386.42"/>
        <n v="16466.09"/>
        <n v="19186.75"/>
        <n v="18313.85"/>
        <n v="27123.34"/>
        <n v="15010.06"/>
        <n v="17960.03"/>
        <n v="17850.93"/>
        <n v="15321.68"/>
        <n v="14369.77"/>
        <n v="17349.95"/>
        <n v="20861.35"/>
        <n v="20851.67"/>
        <n v="15661.05"/>
        <n v="25143.26"/>
        <n v="16942.22"/>
        <n v="16179.92"/>
        <n v="18311.44"/>
        <n v="19755.74"/>
        <n v="14101.14"/>
        <n v="14611.68"/>
        <n v="18356.52"/>
        <n v="25719.65"/>
        <n v="20515.25"/>
        <n v="18977.99"/>
        <n v="18673.7"/>
        <n v="19050.95"/>
        <n v="19713.01"/>
        <n v="15000.35"/>
        <n v="14203.96"/>
        <n v="15984.39"/>
        <n v="22258.46"/>
        <n v="14332.2"/>
        <n v="13598.61"/>
        <n v="15635.79"/>
        <n v="17585.48"/>
        <n v="18271.27"/>
        <n v="13754.12"/>
        <n v="14500.53"/>
        <n v="17046.66"/>
        <n v="28254.3"/>
        <n v="18098.83"/>
        <n v="23324.98"/>
        <n v="17790.06"/>
        <n v="15156.32"/>
        <n v="14703.42"/>
        <n v="16632.84"/>
        <n v="17440.01"/>
        <n v="17602.86"/>
        <n v="18085.19"/>
        <n v="16722.91"/>
        <n v="19906.38"/>
        <n v="17931.75"/>
        <n v="15629.57"/>
        <n v="20177.63"/>
        <n v="25223.78"/>
        <n v="20324.67"/>
        <n v="19582.41"/>
        <n v="31180.08"/>
        <n v="20028.49"/>
        <n v="17735.36"/>
        <n v="28833.54"/>
        <n v="15985.92"/>
        <n v="20261.85"/>
        <n v="22789.0"/>
        <n v="17451.36"/>
        <n v="15308.28"/>
        <n v="21144.77"/>
        <n v="14939.4"/>
        <n v="13125.41"/>
        <n v="15392.28"/>
        <n v="14120.17"/>
        <n v="18680.91"/>
        <n v="16226.57"/>
        <n v="13851.67"/>
        <n v="16120.69"/>
        <n v="18722.71"/>
        <n v="18839.11"/>
        <n v="23346.13"/>
        <n v="12631.38"/>
        <n v="13822.83"/>
        <n v="14650.89"/>
        <n v="23300.3"/>
        <n v="15191.9"/>
        <n v="12874.96"/>
        <n v="13615.94"/>
        <n v="14290.33"/>
        <n v="14758.87"/>
        <n v="18871.99"/>
        <n v="19146.25"/>
        <n v="21577.95"/>
        <n v="16098.53"/>
        <n v="14586.2"/>
        <n v="16947.57"/>
        <n v="15835.99"/>
        <n v="15967.91"/>
        <n v="15250.5"/>
        <n v="16684.03"/>
        <n v="17326.4"/>
        <n v="19304.23"/>
        <n v="19199.32"/>
        <n v="18353.13"/>
        <n v="24329.21"/>
        <n v="20350.38"/>
        <n v="18705.92"/>
        <n v="20545.71"/>
        <n v="23681.22"/>
        <n v="21048.32"/>
        <n v="23972.04"/>
        <n v="20824.1"/>
        <n v="21676.4"/>
        <n v="21228.28"/>
        <n v="20667.6"/>
        <n v="21092.05"/>
        <n v="24790.67"/>
        <n v="19712.81"/>
        <n v="19281.91"/>
        <n v="14120.35"/>
        <n v="16915.96"/>
        <n v="16747.99"/>
        <n v="18764.38"/>
        <n v="20983.75"/>
        <n v="22375.99"/>
        <n v="27413.16"/>
        <n v="16739.43"/>
        <n v="20127.77"/>
        <n v="21057.31"/>
        <n v="16595.6"/>
        <n v="19195.1"/>
        <n v="18279.88"/>
        <n v="18167.78"/>
        <n v="14762.07"/>
        <n v="19550.59"/>
        <n v="17510.17"/>
        <n v="18012.76"/>
        <n v="15786.17"/>
        <n v="17721.93"/>
        <n v="16784.43"/>
        <n v="16642.83"/>
        <n v="54081.53"/>
        <n v="40005.01"/>
        <n v="26930.07"/>
        <n v="25266.24"/>
        <n v="30707.84"/>
        <n v="19036.94"/>
        <n v="23748.07"/>
        <n v="28972.72"/>
        <n v="21658.38"/>
        <n v="22470.76"/>
        <n v="18641.37"/>
        <n v="20961.54"/>
        <n v="19234.31"/>
        <n v="22511.39"/>
        <n v="17499.48"/>
        <n v="17041.55"/>
        <n v="18266.06"/>
        <n v="20839.2"/>
        <n v="22315.99"/>
        <n v="29726.27"/>
        <n v="23397.69"/>
        <n v="25177.46"/>
        <n v="23611.51"/>
        <n v="3548.21"/>
        <n v="27054.87"/>
        <n v="22672.18"/>
        <n v="31304.73"/>
        <n v="24933.55"/>
        <n v="23203.88"/>
        <n v="20995.88"/>
        <n v="23324.97"/>
        <n v="20898.24"/>
        <n v="22931.52"/>
        <n v="16548.47"/>
        <n v="20401.5"/>
        <n v="19114.86"/>
        <n v="22350.63"/>
        <n v="17991.41"/>
        <n v="21574.84"/>
        <n v="24341.14"/>
        <n v="21609.99"/>
        <n v="19243.57"/>
        <n v="19990.44"/>
        <n v="46030.62"/>
        <n v="19937.4"/>
        <n v="21229.58"/>
        <n v="21838.04"/>
        <n v="23113.18"/>
        <n v="18203.76"/>
        <n v="22132.83"/>
        <n v="19589.81"/>
        <n v="18245.49"/>
        <n v="16672.87"/>
        <n v="16514.63"/>
        <n v="18760.57"/>
        <n v="18401.22"/>
        <n v="20626.8"/>
        <n v="16110.34"/>
        <n v="20968.79"/>
        <n v="22341.06"/>
        <n v="19761.9"/>
        <n v="25750.24"/>
        <n v="18078.23"/>
        <n v="13864.56"/>
        <n v="16362.31"/>
        <n v="13676.2"/>
        <n v="14556.73"/>
        <n v="14812.89"/>
        <n v="10445.68"/>
        <n v="15256.55"/>
        <n v="16827.27"/>
        <n v="16869.22"/>
        <n v="17797.68"/>
        <n v="18281.15"/>
        <n v="18456.64"/>
        <n v="18818.62"/>
        <n v="17522.13"/>
        <n v="17948.92"/>
        <n v="17882.51"/>
        <n v="16004.06"/>
        <n v="21397.63"/>
        <n v="21415.43"/>
        <n v="18682.65"/>
        <n v="19758.68"/>
        <n v="23829.39"/>
        <n v="18032.27"/>
        <n v="17988.61"/>
        <n v="20917.62"/>
        <n v="20646.18"/>
        <n v="19372.67"/>
        <n v="26044.91"/>
        <n v="20598.12"/>
        <n v="25415.26"/>
        <n v="22338.5"/>
        <n v="22998.05"/>
        <n v="21735.92"/>
        <n v="16339.61"/>
        <n v="17185.14"/>
        <n v="16209.52"/>
        <n v="16598.33"/>
        <n v="16315.27"/>
        <n v="20759.51"/>
        <n v="15439.55"/>
        <n v="18853.0"/>
        <n v="17610.89"/>
        <n v="18831.51"/>
        <n v="19421.04"/>
        <n v="18510.82"/>
        <n v="21887.07"/>
        <n v="21623.47"/>
        <n v="32297.15"/>
        <n v="24204.55"/>
        <n v="23281.2"/>
        <n v="26928.46"/>
        <n v="26980.65"/>
        <n v="26455.29"/>
        <n v="35151.79"/>
        <n v="32548.47"/>
        <n v="39283.97"/>
        <n v="44167.89"/>
        <n v="29181.8"/>
        <n v="28004.16"/>
        <n v="39256.71"/>
        <n v="34274.23"/>
        <n v="37321.25"/>
        <n v="23891.9"/>
        <n v="28282.09"/>
        <n v="28482.01"/>
        <n v="32228.31"/>
        <n v="31336.86"/>
        <n v="24724.44"/>
        <n v="27401.3"/>
        <n v="21307.3"/>
        <n v="26561.18"/>
        <n v="35206.69"/>
        <n v="37641.68"/>
        <n v="32907.82"/>
        <n v="26749.06"/>
        <n v="41878.64"/>
        <n v="31318.29"/>
        <n v="33334.73"/>
        <n v="28620.91"/>
        <n v="28273.89"/>
        <n v="33981.82"/>
        <n v="30270.55"/>
        <n v="32859.05"/>
        <n v="26696.54"/>
        <n v="30091.41"/>
        <n v="31673.23"/>
        <n v="39332.46"/>
        <n v="29785.95"/>
        <n v="29700.2"/>
        <n v="30798.1"/>
        <n v="59705.53"/>
        <n v="30743.45"/>
        <n v="31048.47"/>
        <n v="37706.27"/>
        <n v="36488.9"/>
        <n v="29541.59"/>
        <n v="25847.33"/>
        <n v="33347.46"/>
        <n v="32026.94"/>
        <n v="30721.99"/>
        <n v="28303.51"/>
        <n v="31625.47"/>
        <n v="30871.59"/>
        <n v="34603.88"/>
        <n v="37761.91"/>
        <n v="45006.25"/>
        <n v="38096.92"/>
        <n v="36723.11"/>
        <n v="38343.61"/>
        <n v="36399.04"/>
        <n v="37824.63"/>
        <n v="37819.06"/>
        <n v="36201.05"/>
        <n v="28485.47"/>
        <n v="30813.85"/>
        <n v="36505.77"/>
        <n v="31926.65"/>
        <n v="36257.89"/>
        <n v="30700.69"/>
        <n v="28594.32"/>
        <n v="48103.56"/>
        <n v="35529.8"/>
        <n v="34148.13"/>
        <n v="41394.45"/>
        <n v="41726.07"/>
        <n v="31841.68"/>
        <n v="27019.46"/>
        <n v="27342.55"/>
        <n v="28736.28"/>
        <n v="31235.17"/>
        <n v="25186.39"/>
        <n v="29857.54"/>
        <n v="36502.37"/>
        <n v="37676.34"/>
        <n v="31315.87"/>
        <n v="31557.58"/>
        <n v="30606.3"/>
        <n v="30902.47"/>
        <n v="42461.89"/>
        <n v="41068.72"/>
        <n v="32744.93"/>
        <n v="40217.17"/>
        <n v="34539.73"/>
        <n v="38677.47"/>
        <n v="38726.02"/>
        <n v="39150.44"/>
        <n v="36220.09"/>
        <n v="31149.94"/>
        <n v="35357.96"/>
        <n v="34894.58"/>
        <n v="31501.08"/>
        <n v="27054.43"/>
        <n v="29108.25"/>
        <n v="30314.89"/>
        <n v="28088.09"/>
        <n v="26500.52"/>
        <n v="31059.23"/>
        <n v="27468.67"/>
        <n v="27267.51"/>
        <n v="27528.12"/>
        <n v="27676.18"/>
        <n v="26294.26"/>
        <n v="28920.84"/>
        <n v="28742.82"/>
        <n v="34852.01"/>
        <n v="31580.61"/>
        <n v="39349.92"/>
        <n v="61668.55"/>
        <n v="36752.54"/>
        <n v="27454.65"/>
        <n v="26868.26"/>
        <n v="31746.86"/>
        <n v="25959.82"/>
        <n v="27979.7"/>
        <n v="32660.67"/>
        <n v="39239.1"/>
        <n v="29614.09"/>
        <n v="33996.94"/>
        <n v="28054.51"/>
        <n v="27629.71"/>
        <n v="29674.95"/>
        <n v="48698.68"/>
        <n v="37213.23"/>
        <n v="36296.49"/>
        <n v="35542.98"/>
        <n v="33623.71"/>
        <n v="31122.18"/>
        <n v="24361.17"/>
        <n v="26875.14"/>
        <n v="28134.77"/>
        <n v="26212.72"/>
        <n v="31341.55"/>
        <n v="30373.65"/>
        <n v="32935.98"/>
        <n v="38677.49"/>
        <n v="34546.8"/>
        <n v="26586.47"/>
        <n v="29403.22"/>
        <n v="29940.62"/>
        <n v="35175.92"/>
        <n v="30439.19"/>
        <n v="29888.6"/>
        <n v="28367.34"/>
        <n v="37477.13"/>
        <n v="33013.17"/>
        <n v="27424.61"/>
        <n v="29316.02"/>
        <n v="37989.97"/>
        <n v="37025.89"/>
        <n v="30436.62"/>
        <n v="28151.58"/>
        <n v="35714.57"/>
        <n v="36363.95"/>
        <n v="38552.09"/>
        <n v="32311.46"/>
        <n v="34965.94"/>
        <n v="34255.11"/>
        <n v="51247.01"/>
        <n v="54744.55"/>
        <n v="36794.24"/>
        <n v="34568.65"/>
        <n v="5189.38"/>
        <n v="40977.03"/>
        <n v="39856.45"/>
        <n v="44747.08"/>
        <n v="42992.15"/>
        <n v="42031.38"/>
        <n v="37094.23"/>
        <n v="37401.36"/>
        <n v="34624.15"/>
        <n v="78522.93"/>
        <n v="32917.26"/>
        <n v="34008.74"/>
        <n v="39627.71"/>
        <n v="36428.05"/>
        <n v="33578.64"/>
        <n v="33755.81"/>
        <n v="28726.97"/>
        <n v="30400.2"/>
        <n v="33696.57"/>
        <n v="28133.58"/>
        <n v="30828.33"/>
        <n v="27460.18"/>
        <n v="27712.93"/>
        <n v="34803.3"/>
        <n v="38243.62"/>
        <n v="36328.33"/>
        <n v="27073.45"/>
        <n v="24764.35"/>
        <n v="20923.06"/>
        <n v="25154.23"/>
        <n v="24633.12"/>
        <n v="26305.82"/>
        <n v="15873.75"/>
        <n v="28705.09"/>
        <n v="30872.87"/>
        <n v="34615.55"/>
        <n v="33446.47"/>
        <n v="37615.19"/>
        <n v="40186.21"/>
        <n v="44976.12"/>
        <n v="44682.93"/>
        <n v="37534.37"/>
        <n v="39912.18"/>
        <n v="41716.22"/>
        <n v="33084.79"/>
        <n v="34639.36"/>
        <n v="41939.04"/>
        <n v="45322.54"/>
        <n v="42278.39"/>
        <n v="40579.24"/>
        <n v="39881.82"/>
        <n v="46918.29"/>
        <n v="51840.22"/>
        <n v="58177.74"/>
        <n v="49312.35"/>
        <n v="47811.8"/>
        <n v="54394.63"/>
        <n v="40483.96"/>
        <n v="41930.72"/>
        <n v="40707.97"/>
        <n v="30933.44"/>
        <n v="32304.24"/>
        <n v="28955.29"/>
        <n v="36550.03"/>
        <n v="34073.12"/>
        <n v="37093.99"/>
        <n v="37419.34"/>
        <n v="37578.07"/>
        <n v="39508.09"/>
        <n v="23723.99"/>
        <n v="42983.07"/>
        <n v="65012.96"/>
        <n v="30030.57"/>
        <n v="34647.26"/>
        <n v="34567.73"/>
        <n v="36036.02"/>
        <n v="37811.6"/>
        <n v="29518.07"/>
        <n v="38365.48"/>
        <n v="25603.32"/>
        <n v="32195.96"/>
        <n v="28118.0"/>
        <n v="27975.07"/>
        <n v="27983.5"/>
        <n v="31339.71"/>
        <n v="49011.27"/>
        <n v="27345.02"/>
        <n v="30322.09"/>
        <n v="27868.93"/>
        <n v="35350.22"/>
        <n v="29423.45"/>
        <n v="35117.93"/>
        <n v="29741.83"/>
        <n v="29585.23"/>
        <n v="33885.39"/>
        <n v="31885.97"/>
        <n v="35184.96"/>
        <n v="34444.56"/>
        <n v="35010.36"/>
        <n v="43433.24"/>
        <n v="40846.57"/>
        <n v="40177.25"/>
        <n v="36653.65"/>
        <n v="34751.95"/>
        <n v="34687.11"/>
        <n v="37235.71"/>
        <n v="31894.66"/>
        <n v="33156.16"/>
        <n v="32181.14"/>
        <n v="37650.11"/>
        <n v="41597.37"/>
        <n v="40335.86"/>
        <n v="32538.97"/>
        <n v="34024.77"/>
        <n v="28942.47"/>
        <n v="31015.95"/>
        <n v="33583.37"/>
        <n v="31620.64"/>
        <n v="32955.82"/>
        <n v="32035.23"/>
        <n v="39176.28"/>
        <n v="35571.28"/>
        <n v="35634.73"/>
        <n v="31100.21"/>
        <n v="28002.53"/>
        <n v="31921.76"/>
        <n v="32061.04"/>
        <n v="26871.99"/>
        <n v="26187.83"/>
        <n v="48219.93"/>
        <n v="32992.08"/>
        <n v="32739.29"/>
        <n v="27964.09"/>
        <n v="28781.87"/>
        <n v="27519.48"/>
        <n v="25363.03"/>
        <n v="25411.48"/>
        <n v="24172.13"/>
        <n v="26926.49"/>
        <n v="23032.9"/>
        <n v="24591.69"/>
        <n v="28001.5"/>
        <n v="22181.26"/>
        <n v="22505.95"/>
        <n v="26048.47"/>
        <n v="42024.55"/>
        <n v="22525.89"/>
        <n v="24440.47"/>
        <n v="23222.94"/>
        <n v="29623.58"/>
        <n v="26933.22"/>
        <n v="18713.41"/>
        <n v="24392.13"/>
        <n v="20379.76"/>
        <n v="17359.97"/>
        <n v="18015.42"/>
        <n v="14976.54"/>
        <n v="24456.05"/>
        <n v="22259.96"/>
        <n v="19597.95"/>
        <n v="19976.86"/>
        <n v="18482.89"/>
        <n v="18205.97"/>
        <n v="18372.84"/>
        <n v="20961.37"/>
        <n v="18758.13"/>
        <n v="18088.78"/>
        <n v="21329.55"/>
        <n v="23988.39"/>
        <n v="20685.82"/>
        <n v="19487.18"/>
        <n v="26117.34"/>
        <n v="26090.48"/>
        <n v="29460.54"/>
        <n v="30539.63"/>
        <n v="20766.99"/>
        <n v="26373.24"/>
        <n v="32434.78"/>
        <n v="31386.78"/>
        <n v="24716.17"/>
        <n v="18302.03"/>
        <n v="22600.38"/>
        <n v="20306.59"/>
        <n v="18548.87"/>
        <n v="27163.08"/>
        <n v="21456.2"/>
        <n v="25696.44"/>
        <n v="22721.54"/>
        <n v="30118.23"/>
        <n v="24355.77"/>
        <n v="24992.32"/>
        <n v="22210.6"/>
        <n v="22320.21"/>
        <n v="20499.85"/>
        <n v="23615.87"/>
        <n v="40147.89"/>
        <n v="27691.93"/>
        <n v="22620.36"/>
        <n v="23579.17"/>
        <n v="21270.62"/>
        <n v="19848.94"/>
        <n v="22696.35"/>
        <n v="17719.78"/>
        <n v="18498.63"/>
        <n v="18702.82"/>
        <n v="24256.8"/>
        <n v="30189.77"/>
        <n v="43345.58"/>
        <n v="25304.27"/>
        <n v="26520.99"/>
        <n v="21772.23"/>
        <n v="25005.36"/>
        <n v="30787.59"/>
        <n v="24244.98"/>
        <n v="27055.36"/>
        <n v="30621.28"/>
        <n v="27167.19"/>
        <n v="20911.61"/>
        <n v="21343.51"/>
        <n v="23066.8"/>
        <n v="24504.3"/>
        <n v="27371.98"/>
        <n v="22778.68"/>
        <n v="29000.2"/>
        <n v="26491.42"/>
        <n v="34503.0"/>
        <n v="38903.16"/>
        <n v="36800.84"/>
        <n v="30505.86"/>
        <n v="28968.42"/>
        <n v="30839.79"/>
        <n v="26938.88"/>
        <n v="34572.34"/>
        <n v="29764.61"/>
        <n v="30823.75"/>
        <n v="30222.34"/>
        <n v="28136.0"/>
        <n v="24354.38"/>
        <n v="23371.51"/>
        <n v="26186.85"/>
        <n v="3637.06"/>
        <n v="30908.23"/>
        <n v="23686.09"/>
        <n v="22281.11"/>
        <n v="20074.78"/>
        <n v="22164.33"/>
        <n v="19099.6"/>
        <n v="24101.67"/>
        <n v="22950.84"/>
        <n v="22625.36"/>
        <n v="29570.57"/>
        <n v="26240.41"/>
        <n v="23766.93"/>
        <n v="21953.33"/>
        <n v="28485.53"/>
        <n v="27428.2"/>
        <n v="41494.9"/>
        <n v="24098.73"/>
        <n v="22473.64"/>
        <n v="23100.57"/>
        <n v="17912.15"/>
        <n v="21693.69"/>
        <n v="21665.95"/>
        <n v="18984.75"/>
        <n v="16399.53"/>
        <n v="20592.03"/>
        <n v="20459.79"/>
        <n v="17046.42"/>
        <n v="18493.54"/>
        <n v="31326.91"/>
        <n v="25123.59"/>
        <n v="19783.04"/>
        <n v="17443.94"/>
        <n v="15755.89"/>
        <n v="15435.01"/>
        <n v="12567.03"/>
        <n v="14553.76"/>
        <n v="14320.79"/>
        <n v="21929.19"/>
        <n v="14588.54"/>
        <n v="16181.36"/>
        <n v="18604.16"/>
        <n v="23737.31"/>
        <n v="22643.82"/>
        <n v="21447.89"/>
        <n v="20853.64"/>
        <n v="20781.46"/>
        <n v="22298.69"/>
        <n v="28670.93"/>
        <n v="21024.51"/>
        <n v="23859.38"/>
        <n v="20852.67"/>
        <n v="25310.19"/>
        <n v="25863.29"/>
        <n v="25941.64"/>
        <n v="28387.73"/>
        <n v="31344.46"/>
        <n v="36296.64"/>
        <n v="29799.89"/>
        <n v="25474.13"/>
        <n v="30033.66"/>
        <n v="23611.59"/>
        <n v="20373.06"/>
        <n v="20651.85"/>
        <n v="21925.11"/>
        <n v="23846.16"/>
        <n v="19327.67"/>
        <n v="22210.93"/>
        <n v="23230.82"/>
        <n v="24976.16"/>
        <n v="24765.67"/>
        <n v="21128.38"/>
        <n v="19381.26"/>
        <n v="16126.96"/>
        <n v="18725.57"/>
        <n v="24040.84"/>
        <n v="17662.47"/>
        <n v="36650.83"/>
        <n v="25743.77"/>
        <n v="33831.57"/>
        <n v="39407.44"/>
        <n v="31413.0"/>
        <n v="34821.1"/>
        <n v="38038.75"/>
        <n v="38704.4"/>
        <n v="35329.34"/>
        <n v="35513.73"/>
        <n v="24720.34"/>
        <n v="23824.02"/>
        <n v="29731.09"/>
        <n v="21361.32"/>
        <n v="35367.28"/>
        <n v="22886.39"/>
        <n v="27347.6"/>
        <n v="24705.28"/>
        <n v="25011.72"/>
        <n v="20031.39"/>
        <n v="19976.26"/>
        <n v="20305.78"/>
        <n v="28907.47"/>
        <n v="24032.07"/>
        <n v="21132.13"/>
        <n v="38623.94"/>
        <n v="25096.7"/>
        <n v="24252.48"/>
        <n v="26236.91"/>
        <n v="25608.1"/>
        <n v="21001.58"/>
        <n v="23958.77"/>
        <n v="20229.83"/>
        <n v="30154.62"/>
        <n v="35467.13"/>
        <n v="25972.15"/>
        <n v="24999.9"/>
        <n v="23371.7"/>
        <n v="22699.65"/>
        <n v="22079.92"/>
        <n v="25373.8"/>
        <n v="28488.87"/>
        <n v="29582.86"/>
        <n v="21222.64"/>
        <n v="27405.52"/>
        <n v="21792.91"/>
        <n v="25472.95"/>
        <n v="23274.74"/>
        <n v="22685.27"/>
        <n v="22994.38"/>
        <n v="25352.34"/>
        <n v="27454.12"/>
        <n v="17852.19"/>
        <n v="22782.99"/>
        <n v="23889.84"/>
        <n v="24340.84"/>
        <n v="22806.69"/>
        <n v="25110.85"/>
        <n v="21895.75"/>
        <n v="21400.14"/>
        <n v="27721.21"/>
        <n v="21341.98"/>
        <n v="21216.5"/>
        <n v="52929.35"/>
        <n v="19350.33"/>
        <n v="20055.84"/>
        <n v="22249.29"/>
        <n v="17999.41"/>
        <n v="17921.95"/>
        <n v="18336.15"/>
        <n v="16721.68"/>
        <n v="18388.03"/>
        <n v="20002.64"/>
        <n v="19825.41"/>
        <n v="16063.24"/>
        <n v="21383.06"/>
        <n v="29074.0"/>
        <n v="18531.78"/>
        <n v="18934.27"/>
        <n v="16817.07"/>
        <n v="21722.06"/>
        <n v="18259.72"/>
        <n v="17770.42"/>
        <n v="18419.75"/>
        <n v="22528.57"/>
        <n v="23970.65"/>
        <n v="25891.94"/>
        <n v="19875.22"/>
        <n v="19129.6"/>
        <n v="22836.77"/>
        <n v="21465.33"/>
        <n v="20990.69"/>
        <n v="20240.69"/>
        <n v="16042.52"/>
        <n v="19649.66"/>
        <n v="18858.83"/>
        <n v="17031.43"/>
        <n v="19420.93"/>
        <n v="18068.59"/>
        <n v="22061.81"/>
        <n v="20603.17"/>
        <n v="18600.11"/>
        <n v="19384.43"/>
        <n v="20087.54"/>
        <n v="17608.03"/>
        <n v="26674.28"/>
        <n v="28241.29"/>
        <n v="23221.04"/>
        <n v="22576.94"/>
        <n v="20842.13"/>
        <n v="21848.21"/>
        <n v="20013.14"/>
        <n v="18475.21"/>
        <n v="21952.35"/>
        <n v="20476.53"/>
        <n v="18422.47"/>
        <n v="18495.27"/>
        <n v="21209.54"/>
        <n v="18441.68"/>
        <n v="21531.99"/>
        <n v="19605.44"/>
        <n v="20365.8"/>
        <n v="17819.88"/>
        <n v="17566.7"/>
        <n v="17500.8"/>
        <n v="19351.5"/>
        <n v="26284.26"/>
        <n v="26813.95"/>
        <n v="19548.88"/>
        <n v="17011.26"/>
        <n v="17521.09"/>
        <n v="25419.5"/>
        <n v="19925.25"/>
        <n v="20564.06"/>
        <n v="17648.17"/>
        <n v="21039.08"/>
        <n v="26611.96"/>
        <n v="22007.78"/>
        <n v="36013.89"/>
        <n v="19548.99"/>
        <n v="20456.69"/>
        <n v="19816.78"/>
        <n v="21303.96"/>
        <n v="23750.53"/>
        <n v="27533.01"/>
        <n v="22712.8"/>
        <n v="21400.93"/>
        <n v="24758.63"/>
        <n v="26205.63"/>
        <n v="21860.54"/>
        <n v="18480.43"/>
        <n v="20404.46"/>
        <n v="17043.26"/>
        <n v="16220.67"/>
        <n v="22178.37"/>
        <n v="18098.41"/>
        <n v="18189.64"/>
        <n v="17813.47"/>
        <n v="16887.83"/>
        <n v="18224.95"/>
        <n v="17200.79"/>
        <n v="18345.6"/>
        <n v="23547.38"/>
        <n v="3772.49"/>
        <n v="20338.32"/>
        <n v="24166.3"/>
        <n v="19099.59"/>
        <n v="19846.47"/>
        <n v="26796.59"/>
        <n v="20072.62"/>
        <n v="16037.78"/>
        <n v="21062.54"/>
        <n v="25124.84"/>
        <n v="23344.58"/>
        <n v="19848.06"/>
        <n v="30732.11"/>
        <n v="21697.66"/>
        <n v="17836.19"/>
        <n v="19732.87"/>
        <n v="16410.36"/>
        <n v="16553.69"/>
        <n v="15037.5"/>
        <n v="14750.98"/>
        <n v="15674.45"/>
        <n v="18218.35"/>
        <n v="17112.8"/>
        <n v="19006.92"/>
        <n v="16568.17"/>
        <n v="32757.21"/>
        <n v="22216.65"/>
        <n v="20233.76"/>
        <n v="19471.83"/>
        <n v="17772.27"/>
        <n v="17496.8"/>
        <n v="19277.65"/>
        <n v="20317.78"/>
        <n v="16688.2"/>
        <n v="16536.17"/>
        <n v="16626.0"/>
        <n v="15618.55"/>
        <n v="23292.95"/>
        <n v="14455.23"/>
        <n v="15038.56"/>
        <n v="17223.44"/>
        <n v="16725.23"/>
        <n v="18486.94"/>
        <n v="13708.21"/>
        <n v="13000.64"/>
        <n v="13997.59"/>
        <n v="18466.05"/>
        <n v="14475.22"/>
        <n v="11793.06"/>
        <n v="13680.91"/>
        <n v="16687.71"/>
        <n v="22108.53"/>
        <n v="17495.25"/>
        <n v="19916.16"/>
        <n v="20570.3"/>
        <n v="20204.33"/>
        <n v="19762.43"/>
        <n v="21341.7"/>
        <n v="16728.37"/>
        <n v="17461.09"/>
        <n v="20500.07"/>
        <n v="18413.13"/>
        <n v="19519.96"/>
        <n v="17060.12"/>
        <n v="19705.91"/>
        <n v="20890.56"/>
        <n v="40104.83"/>
        <n v="38159.88"/>
        <n v="35023.7"/>
        <n v="38486.19"/>
        <n v="37639.96"/>
        <n v="34503.67"/>
        <n v="21864.88"/>
        <n v="23611.08"/>
        <n v="23733.4"/>
        <n v="21529.97"/>
        <n v="17063.99"/>
        <n v="17406.31"/>
        <n v="20579.8"/>
        <n v="21457.34"/>
        <n v="18891.55"/>
        <n v="16998.33"/>
        <n v="14729.07"/>
        <n v="15593.09"/>
        <n v="17162.09"/>
        <n v="19313.68"/>
        <n v="16100.18"/>
        <n v="16638.41"/>
        <n v="32959.77"/>
        <n v="19784.53"/>
        <n v="22068.68"/>
        <n v="24143.96"/>
        <n v="26959.41"/>
        <n v="23155.56"/>
        <n v="21964.17"/>
        <n v="19794.73"/>
        <n v="22860.67"/>
        <n v="26057.6"/>
        <n v="22659.09"/>
        <n v="24198.71"/>
        <n v="30478.42"/>
        <n v="21454.09"/>
        <n v="22039.11"/>
        <n v="15712.0"/>
        <n v="19676.97"/>
        <n v="19019.88"/>
        <n v="18466.56"/>
        <n v="20942.5"/>
        <n v="27261.74"/>
        <n v="24970.98"/>
        <n v="20359.58"/>
        <n v="23911.75"/>
        <n v="23543.21"/>
        <n v="21092.06"/>
        <n v="25841.64"/>
        <n v="22851.93"/>
        <n v="26460.2"/>
        <n v="35118.57"/>
        <n v="23032.99"/>
        <n v="21562.08"/>
        <n v="19457.45"/>
        <n v="19091.44"/>
        <n v="23142.94"/>
        <n v="28819.53"/>
        <n v="21295.14"/>
        <n v="24454.15"/>
        <n v="27026.12"/>
        <n v="23615.47"/>
        <n v="19079.79"/>
        <n v="21889.48"/>
        <n v="26152.88"/>
        <n v="22687.94"/>
        <n v="23478.06"/>
        <n v="21416.41"/>
        <n v="26440.1"/>
        <n v="22046.04"/>
        <n v="19329.75"/>
        <n v="21063.78"/>
        <n v="20903.12"/>
        <n v="24172.44"/>
        <n v="22105.67"/>
        <n v="25147.58"/>
        <n v="28648.15"/>
        <n v="24273.17"/>
        <n v="22411.41"/>
        <n v="19094.08"/>
        <n v="19237.57"/>
        <n v="21660.69"/>
        <n v="70755.08"/>
        <n v="24056.99"/>
        <n v="23171.88"/>
        <n v="20369.16"/>
        <n v="21957.47"/>
        <n v="21482.77"/>
        <n v="22762.3"/>
        <n v="20181.42"/>
        <n v="15386.04"/>
        <n v="22612.62"/>
        <n v="19520.08"/>
        <n v="24820.77"/>
        <n v="28877.67"/>
        <n v="22699.84"/>
        <n v="19687.08"/>
        <n v="19102.48"/>
        <n v="24990.87"/>
        <n v="20619.6"/>
        <n v="17355.14"/>
        <n v="21415.89"/>
        <n v="37356.94"/>
        <n v="26376.62"/>
        <n v="22681.54"/>
        <n v="26634.06"/>
        <n v="24699.24"/>
        <n v="28540.18"/>
        <n v="23089.25"/>
        <n v="25991.55"/>
        <n v="26883.78"/>
        <n v="40163.14"/>
        <n v="27244.56"/>
        <n v="25484.44"/>
        <n v="25975.57"/>
        <n v="33269.08"/>
        <n v="26447.9"/>
        <n v="30622.66"/>
        <n v="33802.14"/>
        <n v="24522.29"/>
        <n v="29665.67"/>
        <n v="23023.86"/>
        <n v="35019.13"/>
        <n v="22995.98"/>
        <n v="23075.38"/>
        <n v="24554.71"/>
        <n v="23997.47"/>
        <n v="29899.38"/>
        <n v="28086.15"/>
        <n v="21655.87"/>
        <n v="25437.47"/>
        <n v="23201.75"/>
        <n v="29430.34"/>
        <n v="24521.24"/>
        <n v="22767.43"/>
        <n v="21484.66"/>
        <n v="26505.65"/>
        <n v="25641.41"/>
        <n v="20738.75"/>
        <n v="20226.48"/>
        <n v="20167.16"/>
        <n v="24338.24"/>
        <n v="24998.12"/>
        <n v="18237.22"/>
        <n v="22501.12"/>
        <n v="19877.49"/>
        <n v="45699.54"/>
        <n v="25962.38"/>
        <n v="24822.79"/>
        <n v="24029.89"/>
        <n v="32500.52"/>
        <n v="23591.0"/>
        <n v="23530.84"/>
        <n v="21924.34"/>
        <n v="30110.8"/>
        <n v="24332.36"/>
        <n v="21902.65"/>
        <n v="42681.35"/>
        <n v="21135.95"/>
        <n v="37351.58"/>
        <n v="26711.83"/>
        <n v="24137.57"/>
        <n v="20194.48"/>
        <n v="18118.19"/>
        <n v="19659.17"/>
        <n v="30069.78"/>
        <n v="20978.72"/>
        <n v="21459.58"/>
        <n v="26017.47"/>
        <n v="22019.04"/>
        <n v="16096.52"/>
        <n v="15499.67"/>
        <n v="18735.62"/>
        <n v="19900.99"/>
        <n v="20999.94"/>
        <n v="24363.02"/>
        <n v="14746.01"/>
        <n v="16839.87"/>
        <n v="18581.64"/>
        <n v="23582.01"/>
        <n v="17944.31"/>
        <n v="16212.9"/>
        <n v="19818.32"/>
        <n v="28939.64"/>
        <n v="19947.48"/>
        <n v="17095.73"/>
        <n v="19397.36"/>
        <n v="18452.51"/>
        <n v="19771.49"/>
        <n v="17304.87"/>
        <n v="16296.56"/>
        <n v="18288.06"/>
        <n v="17060.45"/>
        <n v="19087.29"/>
        <n v="12916.21"/>
        <n v="2482.27"/>
        <n v="13527.22"/>
        <n v="24957.24"/>
        <n v="26041.45"/>
        <n v="21681.28"/>
        <n v="16737.05"/>
        <n v="17947.2"/>
        <n v="17405.48"/>
        <n v="15906.94"/>
        <n v="14389.29"/>
        <n v="23043.25"/>
        <n v="22367.64"/>
        <n v="48877.95"/>
        <n v="22461.53"/>
        <n v="33917.52"/>
        <n v="41763.52"/>
        <n v="35654.76"/>
        <n v="24862.43"/>
        <n v="27449.96"/>
        <n v="21150.17"/>
        <n v="25404.64"/>
        <n v="25918.44"/>
        <n v="32593.42"/>
        <n v="50114.46"/>
        <n v="23615.28"/>
        <n v="23750.61"/>
        <n v="30993.12"/>
        <n v="26001.02"/>
        <n v="27709.29"/>
        <n v="20081.33"/>
        <n v="23059.25"/>
        <n v="35031.0"/>
        <n v="23697.88"/>
        <n v="14184.09"/>
        <n v="25316.13"/>
        <n v="32329.23"/>
        <n v="30868.15"/>
        <n v="26554.49"/>
        <n v="21140.94"/>
        <n v="24055.74"/>
        <n v="20958.96"/>
        <n v="23492.12"/>
        <n v="30565.5"/>
        <n v="29523.15"/>
        <n v="24435.94"/>
        <n v="47533.44"/>
        <n v="39718.84"/>
        <n v="34429.24"/>
        <n v="13917.46"/>
        <n v="48813.68"/>
        <n v="41718.64"/>
        <n v="40088.5"/>
        <n v="34516.42"/>
        <n v="32916.3"/>
        <n v="41587.85"/>
        <n v="34042.15"/>
        <n v="38395.9"/>
        <n v="33807.94"/>
        <n v="32910.82"/>
        <n v="30088.76"/>
        <n v="41082.02"/>
        <n v="31176.16"/>
        <n v="23921.14"/>
        <n v="29896.62"/>
        <n v="32535.0"/>
        <n v="29559.69"/>
        <n v="21375.71"/>
        <n v="26872.32"/>
        <n v="29741.39"/>
        <n v="33985.94"/>
        <n v="24617.01"/>
        <n v="20850.26"/>
        <n v="24620.71"/>
        <n v="40196.12"/>
        <n v="29646.47"/>
        <n v="1918.77"/>
        <n v="23771.71"/>
        <n v="29165.37"/>
        <n v="31029.01"/>
        <n v="33558.46"/>
        <n v="27222.37"/>
        <n v="29781.12"/>
        <n v="40109.23"/>
        <n v="37348.3"/>
        <n v="60260.88"/>
        <n v="23015.51"/>
        <n v="30291.6"/>
        <n v="28939.85"/>
        <n v="31258.4"/>
        <n v="39023.19"/>
        <n v="33382.08"/>
        <n v="38830.73"/>
        <n v="45656.57"/>
        <n v="21420.69"/>
        <n v="27940.93"/>
        <n v="30793.28"/>
        <n v="40705.56"/>
        <n v="24797.82"/>
        <n v="22480.2"/>
        <n v="21651.6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73" sheet="NSE MONEYCONTROL DATA"/>
  </cacheSource>
  <cacheFields>
    <cacheField name="Date" numFmtId="17">
      <sharedItems containsSemiMixedTypes="0" containsDate="1" containsString="0">
        <d v="2024-04-01T00:00:00Z"/>
        <d v="2024-03-01T00:00:00Z"/>
        <d v="2024-02-01T00:00:00Z"/>
        <d v="2024-01-01T00:00:00Z"/>
        <d v="2023-12-01T00:00:00Z"/>
        <d v="2023-11-01T00:00:00Z"/>
        <d v="2023-10-01T00:00:00Z"/>
        <d v="2023-09-01T00:00:00Z"/>
        <d v="2023-08-01T00:00:00Z"/>
        <d v="2023-07-01T00:00:00Z"/>
        <d v="2023-06-01T00:00:00Z"/>
        <d v="2023-05-01T00:00:00Z"/>
        <d v="2023-04-01T00:00:00Z"/>
        <d v="2023-03-01T00:00:00Z"/>
        <d v="2023-02-01T00:00:00Z"/>
        <d v="2023-01-01T00:00:00Z"/>
        <d v="2022-12-01T00:00:00Z"/>
        <d v="2022-11-01T00:00:00Z"/>
        <d v="2022-10-01T00:00:00Z"/>
        <d v="2022-09-01T00:00:00Z"/>
        <d v="2022-08-01T00:00:00Z"/>
        <d v="2022-07-01T00:00:00Z"/>
        <d v="2022-06-01T00:00:00Z"/>
        <d v="2022-05-01T00:00:00Z"/>
        <d v="2022-04-01T00:00:00Z"/>
        <d v="2022-03-01T00:00:00Z"/>
        <d v="2022-02-01T00:00:00Z"/>
        <d v="2022-01-01T00:00:00Z"/>
        <d v="2021-12-01T00:00:00Z"/>
        <d v="2021-11-01T00:00:00Z"/>
        <d v="2021-10-01T00:00:00Z"/>
        <d v="2021-09-01T00:00:00Z"/>
        <d v="2021-08-01T00:00:00Z"/>
        <d v="2021-07-01T00:00:00Z"/>
        <d v="2021-06-01T00:00:00Z"/>
        <d v="2021-05-01T00:00:00Z"/>
        <d v="2021-04-01T00:00:00Z"/>
        <d v="2021-03-01T00:00:00Z"/>
        <d v="2021-02-01T00:00:00Z"/>
        <d v="2021-01-01T00:00:00Z"/>
        <d v="2020-12-01T00:00:00Z"/>
        <d v="2020-11-01T00:00:00Z"/>
        <d v="2020-10-01T00:00:00Z"/>
        <d v="2020-09-01T00:00:00Z"/>
        <d v="2020-08-01T00:00:00Z"/>
        <d v="2020-07-01T00:00:00Z"/>
        <d v="2020-06-01T00:00:00Z"/>
        <d v="2020-05-01T00:00:00Z"/>
        <d v="2020-04-01T00:00:00Z"/>
        <d v="2020-03-01T00:00:00Z"/>
        <d v="2020-02-01T00:00:00Z"/>
        <d v="2020-01-01T00:00:00Z"/>
        <d v="2019-12-01T00:00:00Z"/>
        <d v="2019-11-01T00:00:00Z"/>
        <d v="2019-10-01T00:00:00Z"/>
        <d v="2019-09-01T00:00:00Z"/>
        <d v="2019-08-01T00:00:00Z"/>
        <d v="2019-07-01T00:00:00Z"/>
        <d v="2019-06-01T00:00:00Z"/>
        <d v="2019-05-01T00:00:00Z"/>
        <d v="2019-04-01T00:00:00Z"/>
        <d v="2019-03-01T00:00:00Z"/>
        <d v="2019-02-01T00:00:00Z"/>
        <d v="2019-01-01T00:00:00Z"/>
        <d v="2018-12-01T00:00:00Z"/>
        <d v="2018-11-01T00:00:00Z"/>
        <d v="2018-10-01T00:00:00Z"/>
        <d v="2018-09-01T00:00:00Z"/>
        <d v="2018-08-01T00:00:00Z"/>
        <d v="2018-07-01T00:00:00Z"/>
        <d v="2018-06-01T00:00:00Z"/>
        <d v="2018-05-01T00:00:00Z"/>
        <d v="2018-04-01T00:00:00Z"/>
        <d v="2018-03-01T00:00:00Z"/>
        <d v="2018-02-01T00:00:00Z"/>
        <d v="2018-01-01T00:00:00Z"/>
        <d v="2017-12-01T00:00:00Z"/>
        <d v="2017-11-01T00:00:00Z"/>
        <d v="2017-10-01T00:00:00Z"/>
        <d v="2017-09-01T00:00:00Z"/>
        <d v="2017-08-01T00:00:00Z"/>
        <d v="2017-07-01T00:00:00Z"/>
        <d v="2017-06-01T00:00:00Z"/>
        <d v="2017-05-01T00:00:00Z"/>
        <d v="2017-04-01T00:00:00Z"/>
        <d v="2017-03-01T00:00:00Z"/>
        <d v="2017-02-01T00:00:00Z"/>
        <d v="2017-01-01T00:00:00Z"/>
        <d v="2016-12-01T00:00:00Z"/>
        <d v="2016-11-01T00:00:00Z"/>
        <d v="2016-10-01T00:00:00Z"/>
        <d v="2016-09-01T00:00:00Z"/>
        <d v="2016-08-01T00:00:00Z"/>
        <d v="2016-07-01T00:00:00Z"/>
        <d v="2016-06-01T00:00:00Z"/>
        <d v="2016-05-01T00:00:00Z"/>
        <d v="2016-04-01T00:00:00Z"/>
        <d v="2016-03-01T00:00:00Z"/>
        <d v="2016-02-01T00:00:00Z"/>
        <d v="2016-01-01T00:00:00Z"/>
        <d v="2015-12-01T00:00:00Z"/>
        <d v="2015-11-01T00:00:00Z"/>
        <d v="2015-10-01T00:00:00Z"/>
        <d v="2015-09-01T00:00:00Z"/>
        <d v="2015-08-01T00:00:00Z"/>
        <d v="2015-07-01T00:00:00Z"/>
        <d v="2015-06-01T00:00:00Z"/>
        <d v="2015-05-01T00:00:00Z"/>
        <d v="2015-04-01T00:00:00Z"/>
        <d v="2015-03-01T00:00:00Z"/>
        <d v="2015-02-01T00:00:00Z"/>
        <d v="2015-01-01T00:00:00Z"/>
        <d v="2014-12-01T00:00:00Z"/>
        <d v="2014-11-01T00:00:00Z"/>
        <d v="2014-10-01T00:00:00Z"/>
        <d v="2014-09-01T00:00:00Z"/>
        <d v="2014-08-01T00:00:00Z"/>
        <d v="2014-07-01T00:00:00Z"/>
        <d v="2014-06-01T00:00:00Z"/>
        <d v="2014-05-01T00:00:00Z"/>
        <d v="2014-04-01T00:00:00Z"/>
        <d v="2014-03-01T00:00:00Z"/>
        <d v="2014-02-01T00:00:00Z"/>
        <d v="2014-01-01T00:00:00Z"/>
        <d v="2013-12-01T00:00:00Z"/>
        <d v="2013-11-01T00:00:00Z"/>
        <d v="2013-10-01T00:00:00Z"/>
        <d v="2013-09-01T00:00:00Z"/>
        <d v="2013-08-01T00:00:00Z"/>
        <d v="2013-07-01T00:00:00Z"/>
        <d v="2013-06-01T00:00:00Z"/>
        <d v="2013-05-01T00:00:00Z"/>
        <d v="2013-04-01T00:00:00Z"/>
        <d v="2013-03-01T00:00:00Z"/>
        <d v="2013-02-01T00:00:00Z"/>
        <d v="2013-01-01T00:00:00Z"/>
        <d v="2012-12-01T00:00:00Z"/>
        <d v="2012-11-01T00:00:00Z"/>
        <d v="2012-10-01T00:00:00Z"/>
        <d v="2012-09-01T00:00:00Z"/>
        <d v="2012-08-01T00:00:00Z"/>
        <d v="2012-07-01T00:00:00Z"/>
        <d v="2012-06-01T00:00:00Z"/>
        <d v="2012-05-01T00:00:00Z"/>
        <d v="2012-04-01T00:00:00Z"/>
        <d v="2012-03-01T00:00:00Z"/>
        <d v="2012-02-01T00:00:00Z"/>
        <d v="2012-01-01T00:00:00Z"/>
        <d v="2011-12-01T00:00:00Z"/>
        <d v="2011-11-01T00:00:00Z"/>
        <d v="2011-10-01T00:00:00Z"/>
        <d v="2011-09-01T00:00:00Z"/>
        <d v="2011-08-01T00:00:00Z"/>
        <d v="2011-07-01T00:00:00Z"/>
        <d v="2011-06-01T00:00:00Z"/>
        <d v="2011-05-01T00:00:00Z"/>
        <d v="2011-04-01T00:00:00Z"/>
        <d v="2011-03-01T00:00:00Z"/>
        <d v="2011-02-01T00:00:00Z"/>
        <d v="2011-01-01T00:00:00Z"/>
        <d v="2010-12-01T00:00:00Z"/>
        <d v="2010-11-01T00:00:00Z"/>
        <d v="2010-10-01T00:00:00Z"/>
        <d v="2010-09-01T00:00:00Z"/>
        <d v="2010-08-01T00:00:00Z"/>
        <d v="2010-07-01T00:00:00Z"/>
        <d v="2010-06-01T00:00:00Z"/>
        <d v="2010-05-01T00:00:00Z"/>
        <d v="2010-04-01T00:00:00Z"/>
        <d v="2010-03-01T00:00:00Z"/>
        <d v="2010-02-01T00:00:00Z"/>
        <d v="2010-01-01T00:00:00Z"/>
      </sharedItems>
    </cacheField>
    <cacheField name="Open" numFmtId="0">
      <sharedItems containsSemiMixedTypes="0" containsString="0" containsNumber="1">
        <n v="22455.0"/>
        <n v="22048.3"/>
        <n v="21780.65"/>
        <n v="21727.75"/>
        <n v="20194.1"/>
        <n v="19064.05"/>
        <n v="19622.4"/>
        <n v="19258.15"/>
        <n v="19784.0"/>
        <n v="19246.5"/>
        <n v="18579.4"/>
        <n v="18124.8"/>
        <n v="17427.95"/>
        <n v="17360.1"/>
        <n v="17811.6"/>
        <n v="18131.7"/>
        <n v="18871.95"/>
        <n v="18130.7"/>
        <n v="17102.1"/>
        <n v="17485.7"/>
        <n v="17243.2"/>
        <n v="15703.7"/>
        <n v="16594.4"/>
        <n v="16924.45"/>
        <n v="17436.9"/>
        <n v="16593.1"/>
        <n v="17529.45"/>
        <n v="17387.15"/>
        <n v="17104.4"/>
        <n v="17783.15"/>
        <n v="17531.9"/>
        <n v="17185.6"/>
        <n v="15874.9"/>
        <n v="15755.05"/>
        <n v="15629.65"/>
        <n v="14481.05"/>
        <n v="14798.4"/>
        <n v="14702.5"/>
        <n v="13758.6"/>
        <n v="13996.1"/>
        <n v="13062.2"/>
        <n v="11697.35"/>
        <n v="11364.45"/>
        <n v="11464.3"/>
        <n v="11057.55"/>
        <n v="10323.8"/>
        <n v="9726.85"/>
        <n v="9533.5"/>
        <n v="8584.1"/>
        <n v="11387.35"/>
        <n v="11939.0"/>
        <n v="12202.15"/>
        <n v="12137.05"/>
        <n v="11886.6"/>
        <n v="11515.4"/>
        <n v="10960.95"/>
        <n v="11060.2"/>
        <n v="11839.9"/>
        <n v="11953.75"/>
        <n v="11725.55"/>
        <n v="11665.2"/>
        <n v="10842.65"/>
        <n v="10851.35"/>
        <n v="10881.7"/>
        <n v="10930.7"/>
        <n v="10441.7"/>
        <n v="10930.9"/>
        <n v="11751.8"/>
        <n v="11359.8"/>
        <n v="10732.35"/>
        <n v="10738.45"/>
        <n v="10783.85"/>
        <n v="10151.65"/>
        <n v="10479.95"/>
        <n v="11044.55"/>
        <n v="10531.7"/>
        <n v="10263.7"/>
        <n v="10390.35"/>
        <n v="9893.3"/>
        <n v="9937.65"/>
        <n v="10101.05"/>
        <n v="9587.95"/>
        <n v="9603.55"/>
        <n v="9339.85"/>
        <n v="9220.6"/>
        <n v="8904.4"/>
        <n v="8570.35"/>
        <n v="8210.1"/>
        <n v="8244.0"/>
        <n v="8653.15"/>
        <n v="8666.15"/>
        <n v="8793.6"/>
        <n v="8654.3"/>
        <n v="8313.05"/>
        <n v="8179.2"/>
        <n v="7822.7"/>
        <n v="7718.05"/>
        <n v="7038.25"/>
        <n v="7589.5"/>
        <n v="7938.45"/>
        <n v="7958.15"/>
        <n v="8054.55"/>
        <n v="7992.05"/>
        <n v="7907.95"/>
        <n v="8510.65"/>
        <n v="8376.25"/>
        <n v="8417.25"/>
        <n v="8230.05"/>
        <n v="8483.7"/>
        <n v="8953.85"/>
        <n v="8802.5"/>
        <n v="8272.8"/>
        <n v="8605.1"/>
        <n v="8348.15"/>
        <n v="7960.5"/>
        <n v="7990.35"/>
        <n v="7662.5"/>
        <n v="7629.0"/>
        <n v="7264.05"/>
        <n v="6709.95"/>
        <n v="6729.5"/>
        <n v="6264.35"/>
        <n v="6058.8"/>
        <n v="6323.8"/>
        <n v="6171.15"/>
        <n v="6289.75"/>
        <n v="5756.1"/>
        <n v="5480.25"/>
        <n v="5776.9"/>
        <n v="5834.1"/>
        <n v="5997.35"/>
        <n v="5911.4"/>
        <n v="5697.35"/>
        <n v="5702.45"/>
        <n v="6040.95"/>
        <n v="5937.65"/>
        <n v="5878.25"/>
        <n v="5609.85"/>
        <n v="5704.75"/>
        <n v="5276.5"/>
        <n v="5220.7"/>
        <n v="5283.85"/>
        <n v="4910.85"/>
        <n v="5254.3"/>
        <n v="5296.35"/>
        <n v="5366.0"/>
        <n v="5198.15"/>
        <n v="4640.2"/>
        <n v="4970.85"/>
        <n v="5278.6"/>
        <n v="4874.4"/>
        <n v="5109.8"/>
        <n v="5527.5"/>
        <n v="5705.75"/>
        <n v="5561.05"/>
        <n v="5766.9"/>
        <n v="5835.0"/>
        <n v="5382.0"/>
        <n v="5537.3"/>
        <n v="6177.45"/>
        <n v="5871.0"/>
        <n v="6092.3"/>
        <n v="6030.3"/>
        <n v="5403.05"/>
        <n v="5369.55"/>
        <n v="5312.05"/>
        <n v="5086.25"/>
        <n v="5278.4"/>
        <n v="5249.2"/>
        <n v="4935.6"/>
        <n v="4882.05"/>
        <n v="5200.9"/>
      </sharedItems>
    </cacheField>
    <cacheField name="High" numFmtId="0">
      <sharedItems containsSemiMixedTypes="0" containsString="0" containsNumber="1">
        <n v="22768.4"/>
        <n v="22526.6"/>
        <n v="22297.5"/>
        <n v="22124.15"/>
        <n v="21801.45"/>
        <n v="20158.7"/>
        <n v="19849.75"/>
        <n v="20222.45"/>
        <n v="19795.6"/>
        <n v="19991.85"/>
        <n v="19201.7"/>
        <n v="18662.45"/>
        <n v="18089.15"/>
        <n v="17799.95"/>
        <n v="18134.75"/>
        <n v="18251.95"/>
        <n v="18887.6"/>
        <n v="18816.05"/>
        <n v="18022.8"/>
        <n v="18096.15"/>
        <n v="17992.2"/>
        <n v="17172.8"/>
        <n v="16793.85"/>
        <n v="17132.85"/>
        <n v="18114.65"/>
        <n v="17559.8"/>
        <n v="17794.6"/>
        <n v="18350.95"/>
        <n v="17639.5"/>
        <n v="18210.15"/>
        <n v="18604.45"/>
        <n v="17947.65"/>
        <n v="17153.5"/>
        <n v="15962.25"/>
        <n v="15915.65"/>
        <n v="15606.35"/>
        <n v="15044.35"/>
        <n v="15336.3"/>
        <n v="15431.75"/>
        <n v="14753.55"/>
        <n v="14024.85"/>
        <n v="13145.85"/>
        <n v="12025.45"/>
        <n v="11618.1"/>
        <n v="11794.25"/>
        <n v="11341.4"/>
        <n v="10553.15"/>
        <n v="9598.85"/>
        <n v="9889.05"/>
        <n v="11433.0"/>
        <n v="12246.7"/>
        <n v="12430.5"/>
        <n v="12293.9"/>
        <n v="12158.8"/>
        <n v="11945.0"/>
        <n v="11694.85"/>
        <n v="11181.45"/>
        <n v="11981.75"/>
        <n v="12103.05"/>
        <n v="12041.15"/>
        <n v="11856.15"/>
        <n v="11630.35"/>
        <n v="11118.1"/>
        <n v="10987.45"/>
        <n v="10985.15"/>
        <n v="10922.45"/>
        <n v="11035.65"/>
        <n v="11751.8"/>
        <n v="11760.2"/>
        <n v="11366.0"/>
        <n v="10893.25"/>
        <n v="10929.2"/>
        <n v="10759.0"/>
        <n v="10525.5"/>
        <n v="11117.35"/>
        <n v="11171.55"/>
        <n v="10552.4"/>
        <n v="10490.45"/>
        <n v="10384.5"/>
        <n v="10178.95"/>
        <n v="10137.85"/>
        <n v="10114.85"/>
        <n v="9709.3"/>
        <n v="9649.6"/>
        <n v="9367.15"/>
        <n v="9218.4"/>
        <n v="8982.15"/>
        <n v="8672.7"/>
        <n v="8274.95"/>
        <n v="8669.6"/>
        <n v="8806.95"/>
        <n v="8968.7"/>
        <n v="8819.2"/>
        <n v="8674.7"/>
        <n v="8308.15"/>
        <n v="8213.6"/>
        <n v="7992.0"/>
        <n v="7777.6"/>
        <n v="7600.45"/>
        <n v="7972.55"/>
        <n v="7979.3"/>
        <n v="8116.1"/>
        <n v="8336.3"/>
        <n v="8055.0"/>
        <n v="8621.55"/>
        <n v="8654.75"/>
        <n v="8467.15"/>
        <n v="8489.55"/>
        <n v="8844.8"/>
        <n v="9119.2"/>
        <n v="8941.1"/>
        <n v="8996.6"/>
        <n v="8626.95"/>
        <n v="8617.0"/>
        <n v="8330.75"/>
        <n v="8180.2"/>
        <n v="7968.25"/>
        <n v="7840.95"/>
        <n v="7700.05"/>
        <n v="7563.5"/>
        <n v="6869.85"/>
        <n v="6730.05"/>
        <n v="6282.7"/>
        <n v="6358.3"/>
        <n v="6415.25"/>
        <n v="6342.95"/>
        <n v="6309.05"/>
        <n v="6142.5"/>
        <n v="5808.5"/>
        <n v="6093.35"/>
        <n v="6011.0"/>
        <n v="6229.45"/>
        <n v="5962.3"/>
        <n v="5971.2"/>
        <n v="6052.95"/>
        <n v="6111.8"/>
        <n v="5965.15"/>
        <n v="5885.25"/>
        <n v="5815.35"/>
        <n v="5735.15"/>
        <n v="5448.6"/>
        <n v="5348.55"/>
        <n v="5286.25"/>
        <n v="5279.6"/>
        <n v="5378.75"/>
        <n v="5499.4"/>
        <n v="5629.95"/>
        <n v="5217.0"/>
        <n v="5099.25"/>
        <n v="5326.45"/>
        <n v="5399.7"/>
        <n v="5169.25"/>
        <n v="5551.9"/>
        <n v="5740.4"/>
        <n v="5657.9"/>
        <n v="5775.25"/>
        <n v="5944.45"/>
        <n v="5872.0"/>
        <n v="5599.25"/>
        <n v="6181.05"/>
        <n v="6147.3"/>
        <n v="6338.5"/>
        <n v="6284.1"/>
        <n v="6073.5"/>
        <n v="5549.8"/>
        <n v="5477.5"/>
        <n v="5366.75"/>
        <n v="5278.7"/>
        <n v="5399.65"/>
        <n v="5329.55"/>
        <n v="4992.0"/>
        <n v="5310.85"/>
      </sharedItems>
    </cacheField>
    <cacheField name="Low" numFmtId="0">
      <sharedItems containsSemiMixedTypes="0" containsString="0" containsNumber="1">
        <n v="22303.8"/>
        <n v="21710.2"/>
        <n v="21530.2"/>
        <n v="21137.2"/>
        <n v="20183.7"/>
        <n v="18973.7"/>
        <n v="18837.85"/>
        <n v="19255.7"/>
        <n v="19223.65"/>
        <n v="19234.4"/>
        <n v="18464.55"/>
        <n v="18042.4"/>
        <n v="17312.75"/>
        <n v="16828.35"/>
        <n v="17255.2"/>
        <n v="17405.55"/>
        <n v="17774.25"/>
        <n v="17959.2"/>
        <n v="16855.55"/>
        <n v="16747.7"/>
        <n v="17154.8"/>
        <n v="15511.05"/>
        <n v="15183.4"/>
        <n v="15735.75"/>
        <n v="16824.7"/>
        <n v="15671.45"/>
        <n v="16203.25"/>
        <n v="16836.8"/>
        <n v="16410.2"/>
        <n v="16782.4"/>
        <n v="17452.9"/>
        <n v="17055.05"/>
        <n v="15834.65"/>
        <n v="15513.45"/>
        <n v="15450.9"/>
        <n v="14416.25"/>
        <n v="14151.4"/>
        <n v="14264.4"/>
        <n v="13661.75"/>
        <n v="13596.75"/>
        <n v="12962.8"/>
        <n v="11557.4"/>
        <n v="11347.05"/>
        <n v="10790.2"/>
        <n v="10882.25"/>
        <n v="10299.6"/>
        <n v="9544.35"/>
        <n v="8806.75"/>
        <n v="8055.8"/>
        <n v="7511.1"/>
        <n v="11175.05"/>
        <n v="11929.6"/>
        <n v="11832.3"/>
        <n v="11802.65"/>
        <n v="11090.15"/>
        <n v="10670.25"/>
        <n v="10637.15"/>
        <n v="10999.4"/>
        <n v="11625.1"/>
        <n v="11108.3"/>
        <n v="11549.1"/>
        <n v="10817.0"/>
        <n v="10585.65"/>
        <n v="10583.65"/>
        <n v="10333.85"/>
        <n v="10341.9"/>
        <n v="10004.55"/>
        <n v="10850.3"/>
        <n v="11234.95"/>
        <n v="10604.65"/>
        <n v="10550.9"/>
        <n v="10417.8"/>
        <n v="10111.3"/>
        <n v="9951.9"/>
        <n v="10276.3"/>
        <n v="10404.65"/>
        <n v="10033.35"/>
        <n v="10094.0"/>
        <n v="9831.05"/>
        <n v="9687.55"/>
        <n v="9685.55"/>
        <n v="9543.55"/>
        <n v="9448.75"/>
        <n v="9269.9"/>
        <n v="9075.15"/>
        <n v="8860.1"/>
        <n v="8537.5"/>
        <n v="8133.8"/>
        <n v="7893.8"/>
        <n v="7916.4"/>
        <n v="8506.15"/>
        <n v="8555.2"/>
        <n v="8518.15"/>
        <n v="8287.55"/>
        <n v="7927.05"/>
        <n v="7678.35"/>
        <n v="7516.85"/>
        <n v="7035.1"/>
        <n v="6825.8"/>
        <n v="7241.5"/>
        <n v="7551.05"/>
        <n v="7714.15"/>
        <n v="7930.65"/>
        <n v="7539.5"/>
        <n v="7667.25"/>
        <n v="8315.4"/>
        <n v="7940.3"/>
        <n v="7997.15"/>
        <n v="8144.75"/>
        <n v="8269.15"/>
        <n v="8470.5"/>
        <n v="8065.45"/>
        <n v="7961.35"/>
        <n v="8290.25"/>
        <n v="7723.85"/>
        <n v="7841.8"/>
        <n v="7540.1"/>
        <n v="7422.15"/>
        <n v="7239.5"/>
        <n v="6638.55"/>
        <n v="6650.4"/>
        <n v="6212.25"/>
        <n v="5933.3"/>
        <n v="6027.25"/>
        <n v="6129.95"/>
        <n v="5972.45"/>
        <n v="5700.95"/>
        <n v="5318.9"/>
        <n v="5118.85"/>
        <n v="5675.75"/>
        <n v="5566.25"/>
        <n v="5910.95"/>
        <n v="5477.2"/>
        <n v="5604.85"/>
        <n v="5671.9"/>
        <n v="5935.2"/>
        <n v="5823.15"/>
        <n v="5548.35"/>
        <n v="4888.2"/>
        <n v="5215.7"/>
        <n v="5164.65"/>
        <n v="5032.4"/>
        <n v="4770.35"/>
        <n v="4788.95"/>
        <n v="5154.3"/>
        <n v="5135.95"/>
        <n v="5159.0"/>
        <n v="4588.05"/>
        <n v="4531.15"/>
        <n v="4639.1"/>
        <n v="4728.3"/>
        <n v="4758.85"/>
        <n v="4720.0"/>
        <n v="5453.95"/>
        <n v="5195.9"/>
        <n v="5328.7"/>
        <n v="5693.25"/>
        <n v="5348.2"/>
        <n v="5177.7"/>
        <n v="5416.65"/>
        <n v="5721.15"/>
        <n v="5690.35"/>
        <n v="5937.1"/>
        <n v="5403.05"/>
        <n v="5348.9"/>
        <n v="5225.6"/>
        <n v="4961.05"/>
        <n v="4786.45"/>
        <n v="5160.9"/>
        <n v="4935.35"/>
        <n v="4675.4"/>
        <n v="4766.0"/>
      </sharedItems>
    </cacheField>
    <cacheField name="Close" numFmtId="0">
      <sharedItems containsSemiMixedTypes="0" containsString="0" containsNumber="1">
        <n v="22642.75"/>
        <n v="22326.9"/>
        <n v="21982.8"/>
        <n v="21725.7"/>
        <n v="21731.4"/>
        <n v="20133.15"/>
        <n v="19079.6"/>
        <n v="19638.3"/>
        <n v="19253.8"/>
        <n v="19753.8"/>
        <n v="19189.05"/>
        <n v="18534.4"/>
        <n v="18065.0"/>
        <n v="17359.75"/>
        <n v="17303.95"/>
        <n v="17662.15"/>
        <n v="18105.3"/>
        <n v="18758.35"/>
        <n v="18012.2"/>
        <n v="17094.35"/>
        <n v="17759.3"/>
        <n v="17158.25"/>
        <n v="15780.25"/>
        <n v="16584.55"/>
        <n v="17102.55"/>
        <n v="17464.75"/>
        <n v="16793.9"/>
        <n v="17339.85"/>
        <n v="17354.05"/>
        <n v="16983.2"/>
        <n v="17671.65"/>
        <n v="17618.15"/>
        <n v="17132.2"/>
        <n v="15763.05"/>
        <n v="15721.5"/>
        <n v="15582.8"/>
        <n v="14631.1"/>
        <n v="14690.7"/>
        <n v="14529.15"/>
        <n v="13634.6"/>
        <n v="13981.75"/>
        <n v="12968.95"/>
        <n v="11642.4"/>
        <n v="11247.55"/>
        <n v="11387.5"/>
        <n v="11073.45"/>
        <n v="10302.1"/>
        <n v="9580.3"/>
        <n v="9859.9"/>
        <n v="8597.75"/>
        <n v="11201.75"/>
        <n v="11962.1"/>
        <n v="12168.45"/>
        <n v="12056.05"/>
        <n v="11877.45"/>
        <n v="11474.45"/>
        <n v="11023.25"/>
        <n v="11118.0"/>
        <n v="11788.85"/>
        <n v="11922.8"/>
        <n v="11748.15"/>
        <n v="11623.9"/>
        <n v="10792.5"/>
        <n v="10830.95"/>
        <n v="10862.55"/>
        <n v="10876.75"/>
        <n v="10386.6"/>
        <n v="10930.45"/>
        <n v="11680.5"/>
        <n v="11356.5"/>
        <n v="10714.3"/>
        <n v="10736.15"/>
        <n v="10739.35"/>
        <n v="10113.7"/>
        <n v="10492.85"/>
        <n v="11027.7"/>
        <n v="10530.7"/>
        <n v="10226.55"/>
        <n v="10335.3"/>
        <n v="9788.6"/>
        <n v="9917.9"/>
        <n v="10077.1"/>
        <n v="9520.9"/>
        <n v="9621.25"/>
        <n v="9304.05"/>
        <n v="9173.75"/>
        <n v="8879.6"/>
        <n v="8561.3"/>
        <n v="8185.8"/>
        <n v="8224.5"/>
        <n v="8625.7"/>
        <n v="8611.15"/>
        <n v="8786.2"/>
        <n v="8638.5"/>
        <n v="8287.75"/>
        <n v="8160.1"/>
        <n v="7849.8"/>
        <n v="7738.4"/>
        <n v="6987.05"/>
        <n v="7563.55"/>
        <n v="7946.35"/>
        <n v="7935.25"/>
        <n v="8065.8"/>
        <n v="7948.9"/>
        <n v="7971.3"/>
        <n v="8532.85"/>
        <n v="8368.5"/>
        <n v="8433.65"/>
        <n v="8181.5"/>
        <n v="8491.0"/>
        <n v="8901.85"/>
        <n v="8808.9"/>
        <n v="8282.7"/>
        <n v="8588.25"/>
        <n v="8322.2"/>
        <n v="7964.8"/>
        <n v="7954.35"/>
        <n v="7721.3"/>
        <n v="7611.35"/>
        <n v="7229.95"/>
        <n v="6696.4"/>
        <n v="6704.2"/>
        <n v="6276.95"/>
        <n v="6089.5"/>
        <n v="6304.0"/>
        <n v="6176.1"/>
        <n v="6299.15"/>
        <n v="5735.3"/>
        <n v="5471.8"/>
        <n v="5742.0"/>
        <n v="5842.2"/>
        <n v="5985.95"/>
        <n v="5930.2"/>
        <n v="5682.55"/>
        <n v="5693.05"/>
        <n v="6034.75"/>
        <n v="5905.1"/>
        <n v="5879.85"/>
        <n v="5619.7"/>
        <n v="5703.3"/>
        <n v="5258.5"/>
        <n v="5229.0"/>
        <n v="5278.9"/>
        <n v="4924.25"/>
        <n v="5248.15"/>
        <n v="5295.55"/>
        <n v="5385.2"/>
        <n v="5199.25"/>
        <n v="4624.3"/>
        <n v="4832.05"/>
        <n v="5326.6"/>
        <n v="4943.25"/>
        <n v="5001.0"/>
        <n v="5482.0"/>
        <n v="5647.4"/>
        <n v="5560.15"/>
        <n v="5749.5"/>
        <n v="5833.75"/>
        <n v="5333.25"/>
        <n v="5505.9"/>
        <n v="6134.5"/>
        <n v="5862.7"/>
        <n v="6017.7"/>
        <n v="6029.95"/>
        <n v="5402.4"/>
        <n v="5367.6"/>
        <n v="5312.5"/>
        <n v="5086.3"/>
        <n v="5278.0"/>
        <n v="5249.1"/>
        <n v="4922.3"/>
        <n v="4882.05"/>
      </sharedItems>
    </cacheField>
  </cacheFields>
</pivotCacheDefinition>
</file>

<file path=xl/tables/table1.xml><?xml version="1.0" encoding="utf-8"?>
<table xmlns="http://schemas.openxmlformats.org/spreadsheetml/2006/main" totalsRowCount="1" ref="G1:I16" displayName="Table_1" name="Table_1" id="1">
  <tableColumns count="3">
    <tableColumn name="Years" id="1"/>
    <tableColumn name="Budget launch Date" id="2"/>
    <tableColumn totalsRowFunction="custom" name="Correlation" id="3"/>
  </tableColumns>
  <tableStyleInfo name="BSE DATA AND CORRELATION-style" showColumnStripes="0" showFirstColumn="1" showLastColumn="1" showRowStripes="1"/>
</table>
</file>

<file path=xl/tables/table2.xml><?xml version="1.0" encoding="utf-8"?>
<table xmlns="http://schemas.openxmlformats.org/spreadsheetml/2006/main" totalsRowCount="1" ref="P2:R11" displayName="Table_2" name="Table_2" id="2">
  <tableColumns count="3">
    <tableColumn name="Years" id="1"/>
    <tableColumn name="Budget Launch Date" id="2"/>
    <tableColumn totalsRowFunction="custom" name="Correlation" id="3"/>
  </tableColumns>
  <tableStyleInfo name="BSE DATA AND CORRELATION-style 2" showColumnStripes="0" showFirstColumn="1" showLastColumn="1" showRowStripes="1"/>
</table>
</file>

<file path=xl/tables/table3.xml><?xml version="1.0" encoding="utf-8"?>
<table xmlns="http://schemas.openxmlformats.org/spreadsheetml/2006/main" ref="A3:E174" displayName="Table_3" name="Table_3" id="3">
  <tableColumns count="5">
    <tableColumn name="Month" id="1"/>
    <tableColumn name="Open" id="2"/>
    <tableColumn name="High" id="3"/>
    <tableColumn name="Low" id="4"/>
    <tableColumn name="Close" id="5"/>
  </tableColumns>
  <tableStyleInfo name="BSE DATA AND CORRELATION-style 3" showColumnStripes="0" showFirstColumn="1" showLastColumn="1" showRowStripes="1"/>
</table>
</file>

<file path=xl/tables/table4.xml><?xml version="1.0" encoding="utf-8"?>
<table xmlns="http://schemas.openxmlformats.org/spreadsheetml/2006/main" ref="K5:L9" displayName="Table_4" name="Table_4" id="4">
  <tableColumns count="2">
    <tableColumn name="Months" id="1"/>
    <tableColumn name="Close" id="2"/>
  </tableColumns>
  <tableStyleInfo name="BSE DATA AND CORRELATION-style 4" showColumnStripes="0" showFirstColumn="1" showLastColumn="1" showRowStripes="1"/>
</table>
</file>

<file path=xl/tables/table5.xml><?xml version="1.0" encoding="utf-8"?>
<table xmlns="http://schemas.openxmlformats.org/spreadsheetml/2006/main" ref="K14:L18" displayName="Table_5" name="Table_5" id="5">
  <tableColumns count="2">
    <tableColumn name="Months" id="1"/>
    <tableColumn name="Close" id="2"/>
  </tableColumns>
  <tableStyleInfo name="BSE DATA AND CORRELATION-style 5" showColumnStripes="0" showFirstColumn="1" showLastColumn="1" showRowStripes="1"/>
</table>
</file>

<file path=xl/tables/table6.xml><?xml version="1.0" encoding="utf-8"?>
<table xmlns="http://schemas.openxmlformats.org/spreadsheetml/2006/main" ref="G21:H25" displayName="Table_6" name="Table_6" id="6">
  <tableColumns count="2">
    <tableColumn name="Months" id="1"/>
    <tableColumn name="Close" id="2"/>
  </tableColumns>
  <tableStyleInfo name="BSE DATA AND CORRELATION-style 6" showColumnStripes="0" showFirstColumn="1" showLastColumn="1" showRowStripes="1"/>
</table>
</file>

<file path=xl/tables/table7.xml><?xml version="1.0" encoding="utf-8"?>
<table xmlns="http://schemas.openxmlformats.org/spreadsheetml/2006/main" ref="K23:L27" displayName="Table_7" name="Table_7" id="7">
  <tableColumns count="2">
    <tableColumn name="Months" id="1"/>
    <tableColumn name="Close" id="2"/>
  </tableColumns>
  <tableStyleInfo name="BSE DATA AND CORRELATION-style 7" showColumnStripes="0" showFirstColumn="1" showLastColumn="1" showRowStripes="1"/>
</table>
</file>

<file path=xl/tables/table8.xml><?xml version="1.0" encoding="utf-8"?>
<table xmlns="http://schemas.openxmlformats.org/spreadsheetml/2006/main" ref="K31:L35" displayName="Table_8" name="Table_8" id="8">
  <tableColumns count="2">
    <tableColumn name="Months" id="1"/>
    <tableColumn name="Close" id="2"/>
  </tableColumns>
  <tableStyleInfo name="BSE DATA AND CORRELATION-style 8" showColumnStripes="0" showFirstColumn="1" showLastColumn="1" showRowStripes="1"/>
</table>
</file>

<file path=xl/tables/table9.xml><?xml version="1.0" encoding="utf-8"?>
<table xmlns="http://schemas.openxmlformats.org/spreadsheetml/2006/main" ref="K39:L43" displayName="Table_9" name="Table_9" id="9">
  <tableColumns count="2">
    <tableColumn name="Months" id="1"/>
    <tableColumn name="Close" id="2"/>
  </tableColumns>
  <tableStyleInfo name="BSE DATA AND CORRELATION-style 9" showColumnStripes="0" showFirstColumn="1" showLastColumn="1" showRowStripes="1"/>
</table>
</file>

<file path=xl/tables/table10.xml><?xml version="1.0" encoding="utf-8"?>
<table xmlns="http://schemas.openxmlformats.org/spreadsheetml/2006/main" ref="K47:L51" displayName="Table_10" name="Table_10" id="10">
  <tableColumns count="2">
    <tableColumn name="Months" id="1"/>
    <tableColumn name="Close" id="2"/>
  </tableColumns>
  <tableStyleInfo name="BSE DATA AND CORRELATION-style 10" showColumnStripes="0" showFirstColumn="1" showLastColumn="1" showRowStripes="1"/>
</table>
</file>

<file path=xl/tables/table11.xml><?xml version="1.0" encoding="utf-8"?>
<table xmlns="http://schemas.openxmlformats.org/spreadsheetml/2006/main" ref="K55:L59" displayName="Table_11" name="Table_11" id="11">
  <tableColumns count="2">
    <tableColumn name="Months" id="1"/>
    <tableColumn name="Close" id="2"/>
  </tableColumns>
  <tableStyleInfo name="BSE DATA AND CORRELATION-style 11" showColumnStripes="0" showFirstColumn="1" showLastColumn="1" showRowStripes="1"/>
</table>
</file>

<file path=xl/tables/table12.xml><?xml version="1.0" encoding="utf-8"?>
<table xmlns="http://schemas.openxmlformats.org/spreadsheetml/2006/main" ref="K63:L67" displayName="Table_12" name="Table_12" id="12">
  <tableColumns count="2">
    <tableColumn name="Months" id="1"/>
    <tableColumn name="Close" id="2"/>
  </tableColumns>
  <tableStyleInfo name="BSE DATA AND CORRELATION-style 12" showColumnStripes="0" showFirstColumn="1" showLastColumn="1" showRowStripes="1"/>
</table>
</file>

<file path=xl/tables/table13.xml><?xml version="1.0" encoding="utf-8"?>
<table xmlns="http://schemas.openxmlformats.org/spreadsheetml/2006/main" ref="K71:L75" displayName="Table_13" name="Table_13" id="13">
  <tableColumns count="2">
    <tableColumn name="Months" id="1"/>
    <tableColumn name="Close" id="2"/>
  </tableColumns>
  <tableStyleInfo name="BSE DATA AND CORRELATION-style 13" showColumnStripes="0" showFirstColumn="1" showLastColumn="1" showRowStripes="1"/>
</table>
</file>

<file path=xl/tables/table14.xml><?xml version="1.0" encoding="utf-8"?>
<table xmlns="http://schemas.openxmlformats.org/spreadsheetml/2006/main" ref="K79:L83" displayName="Table_14" name="Table_14" id="14">
  <tableColumns count="2">
    <tableColumn name="Months" id="1"/>
    <tableColumn name="Close" id="2"/>
  </tableColumns>
  <tableStyleInfo name="BSE DATA AND CORRELATION-style 14" showColumnStripes="0" showFirstColumn="1" showLastColumn="1" showRowStripes="1"/>
</table>
</file>

<file path=xl/tables/table15.xml><?xml version="1.0" encoding="utf-8"?>
<table xmlns="http://schemas.openxmlformats.org/spreadsheetml/2006/main" ref="K87:L91" displayName="Table_15" name="Table_15" id="15">
  <tableColumns count="2">
    <tableColumn name="Months" id="1"/>
    <tableColumn name="Close" id="2"/>
  </tableColumns>
  <tableStyleInfo name="BSE DATA AND CORRELATION-style 15" showColumnStripes="0" showFirstColumn="1" showLastColumn="1" showRowStripes="1"/>
</table>
</file>

<file path=xl/tables/table16.xml><?xml version="1.0" encoding="utf-8"?>
<table xmlns="http://schemas.openxmlformats.org/spreadsheetml/2006/main" ref="K95:L99" displayName="Table_16" name="Table_16" id="16">
  <tableColumns count="2">
    <tableColumn name="Months" id="1"/>
    <tableColumn name="Close" id="2"/>
  </tableColumns>
  <tableStyleInfo name="BSE DATA AND CORRELATION-style 16" showColumnStripes="0" showFirstColumn="1" showLastColumn="1" showRowStripes="1"/>
</table>
</file>

<file path=xl/tables/table17.xml><?xml version="1.0" encoding="utf-8"?>
<table xmlns="http://schemas.openxmlformats.org/spreadsheetml/2006/main" ref="K103:L107" displayName="Table_17" name="Table_17" id="17">
  <tableColumns count="2">
    <tableColumn name="Months" id="1"/>
    <tableColumn name="Close" id="2"/>
  </tableColumns>
  <tableStyleInfo name="BSE DATA AND CORRELATION-style 17" showColumnStripes="0" showFirstColumn="1" showLastColumn="1" showRowStripes="1"/>
</table>
</file>

<file path=xl/tables/table18.xml><?xml version="1.0" encoding="utf-8"?>
<table xmlns="http://schemas.openxmlformats.org/spreadsheetml/2006/main" ref="K111:L115" displayName="Table_18" name="Table_18" id="18">
  <tableColumns count="2">
    <tableColumn name="Months" id="1"/>
    <tableColumn name="Close" id="2"/>
  </tableColumns>
  <tableStyleInfo name="BSE DATA AND CORRELATION-style 18" showColumnStripes="0" showFirstColumn="1" showLastColumn="1" showRowStripes="1"/>
</table>
</file>

<file path=xl/tables/table19.xml><?xml version="1.0" encoding="utf-8"?>
<table xmlns="http://schemas.openxmlformats.org/spreadsheetml/2006/main" ref="D1:F15" displayName="Table_19" name="Table_19" id="19">
  <tableColumns count="3">
    <tableColumn name="Years" id="1"/>
    <tableColumn name="Budget launch Date" id="2"/>
    <tableColumn name="Correlation" id="3"/>
  </tableColumns>
  <tableStyleInfo name="BSE CORRELATION WITH PIVOTTABLE-style" showColumnStripes="0" showFirstColumn="1" showLastColumn="1" showRowStripes="1"/>
</table>
</file>

<file path=xl/tables/table20.xml><?xml version="1.0" encoding="utf-8"?>
<table xmlns="http://schemas.openxmlformats.org/spreadsheetml/2006/main" ref="N4:O8" displayName="Table_20" name="Table_20" id="20">
  <tableColumns count="2">
    <tableColumn name="Months" id="1"/>
    <tableColumn name="Close" id="2"/>
  </tableColumns>
  <tableStyleInfo name="BSE CORRELATION WITH PIVOTTABLE-style 2" showColumnStripes="0" showFirstColumn="1" showLastColumn="1" showRowStripes="1"/>
</table>
</file>

<file path=xl/tables/table21.xml><?xml version="1.0" encoding="utf-8"?>
<table xmlns="http://schemas.openxmlformats.org/spreadsheetml/2006/main" ref="S4:T8" displayName="Table_21" name="Table_21" id="21">
  <tableColumns count="2">
    <tableColumn name="Months" id="1"/>
    <tableColumn name="Close" id="2"/>
  </tableColumns>
  <tableStyleInfo name="BSE CORRELATION WITH PIVOTTABLE-style 3" showColumnStripes="0" showFirstColumn="1" showLastColumn="1" showRowStripes="1"/>
</table>
</file>

<file path=xl/tables/table22.xml><?xml version="1.0" encoding="utf-8"?>
<table xmlns="http://schemas.openxmlformats.org/spreadsheetml/2006/main" ref="I5:J9" displayName="Table_22" name="Table_22" id="22">
  <tableColumns count="2">
    <tableColumn name="Months" id="1"/>
    <tableColumn name="Close" id="2"/>
  </tableColumns>
  <tableStyleInfo name="BSE CORRELATION WITH PIVOTTABLE-style 4" showColumnStripes="0" showFirstColumn="1" showLastColumn="1" showRowStripes="1"/>
</table>
</file>

<file path=xl/tables/table23.xml><?xml version="1.0" encoding="utf-8"?>
<table xmlns="http://schemas.openxmlformats.org/spreadsheetml/2006/main" ref="N12:O16" displayName="Table_23" name="Table_23" id="23">
  <tableColumns count="2">
    <tableColumn name="Months" id="1"/>
    <tableColumn name="Close" id="2"/>
  </tableColumns>
  <tableStyleInfo name="BSE CORRELATION WITH PIVOTTABLE-style 5" showColumnStripes="0" showFirstColumn="1" showLastColumn="1" showRowStripes="1"/>
</table>
</file>

<file path=xl/tables/table24.xml><?xml version="1.0" encoding="utf-8"?>
<table xmlns="http://schemas.openxmlformats.org/spreadsheetml/2006/main" ref="S12:T16" displayName="Table_24" name="Table_24" id="24">
  <tableColumns count="2">
    <tableColumn name="Months" id="1"/>
    <tableColumn name="Close" id="2"/>
  </tableColumns>
  <tableStyleInfo name="BSE CORRELATION WITH PIVOTTABLE-style 6" showColumnStripes="0" showFirstColumn="1" showLastColumn="1" showRowStripes="1"/>
</table>
</file>

<file path=xl/tables/table25.xml><?xml version="1.0" encoding="utf-8"?>
<table xmlns="http://schemas.openxmlformats.org/spreadsheetml/2006/main" ref="I14:J18" displayName="Table_25" name="Table_25" id="25">
  <tableColumns count="2">
    <tableColumn name="Months" id="1"/>
    <tableColumn name="Close" id="2"/>
  </tableColumns>
  <tableStyleInfo name="BSE CORRELATION WITH PIVOTTABLE-style 7" showColumnStripes="0" showFirstColumn="1" showLastColumn="1" showRowStripes="1"/>
</table>
</file>

<file path=xl/tables/table26.xml><?xml version="1.0" encoding="utf-8"?>
<table xmlns="http://schemas.openxmlformats.org/spreadsheetml/2006/main" ref="D20:E24" displayName="Table_26" name="Table_26" id="26">
  <tableColumns count="2">
    <tableColumn name="Months" id="1"/>
    <tableColumn name="Close" id="2"/>
  </tableColumns>
  <tableStyleInfo name="BSE CORRELATION WITH PIVOTTABLE-style 8" showColumnStripes="0" showFirstColumn="1" showLastColumn="1" showRowStripes="1"/>
</table>
</file>

<file path=xl/tables/table27.xml><?xml version="1.0" encoding="utf-8"?>
<table xmlns="http://schemas.openxmlformats.org/spreadsheetml/2006/main" ref="N20:O24" displayName="Table_27" name="Table_27" id="27">
  <tableColumns count="2">
    <tableColumn name="Months" id="1"/>
    <tableColumn name="Close" id="2"/>
  </tableColumns>
  <tableStyleInfo name="BSE CORRELATION WITH PIVOTTABLE-style 9" showColumnStripes="0" showFirstColumn="1" showLastColumn="1" showRowStripes="1"/>
</table>
</file>

<file path=xl/tables/table28.xml><?xml version="1.0" encoding="utf-8"?>
<table xmlns="http://schemas.openxmlformats.org/spreadsheetml/2006/main" ref="S20:T24" displayName="Table_28" name="Table_28" id="28">
  <tableColumns count="2">
    <tableColumn name="Months" id="1"/>
    <tableColumn name="Close" id="2"/>
  </tableColumns>
  <tableStyleInfo name="BSE CORRELATION WITH PIVOTTABLE-style 10" showColumnStripes="0" showFirstColumn="1" showLastColumn="1" showRowStripes="1"/>
</table>
</file>

<file path=xl/tables/table29.xml><?xml version="1.0" encoding="utf-8"?>
<table xmlns="http://schemas.openxmlformats.org/spreadsheetml/2006/main" ref="I23:J27" displayName="Table_29" name="Table_29" id="29">
  <tableColumns count="2">
    <tableColumn name="Months" id="1"/>
    <tableColumn name="Close" id="2"/>
  </tableColumns>
  <tableStyleInfo name="BSE CORRELATION WITH PIVOTTABLE-style 11" showColumnStripes="0" showFirstColumn="1" showLastColumn="1" showRowStripes="1"/>
</table>
</file>

<file path=xl/tables/table30.xml><?xml version="1.0" encoding="utf-8"?>
<table xmlns="http://schemas.openxmlformats.org/spreadsheetml/2006/main" ref="N28:O32" displayName="Table_30" name="Table_30" id="30">
  <tableColumns count="2">
    <tableColumn name="Months" id="1"/>
    <tableColumn name="Close" id="2"/>
  </tableColumns>
  <tableStyleInfo name="BSE CORRELATION WITH PIVOTTABLE-style 12" showColumnStripes="0" showFirstColumn="1" showLastColumn="1" showRowStripes="1"/>
</table>
</file>

<file path=xl/tables/table31.xml><?xml version="1.0" encoding="utf-8"?>
<table xmlns="http://schemas.openxmlformats.org/spreadsheetml/2006/main" ref="S28:T32" displayName="Table_31" name="Table_31" id="31">
  <tableColumns count="2">
    <tableColumn name="Months" id="1"/>
    <tableColumn name="Close" id="2"/>
  </tableColumns>
  <tableStyleInfo name="BSE CORRELATION WITH PIVOTTABLE-style 13" showColumnStripes="0" showFirstColumn="1" showLastColumn="1" showRowStripes="1"/>
</table>
</file>

<file path=xl/tables/table32.xml><?xml version="1.0" encoding="utf-8"?>
<table xmlns="http://schemas.openxmlformats.org/spreadsheetml/2006/main" ref="I31:J35" displayName="Table_32" name="Table_32" id="32">
  <tableColumns count="2">
    <tableColumn name="Months" id="1"/>
    <tableColumn name="Close" id="2"/>
  </tableColumns>
  <tableStyleInfo name="BSE CORRELATION WITH PIVOTTABLE-style 14" showColumnStripes="0" showFirstColumn="1" showLastColumn="1" showRowStripes="1"/>
</table>
</file>

<file path=xl/tables/table33.xml><?xml version="1.0" encoding="utf-8"?>
<table xmlns="http://schemas.openxmlformats.org/spreadsheetml/2006/main" ref="S36:T40" displayName="Table_33" name="Table_33" id="33">
  <tableColumns count="2">
    <tableColumn name="Months" id="1"/>
    <tableColumn name="Close" id="2"/>
  </tableColumns>
  <tableStyleInfo name="BSE CORRELATION WITH PIVOTTABLE-style 15" showColumnStripes="0" showFirstColumn="1" showLastColumn="1" showRowStripes="1"/>
</table>
</file>

<file path=xl/tables/table34.xml><?xml version="1.0" encoding="utf-8"?>
<table xmlns="http://schemas.openxmlformats.org/spreadsheetml/2006/main" ref="J2:K16" displayName="Table_34" name="Table_34" id="34">
  <tableColumns count="2">
    <tableColumn name="Years" id="1"/>
    <tableColumn name="Budget launch Date" id="2"/>
  </tableColumns>
  <tableStyleInfo name="NSE DATA-style" showColumnStripes="0" showFirstColumn="1" showLastColumn="1" showRowStripes="1"/>
</table>
</file>

<file path=xl/tables/table35.xml><?xml version="1.0" encoding="utf-8"?>
<table xmlns="http://schemas.openxmlformats.org/spreadsheetml/2006/main" ref="A3:G2084" displayName="Table_35" name="Table_35" id="35">
  <tableColumns count="7">
    <tableColumn name="Date " id="1"/>
    <tableColumn name="Open " id="2"/>
    <tableColumn name="High " id="3"/>
    <tableColumn name="Low " id="4"/>
    <tableColumn name="Close " id="5"/>
    <tableColumn name="Shares Traded " id="6"/>
    <tableColumn name="Turnover (â‚¹ Cr)" id="7"/>
  </tableColumns>
  <tableStyleInfo name="NSE DATA-style 2" showColumnStripes="0" showFirstColumn="1" showLastColumn="1" showRowStripes="1"/>
</table>
</file>

<file path=xl/tables/table36.xml><?xml version="1.0" encoding="utf-8"?>
<table xmlns="http://schemas.openxmlformats.org/spreadsheetml/2006/main" ref="N5:O9" displayName="Table_36" name="Table_36" id="36">
  <tableColumns count="2">
    <tableColumn name="Dates" id="1"/>
    <tableColumn name="Close" id="2"/>
  </tableColumns>
  <tableStyleInfo name="NSE DATA-style 3" showColumnStripes="0" showFirstColumn="1" showLastColumn="1" showRowStripes="1"/>
</table>
</file>

<file path=xl/tables/table37.xml><?xml version="1.0" encoding="utf-8"?>
<table xmlns="http://schemas.openxmlformats.org/spreadsheetml/2006/main" ref="N14:O18" displayName="Table_37" name="Table_37" id="37">
  <tableColumns count="2">
    <tableColumn name="Dates" id="1"/>
    <tableColumn name="Close" id="2"/>
  </tableColumns>
  <tableStyleInfo name="NSE DATA-style 4" showColumnStripes="0" showFirstColumn="1" showLastColumn="1" showRowStripes="1"/>
</table>
</file>

<file path=xl/tables/table38.xml><?xml version="1.0" encoding="utf-8"?>
<table xmlns="http://schemas.openxmlformats.org/spreadsheetml/2006/main" totalsRowCount="1" ref="D3:F12" displayName="Table_38" name="Table_38" id="38">
  <tableColumns count="3">
    <tableColumn name="Years" id="1"/>
    <tableColumn totalsRowFunction="custom" name="Budget launch Date" id="2"/>
    <tableColumn totalsRowFunction="custom" name="Correlation" id="3"/>
  </tableColumns>
  <tableStyleInfo name="NSE CORRELATION WITH PIVOTTABLE-style" showColumnStripes="0" showFirstColumn="1" showLastColumn="1" showRowStripes="1"/>
</table>
</file>

<file path=xl/tables/table39.xml><?xml version="1.0" encoding="utf-8"?>
<table xmlns="http://schemas.openxmlformats.org/spreadsheetml/2006/main" ref="H6:I10" displayName="Table_39" name="Table_39" id="39">
  <tableColumns count="2">
    <tableColumn name="Dates" id="1"/>
    <tableColumn name="Close" id="2"/>
  </tableColumns>
  <tableStyleInfo name="NSE CORRELATION WITH PIVOTTABLE-style 2" showColumnStripes="0" showFirstColumn="1" showLastColumn="1" showRowStripes="1"/>
</table>
</file>

<file path=xl/tables/table40.xml><?xml version="1.0" encoding="utf-8"?>
<table xmlns="http://schemas.openxmlformats.org/spreadsheetml/2006/main" ref="M6:N10" displayName="Table_40" name="Table_40" id="40">
  <tableColumns count="2">
    <tableColumn name="Dates" id="1"/>
    <tableColumn name="Close" id="2"/>
  </tableColumns>
  <tableStyleInfo name="NSE CORRELATION WITH PIVOTTABLE-style 3" showColumnStripes="0" showFirstColumn="1" showLastColumn="1" showRowStripes="1"/>
</table>
</file>

<file path=xl/tables/table41.xml><?xml version="1.0" encoding="utf-8"?>
<table xmlns="http://schemas.openxmlformats.org/spreadsheetml/2006/main" ref="R6:S10" displayName="Table_41" name="Table_41" id="41">
  <tableColumns count="2">
    <tableColumn name="Dates" id="1"/>
    <tableColumn name="Close" id="2"/>
  </tableColumns>
  <tableStyleInfo name="NSE CORRELATION WITH PIVOTTABLE-style 4" showColumnStripes="0" showFirstColumn="1" showLastColumn="1" showRowStripes="1"/>
</table>
</file>

<file path=xl/tables/table42.xml><?xml version="1.0" encoding="utf-8"?>
<table xmlns="http://schemas.openxmlformats.org/spreadsheetml/2006/main" ref="H15:I19" displayName="Table_42" name="Table_42" id="42">
  <tableColumns count="2">
    <tableColumn name="Dates" id="1"/>
    <tableColumn name="Close" id="2"/>
  </tableColumns>
  <tableStyleInfo name="NSE CORRELATION WITH PIVOTTABLE-style 5" showColumnStripes="0" showFirstColumn="1" showLastColumn="1" showRowStripes="1"/>
</table>
</file>

<file path=xl/tables/table43.xml><?xml version="1.0" encoding="utf-8"?>
<table xmlns="http://schemas.openxmlformats.org/spreadsheetml/2006/main" ref="M15:N19" displayName="Table_43" name="Table_43" id="43">
  <tableColumns count="2">
    <tableColumn name="Dates" id="1"/>
    <tableColumn name="Close" id="2"/>
  </tableColumns>
  <tableStyleInfo name="NSE CORRELATION WITH PIVOTTABLE-style 6" showColumnStripes="0" showFirstColumn="1" showLastColumn="1" showRowStripes="1"/>
</table>
</file>

<file path=xl/tables/table44.xml><?xml version="1.0" encoding="utf-8"?>
<table xmlns="http://schemas.openxmlformats.org/spreadsheetml/2006/main" ref="R15:S19" displayName="Table_44" name="Table_44" id="44">
  <tableColumns count="2">
    <tableColumn name="Dates" id="1"/>
    <tableColumn name="Close" id="2"/>
  </tableColumns>
  <tableStyleInfo name="NSE CORRELATION WITH PIVOTTABLE-style 7" showColumnStripes="0" showFirstColumn="1" showLastColumn="1" showRowStripes="1"/>
</table>
</file>

<file path=xl/tables/table45.xml><?xml version="1.0" encoding="utf-8"?>
<table xmlns="http://schemas.openxmlformats.org/spreadsheetml/2006/main" ref="D22:E26" displayName="Table_45" name="Table_45" id="45">
  <tableColumns count="2">
    <tableColumn name="Dates" id="1"/>
    <tableColumn name="Close" id="2"/>
  </tableColumns>
  <tableStyleInfo name="NSE CORRELATION WITH PIVOTTABLE-style 8" showColumnStripes="0" showFirstColumn="1" showLastColumn="1" showRowStripes="1"/>
</table>
</file>

<file path=xl/tables/table46.xml><?xml version="1.0" encoding="utf-8"?>
<table xmlns="http://schemas.openxmlformats.org/spreadsheetml/2006/main" ref="H24:I28" displayName="Table_46" name="Table_46" id="46">
  <tableColumns count="2">
    <tableColumn name="Dates" id="1"/>
    <tableColumn name="Close" id="2"/>
  </tableColumns>
  <tableStyleInfo name="NSE CORRELATION WITH PIVOTTABLE-style 9" showColumnStripes="0" showFirstColumn="1" showLastColumn="1" showRowStripes="1"/>
</table>
</file>

<file path=xl/tables/table47.xml><?xml version="1.0" encoding="utf-8"?>
<table xmlns="http://schemas.openxmlformats.org/spreadsheetml/2006/main" ref="M24:N28" displayName="Table_47" name="Table_47" id="47">
  <tableColumns count="2">
    <tableColumn name="Dates" id="1"/>
    <tableColumn name="Close" id="2"/>
  </tableColumns>
  <tableStyleInfo name="NSE CORRELATION WITH PIVOTTABLE-style 10" showColumnStripes="0" showFirstColumn="1" showLastColumn="1" showRowStripes="1"/>
</table>
</file>

<file path=xl/tables/table48.xml><?xml version="1.0" encoding="utf-8"?>
<table xmlns="http://schemas.openxmlformats.org/spreadsheetml/2006/main" ref="A1:E173" displayName="Table_48" name="Table_48" id="48">
  <tableColumns count="5">
    <tableColumn name="Date" id="1"/>
    <tableColumn name="Open" id="2"/>
    <tableColumn name="High" id="3"/>
    <tableColumn name="Low" id="4"/>
    <tableColumn name="Close" id="5"/>
  </tableColumns>
  <tableStyleInfo name="NSE MONEYCONTROL DATA-style" showColumnStripes="0" showFirstColumn="1" showLastColumn="1" showRowStripes="1"/>
</table>
</file>

<file path=xl/tables/table49.xml><?xml version="1.0" encoding="utf-8"?>
<table xmlns="http://schemas.openxmlformats.org/spreadsheetml/2006/main" ref="G1:H15" displayName="Table_49" name="Table_49" id="49">
  <tableColumns count="2">
    <tableColumn name="Years" id="1"/>
    <tableColumn name="Budget launch Date" id="2"/>
  </tableColumns>
  <tableStyleInfo name="NSE MONEYCONTROL DATA-style 2" showColumnStripes="0" showFirstColumn="1" showLastColumn="1" showRowStripes="1"/>
</table>
</file>

<file path=xl/tables/table50.xml><?xml version="1.0" encoding="utf-8"?>
<table xmlns="http://schemas.openxmlformats.org/spreadsheetml/2006/main" ref="J5:K9" displayName="Table_50" name="Table_50" id="50">
  <tableColumns count="2">
    <tableColumn name="Months" id="1"/>
    <tableColumn name="Close" id="2"/>
  </tableColumns>
  <tableStyleInfo name="NSE MONEYCONTROL DATA-style 3" showColumnStripes="0" showFirstColumn="1" showLastColumn="1" showRowStripes="1"/>
</table>
</file>

<file path=xl/tables/table51.xml><?xml version="1.0" encoding="utf-8"?>
<table xmlns="http://schemas.openxmlformats.org/spreadsheetml/2006/main" totalsRowCount="1" ref="C2:E16" displayName="Table_51" name="Table_51" id="51">
  <tableColumns count="3">
    <tableColumn name="Years" id="1"/>
    <tableColumn name="Budget launch Date" id="2"/>
    <tableColumn totalsRowFunction="custom" name="Correlation" id="3"/>
  </tableColumns>
  <tableStyleInfo name="NSE MONEYCONTROL CORRELATION-style" showColumnStripes="0" showFirstColumn="1" showLastColumn="1" showRowStripes="1"/>
</table>
</file>

<file path=xl/tables/table52.xml><?xml version="1.0" encoding="utf-8"?>
<table xmlns="http://schemas.openxmlformats.org/spreadsheetml/2006/main" ref="G4:H8" displayName="Table_52" name="Table_52" id="52">
  <tableColumns count="2">
    <tableColumn name="Months" id="1"/>
    <tableColumn name="Close" id="2"/>
  </tableColumns>
  <tableStyleInfo name="NSE MONEYCONTROL CORRELATION-style 2" showColumnStripes="0" showFirstColumn="1" showLastColumn="1" showRowStripes="1"/>
</table>
</file>

<file path=xl/tables/table53.xml><?xml version="1.0" encoding="utf-8"?>
<table xmlns="http://schemas.openxmlformats.org/spreadsheetml/2006/main" ref="K4:L8" displayName="Table_53" name="Table_53" id="53">
  <tableColumns count="2">
    <tableColumn name="Months" id="1"/>
    <tableColumn name="Close" id="2"/>
  </tableColumns>
  <tableStyleInfo name="NSE MONEYCONTROL CORRELATION-style 3" showColumnStripes="0" showFirstColumn="1" showLastColumn="1" showRowStripes="1"/>
</table>
</file>

<file path=xl/tables/table54.xml><?xml version="1.0" encoding="utf-8"?>
<table xmlns="http://schemas.openxmlformats.org/spreadsheetml/2006/main" ref="O4:P8" displayName="Table_54" name="Table_54" id="54">
  <tableColumns count="2">
    <tableColumn name="Months" id="1"/>
    <tableColumn name="Close" id="2"/>
  </tableColumns>
  <tableStyleInfo name="NSE MONEYCONTROL CORRELATION-style 4" showColumnStripes="0" showFirstColumn="1" showLastColumn="1" showRowStripes="1"/>
</table>
</file>

<file path=xl/tables/table55.xml><?xml version="1.0" encoding="utf-8"?>
<table xmlns="http://schemas.openxmlformats.org/spreadsheetml/2006/main" ref="G13:H17" displayName="Table_55" name="Table_55" id="55">
  <tableColumns count="2">
    <tableColumn name="Months" id="1"/>
    <tableColumn name="Close" id="2"/>
  </tableColumns>
  <tableStyleInfo name="NSE MONEYCONTROL CORRELATION-style 5" showColumnStripes="0" showFirstColumn="1" showLastColumn="1" showRowStripes="1"/>
</table>
</file>

<file path=xl/tables/table56.xml><?xml version="1.0" encoding="utf-8"?>
<table xmlns="http://schemas.openxmlformats.org/spreadsheetml/2006/main" ref="K13:L17" displayName="Table_56" name="Table_56" id="56">
  <tableColumns count="2">
    <tableColumn name="Months" id="1"/>
    <tableColumn name="Close" id="2"/>
  </tableColumns>
  <tableStyleInfo name="NSE MONEYCONTROL CORRELATION-style 6" showColumnStripes="0" showFirstColumn="1" showLastColumn="1" showRowStripes="1"/>
</table>
</file>

<file path=xl/tables/table57.xml><?xml version="1.0" encoding="utf-8"?>
<table xmlns="http://schemas.openxmlformats.org/spreadsheetml/2006/main" ref="O13:P17" displayName="Table_57" name="Table_57" id="57">
  <tableColumns count="2">
    <tableColumn name="Months" id="1"/>
    <tableColumn name="Close" id="2"/>
  </tableColumns>
  <tableStyleInfo name="NSE MONEYCONTROL CORRELATION-style 7" showColumnStripes="0" showFirstColumn="1" showLastColumn="1" showRowStripes="1"/>
</table>
</file>

<file path=xl/tables/table58.xml><?xml version="1.0" encoding="utf-8"?>
<table xmlns="http://schemas.openxmlformats.org/spreadsheetml/2006/main" ref="C21:D25" displayName="Table_58" name="Table_58" id="58">
  <tableColumns count="2">
    <tableColumn name="Months" id="1"/>
    <tableColumn name="Close" id="2"/>
  </tableColumns>
  <tableStyleInfo name="NSE MONEYCONTROL CORRELATION-style 8" showColumnStripes="0" showFirstColumn="1" showLastColumn="1" showRowStripes="1"/>
</table>
</file>

<file path=xl/tables/table59.xml><?xml version="1.0" encoding="utf-8"?>
<table xmlns="http://schemas.openxmlformats.org/spreadsheetml/2006/main" ref="G22:H26" displayName="Table_59" name="Table_59" id="59">
  <tableColumns count="2">
    <tableColumn name="Months" id="1"/>
    <tableColumn name="Close" id="2"/>
  </tableColumns>
  <tableStyleInfo name="NSE MONEYCONTROL CORRELATION-style 9" showColumnStripes="0" showFirstColumn="1" showLastColumn="1" showRowStripes="1"/>
</table>
</file>

<file path=xl/tables/table60.xml><?xml version="1.0" encoding="utf-8"?>
<table xmlns="http://schemas.openxmlformats.org/spreadsheetml/2006/main" ref="K22:L26" displayName="Table_60" name="Table_60" id="60">
  <tableColumns count="2">
    <tableColumn name="Months" id="1"/>
    <tableColumn name="Close" id="2"/>
  </tableColumns>
  <tableStyleInfo name="NSE MONEYCONTROL CORRELATION-style 10" showColumnStripes="0" showFirstColumn="1" showLastColumn="1" showRowStripes="1"/>
</table>
</file>

<file path=xl/tables/table61.xml><?xml version="1.0" encoding="utf-8"?>
<table xmlns="http://schemas.openxmlformats.org/spreadsheetml/2006/main" ref="O22:P26" displayName="Table_61" name="Table_61" id="61">
  <tableColumns count="2">
    <tableColumn name="Months" id="1"/>
    <tableColumn name="Close" id="2"/>
  </tableColumns>
  <tableStyleInfo name="NSE MONEYCONTROL CORRELATION-style 11" showColumnStripes="0" showFirstColumn="1" showLastColumn="1" showRowStripes="1"/>
</table>
</file>

<file path=xl/tables/table62.xml><?xml version="1.0" encoding="utf-8"?>
<table xmlns="http://schemas.openxmlformats.org/spreadsheetml/2006/main" ref="C30:D34" displayName="Table_62" name="Table_62" id="62">
  <tableColumns count="2">
    <tableColumn name="Months" id="1"/>
    <tableColumn name="Close" id="2"/>
  </tableColumns>
  <tableStyleInfo name="NSE MONEYCONTROL CORRELATION-style 12" showColumnStripes="0" showFirstColumn="1" showLastColumn="1" showRowStripes="1"/>
</table>
</file>

<file path=xl/tables/table63.xml><?xml version="1.0" encoding="utf-8"?>
<table xmlns="http://schemas.openxmlformats.org/spreadsheetml/2006/main" ref="G31:H35" displayName="Table_63" name="Table_63" id="63">
  <tableColumns count="2">
    <tableColumn name="Months" id="1"/>
    <tableColumn name="Close" id="2"/>
  </tableColumns>
  <tableStyleInfo name="NSE MONEYCONTROL CORRELATION-style 13" showColumnStripes="0" showFirstColumn="1" showLastColumn="1" showRowStripes="1"/>
</table>
</file>

<file path=xl/tables/table64.xml><?xml version="1.0" encoding="utf-8"?>
<table xmlns="http://schemas.openxmlformats.org/spreadsheetml/2006/main" ref="K31:L35" displayName="Table_64" name="Table_64" id="64">
  <tableColumns count="2">
    <tableColumn name="Months" id="1"/>
    <tableColumn name="Close" id="2"/>
  </tableColumns>
  <tableStyleInfo name="NSE MONEYCONTROL CORRELATION-style 14" showColumnStripes="0" showFirstColumn="1" showLastColumn="1" showRowStripes="1"/>
</table>
</file>

<file path=xl/tables/table65.xml><?xml version="1.0" encoding="utf-8"?>
<table xmlns="http://schemas.openxmlformats.org/spreadsheetml/2006/main" ref="O31:P35" displayName="Table_65" name="Table_65" id="65">
  <tableColumns count="2">
    <tableColumn name="Months" id="1"/>
    <tableColumn name="Close" id="2"/>
  </tableColumns>
  <tableStyleInfo name="NSE MONEYCONTROL CORRELATION-style 1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1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2.xml"/><Relationship Id="rId31" Type="http://schemas.openxmlformats.org/officeDocument/2006/relationships/table" Target="../tables/table33.xml"/><Relationship Id="rId30" Type="http://schemas.openxmlformats.org/officeDocument/2006/relationships/table" Target="../tables/table32.xml"/><Relationship Id="rId22" Type="http://schemas.openxmlformats.org/officeDocument/2006/relationships/table" Target="../tables/table24.xml"/><Relationship Id="rId21" Type="http://schemas.openxmlformats.org/officeDocument/2006/relationships/table" Target="../tables/table23.xml"/><Relationship Id="rId24" Type="http://schemas.openxmlformats.org/officeDocument/2006/relationships/table" Target="../tables/table26.xml"/><Relationship Id="rId23" Type="http://schemas.openxmlformats.org/officeDocument/2006/relationships/table" Target="../tables/table25.xml"/><Relationship Id="rId1" Type="http://schemas.openxmlformats.org/officeDocument/2006/relationships/drawing" Target="../drawings/drawing2.xml"/><Relationship Id="rId26" Type="http://schemas.openxmlformats.org/officeDocument/2006/relationships/table" Target="../tables/table28.xml"/><Relationship Id="rId25" Type="http://schemas.openxmlformats.org/officeDocument/2006/relationships/table" Target="../tables/table27.xml"/><Relationship Id="rId17" Type="http://schemas.openxmlformats.org/officeDocument/2006/relationships/table" Target="../tables/table19.xml"/><Relationship Id="rId28" Type="http://schemas.openxmlformats.org/officeDocument/2006/relationships/table" Target="../tables/table30.xml"/><Relationship Id="rId27" Type="http://schemas.openxmlformats.org/officeDocument/2006/relationships/table" Target="../tables/table29.xml"/><Relationship Id="rId19" Type="http://schemas.openxmlformats.org/officeDocument/2006/relationships/table" Target="../tables/table21.xml"/><Relationship Id="rId18" Type="http://schemas.openxmlformats.org/officeDocument/2006/relationships/table" Target="../tables/table20.xml"/><Relationship Id="rId29" Type="http://schemas.openxmlformats.org/officeDocument/2006/relationships/table" Target="../tables/table3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37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Relationship Id="rId8" Type="http://schemas.openxmlformats.org/officeDocument/2006/relationships/table" Target="../tables/table36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6.xml"/><Relationship Id="rId21" Type="http://schemas.openxmlformats.org/officeDocument/2006/relationships/table" Target="../tables/table47.xml"/><Relationship Id="rId13" Type="http://schemas.openxmlformats.org/officeDocument/2006/relationships/table" Target="../tables/table39.xml"/><Relationship Id="rId12" Type="http://schemas.openxmlformats.org/officeDocument/2006/relationships/table" Target="../tables/table38.xml"/><Relationship Id="rId1" Type="http://schemas.openxmlformats.org/officeDocument/2006/relationships/drawing" Target="../drawings/drawing4.xml"/><Relationship Id="rId15" Type="http://schemas.openxmlformats.org/officeDocument/2006/relationships/table" Target="../tables/table41.xml"/><Relationship Id="rId14" Type="http://schemas.openxmlformats.org/officeDocument/2006/relationships/table" Target="../tables/table40.xml"/><Relationship Id="rId17" Type="http://schemas.openxmlformats.org/officeDocument/2006/relationships/table" Target="../tables/table43.xml"/><Relationship Id="rId16" Type="http://schemas.openxmlformats.org/officeDocument/2006/relationships/table" Target="../tables/table42.xml"/><Relationship Id="rId19" Type="http://schemas.openxmlformats.org/officeDocument/2006/relationships/table" Target="../tables/table45.xml"/><Relationship Id="rId18" Type="http://schemas.openxmlformats.org/officeDocument/2006/relationships/table" Target="../tables/table4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48.xml"/><Relationship Id="rId6" Type="http://schemas.openxmlformats.org/officeDocument/2006/relationships/table" Target="../tables/table49.xml"/><Relationship Id="rId7" Type="http://schemas.openxmlformats.org/officeDocument/2006/relationships/table" Target="../tables/table50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4.xml"/><Relationship Id="rId31" Type="http://schemas.openxmlformats.org/officeDocument/2006/relationships/table" Target="../tables/table65.xml"/><Relationship Id="rId30" Type="http://schemas.openxmlformats.org/officeDocument/2006/relationships/table" Target="../tables/table64.xml"/><Relationship Id="rId22" Type="http://schemas.openxmlformats.org/officeDocument/2006/relationships/table" Target="../tables/table56.xml"/><Relationship Id="rId21" Type="http://schemas.openxmlformats.org/officeDocument/2006/relationships/table" Target="../tables/table55.xml"/><Relationship Id="rId24" Type="http://schemas.openxmlformats.org/officeDocument/2006/relationships/table" Target="../tables/table58.xml"/><Relationship Id="rId23" Type="http://schemas.openxmlformats.org/officeDocument/2006/relationships/table" Target="../tables/table57.xml"/><Relationship Id="rId1" Type="http://schemas.openxmlformats.org/officeDocument/2006/relationships/drawing" Target="../drawings/drawing6.xml"/><Relationship Id="rId26" Type="http://schemas.openxmlformats.org/officeDocument/2006/relationships/table" Target="../tables/table60.xml"/><Relationship Id="rId25" Type="http://schemas.openxmlformats.org/officeDocument/2006/relationships/table" Target="../tables/table59.xml"/><Relationship Id="rId17" Type="http://schemas.openxmlformats.org/officeDocument/2006/relationships/table" Target="../tables/table51.xml"/><Relationship Id="rId28" Type="http://schemas.openxmlformats.org/officeDocument/2006/relationships/table" Target="../tables/table62.xml"/><Relationship Id="rId27" Type="http://schemas.openxmlformats.org/officeDocument/2006/relationships/table" Target="../tables/table61.xml"/><Relationship Id="rId19" Type="http://schemas.openxmlformats.org/officeDocument/2006/relationships/table" Target="../tables/table53.xml"/><Relationship Id="rId18" Type="http://schemas.openxmlformats.org/officeDocument/2006/relationships/table" Target="../tables/table52.xml"/><Relationship Id="rId29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8.43"/>
    <col customWidth="1" min="8" max="8" width="19.29"/>
    <col customWidth="1" min="9" max="9" width="17.14"/>
    <col customWidth="1" min="10" max="10" width="11.57"/>
    <col customWidth="1" min="11" max="12" width="15.71"/>
    <col customWidth="1" min="13" max="13" width="16.71"/>
    <col customWidth="1" min="14" max="16" width="8.71"/>
    <col customWidth="1" min="17" max="17" width="20.0"/>
    <col customWidth="1" min="18" max="18" width="12.29"/>
  </cols>
  <sheetData>
    <row r="1" ht="14.25" customHeight="1">
      <c r="A1" s="1" t="s">
        <v>0</v>
      </c>
      <c r="B1" s="2"/>
      <c r="C1" s="2"/>
      <c r="D1" s="2"/>
      <c r="E1" s="2"/>
      <c r="G1" s="3" t="s">
        <v>1</v>
      </c>
      <c r="H1" s="4" t="s">
        <v>2</v>
      </c>
      <c r="I1" s="5" t="s">
        <v>3</v>
      </c>
      <c r="J1" s="6" t="s">
        <v>4</v>
      </c>
      <c r="M1" s="6"/>
      <c r="N1" s="6"/>
    </row>
    <row r="2" ht="14.25" customHeight="1">
      <c r="G2" s="7" t="s">
        <v>5</v>
      </c>
      <c r="H2" s="8">
        <v>40235.0</v>
      </c>
      <c r="I2" s="9">
        <v>0.90494</v>
      </c>
      <c r="K2" s="6" t="s">
        <v>6</v>
      </c>
      <c r="L2" s="6" t="s">
        <v>7</v>
      </c>
      <c r="M2" s="6"/>
      <c r="N2" s="6"/>
      <c r="P2" s="10" t="s">
        <v>1</v>
      </c>
      <c r="Q2" s="10" t="s">
        <v>8</v>
      </c>
      <c r="R2" s="10" t="s">
        <v>3</v>
      </c>
    </row>
    <row r="3" ht="14.25" customHeight="1">
      <c r="A3" s="11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G3" s="7" t="s">
        <v>14</v>
      </c>
      <c r="H3" s="8">
        <v>40602.0</v>
      </c>
      <c r="I3" s="14" t="str">
        <f>N15</f>
        <v>0.68977</v>
      </c>
      <c r="K3" s="15" t="s">
        <v>15</v>
      </c>
      <c r="L3" s="16">
        <v>40235.0</v>
      </c>
      <c r="P3" s="17" t="s">
        <v>16</v>
      </c>
      <c r="Q3" s="18">
        <v>42429.0</v>
      </c>
      <c r="R3" s="19">
        <v>0.4902172871128454</v>
      </c>
    </row>
    <row r="4" ht="15.0" customHeight="1">
      <c r="A4" s="20">
        <v>40179.0</v>
      </c>
      <c r="B4" s="21">
        <v>17473.45</v>
      </c>
      <c r="C4" s="21">
        <v>17790.33</v>
      </c>
      <c r="D4" s="21">
        <v>15982.08</v>
      </c>
      <c r="E4" s="22">
        <v>16357.96</v>
      </c>
      <c r="G4" s="7" t="s">
        <v>17</v>
      </c>
      <c r="H4" s="8">
        <v>40984.0</v>
      </c>
      <c r="I4" s="14" t="str">
        <f>N24</f>
        <v>0.02305</v>
      </c>
      <c r="P4" s="9" t="s">
        <v>18</v>
      </c>
      <c r="Q4" s="23">
        <v>42767.0</v>
      </c>
      <c r="R4" s="24">
        <v>0.9722749009928939</v>
      </c>
    </row>
    <row r="5" ht="14.25" customHeight="1">
      <c r="A5" s="20">
        <v>40210.0</v>
      </c>
      <c r="B5" s="21">
        <v>16339.32</v>
      </c>
      <c r="C5" s="21">
        <v>16669.25</v>
      </c>
      <c r="D5" s="21">
        <v>15651.99</v>
      </c>
      <c r="E5" s="22">
        <v>16429.55</v>
      </c>
      <c r="G5" s="7" t="s">
        <v>19</v>
      </c>
      <c r="H5" s="8">
        <v>41333.0</v>
      </c>
      <c r="I5" s="14" t="str">
        <f>N32</f>
        <v>-0.30092</v>
      </c>
      <c r="K5" s="25" t="s">
        <v>20</v>
      </c>
      <c r="L5" s="26" t="s">
        <v>13</v>
      </c>
      <c r="M5" s="15" t="s">
        <v>3</v>
      </c>
      <c r="N5" s="15" t="s">
        <v>21</v>
      </c>
      <c r="P5" s="17" t="s">
        <v>22</v>
      </c>
      <c r="Q5" s="18">
        <v>43132.0</v>
      </c>
      <c r="R5" s="19">
        <v>-0.3568625466786824</v>
      </c>
    </row>
    <row r="6" ht="15.0" customHeight="1">
      <c r="A6" s="20">
        <v>40238.0</v>
      </c>
      <c r="B6" s="21">
        <v>16438.45</v>
      </c>
      <c r="C6" s="21">
        <v>17793.01</v>
      </c>
      <c r="D6" s="21">
        <v>16438.45</v>
      </c>
      <c r="E6" s="22">
        <v>17527.77</v>
      </c>
      <c r="G6" s="7" t="s">
        <v>23</v>
      </c>
      <c r="H6" s="8">
        <v>41830.0</v>
      </c>
      <c r="I6" s="14" t="str">
        <f>N40</f>
        <v>0.94598</v>
      </c>
      <c r="K6" s="20">
        <v>40179.0</v>
      </c>
      <c r="L6" s="22">
        <v>16357.96</v>
      </c>
      <c r="M6" s="15" t="str">
        <f>CORREL(K6:K9,L6:L9)</f>
        <v>0.9049465229</v>
      </c>
      <c r="N6" s="15" t="str">
        <f>M6</f>
        <v>0.9049465229</v>
      </c>
      <c r="P6" s="9" t="s">
        <v>24</v>
      </c>
      <c r="Q6" s="23">
        <v>43651.0</v>
      </c>
      <c r="R6" s="24">
        <v>-0.2982358750110885</v>
      </c>
    </row>
    <row r="7" ht="14.25" customHeight="1">
      <c r="A7" s="20">
        <v>40269.0</v>
      </c>
      <c r="B7" s="21">
        <v>17555.04</v>
      </c>
      <c r="C7" s="21">
        <v>18047.86</v>
      </c>
      <c r="D7" s="21">
        <v>17276.8</v>
      </c>
      <c r="E7" s="22">
        <v>17558.71</v>
      </c>
      <c r="G7" s="7" t="s">
        <v>25</v>
      </c>
      <c r="H7" s="8">
        <v>42063.0</v>
      </c>
      <c r="I7" s="14" t="str">
        <f>N48</f>
        <v>-0.92060</v>
      </c>
      <c r="K7" s="20">
        <v>40210.0</v>
      </c>
      <c r="L7" s="22">
        <v>16429.55</v>
      </c>
      <c r="M7" s="27"/>
      <c r="P7" s="17" t="s">
        <v>26</v>
      </c>
      <c r="Q7" s="18">
        <v>43862.0</v>
      </c>
      <c r="R7" s="19">
        <v>-0.7656651500669142</v>
      </c>
    </row>
    <row r="8" ht="14.25" customHeight="1">
      <c r="A8" s="20">
        <v>40299.0</v>
      </c>
      <c r="B8" s="21">
        <v>17536.86</v>
      </c>
      <c r="C8" s="21">
        <v>17536.86</v>
      </c>
      <c r="D8" s="21">
        <v>15960.15</v>
      </c>
      <c r="E8" s="22">
        <v>16944.63</v>
      </c>
      <c r="G8" s="7" t="s">
        <v>16</v>
      </c>
      <c r="H8" s="8">
        <v>42429.0</v>
      </c>
      <c r="I8" s="14" t="str">
        <f>N56</f>
        <v>0.49022</v>
      </c>
      <c r="K8" s="20">
        <v>40238.0</v>
      </c>
      <c r="L8" s="22">
        <v>17527.77</v>
      </c>
      <c r="M8" s="27"/>
      <c r="P8" s="9" t="s">
        <v>27</v>
      </c>
      <c r="Q8" s="23">
        <v>44228.0</v>
      </c>
      <c r="R8" s="24">
        <v>0.7038804278950158</v>
      </c>
    </row>
    <row r="9" ht="14.25" customHeight="1">
      <c r="A9" s="20">
        <v>40330.0</v>
      </c>
      <c r="B9" s="21">
        <v>16942.82</v>
      </c>
      <c r="C9" s="21">
        <v>17919.62</v>
      </c>
      <c r="D9" s="21">
        <v>16318.39</v>
      </c>
      <c r="E9" s="22">
        <v>17700.9</v>
      </c>
      <c r="G9" s="7" t="s">
        <v>18</v>
      </c>
      <c r="H9" s="8">
        <v>42767.0</v>
      </c>
      <c r="I9" s="14" t="str">
        <f>N64</f>
        <v>0.97227</v>
      </c>
      <c r="K9" s="28">
        <v>40269.0</v>
      </c>
      <c r="L9" s="29">
        <v>17558.71</v>
      </c>
      <c r="M9" s="27"/>
      <c r="P9" s="17" t="s">
        <v>28</v>
      </c>
      <c r="Q9" s="18">
        <v>44593.0</v>
      </c>
      <c r="R9" s="19">
        <v>-0.08771900105532897</v>
      </c>
    </row>
    <row r="10" ht="14.25" customHeight="1">
      <c r="A10" s="20">
        <v>40360.0</v>
      </c>
      <c r="B10" s="21">
        <v>17679.34</v>
      </c>
      <c r="C10" s="21">
        <v>18237.56</v>
      </c>
      <c r="D10" s="21">
        <v>17395.58</v>
      </c>
      <c r="E10" s="22">
        <v>17868.29</v>
      </c>
      <c r="G10" s="7" t="s">
        <v>22</v>
      </c>
      <c r="H10" s="8">
        <v>43132.0</v>
      </c>
      <c r="I10" s="14" t="str">
        <f>N72</f>
        <v>-0.35686</v>
      </c>
      <c r="P10" s="30" t="s">
        <v>29</v>
      </c>
      <c r="Q10" s="31">
        <v>44958.0</v>
      </c>
      <c r="R10" s="32">
        <v>0.6070867879408209</v>
      </c>
    </row>
    <row r="11" ht="14.25" customHeight="1">
      <c r="A11" s="20">
        <v>40391.0</v>
      </c>
      <c r="B11" s="21">
        <v>17911.31</v>
      </c>
      <c r="C11" s="21">
        <v>18475.27</v>
      </c>
      <c r="D11" s="21">
        <v>17819.99</v>
      </c>
      <c r="E11" s="22">
        <v>17971.12</v>
      </c>
      <c r="G11" s="7" t="s">
        <v>24</v>
      </c>
      <c r="H11" s="8">
        <v>43651.0</v>
      </c>
      <c r="I11" s="14" t="str">
        <f>N80</f>
        <v>-0.29824</v>
      </c>
      <c r="P11" s="30"/>
      <c r="Q11" s="31"/>
      <c r="R11" s="32" t="str">
        <f>AVERAGE('BSE DATA AND CORRELATION'!$R$3:$R$10)</f>
        <v>0.15812</v>
      </c>
    </row>
    <row r="12" ht="15.0" customHeight="1">
      <c r="A12" s="20">
        <v>40422.0</v>
      </c>
      <c r="B12" s="21">
        <v>18027.12</v>
      </c>
      <c r="C12" s="21">
        <v>20267.98</v>
      </c>
      <c r="D12" s="21">
        <v>18027.12</v>
      </c>
      <c r="E12" s="22">
        <v>20069.12</v>
      </c>
      <c r="G12" s="7" t="s">
        <v>26</v>
      </c>
      <c r="H12" s="8">
        <v>43862.0</v>
      </c>
      <c r="I12" s="14" t="str">
        <f>N88</f>
        <v>-0.76567</v>
      </c>
      <c r="K12" s="15" t="s">
        <v>30</v>
      </c>
      <c r="L12" s="16">
        <v>40602.0</v>
      </c>
    </row>
    <row r="13" ht="14.25" customHeight="1">
      <c r="A13" s="20">
        <v>40452.0</v>
      </c>
      <c r="B13" s="21">
        <v>20094.1</v>
      </c>
      <c r="C13" s="21">
        <v>20854.55</v>
      </c>
      <c r="D13" s="21">
        <v>19768.96</v>
      </c>
      <c r="E13" s="22">
        <v>20032.34</v>
      </c>
      <c r="G13" s="7" t="s">
        <v>27</v>
      </c>
      <c r="H13" s="8">
        <v>44228.0</v>
      </c>
      <c r="I13" s="14" t="str">
        <f>N96</f>
        <v>0.70388</v>
      </c>
    </row>
    <row r="14" ht="14.25" customHeight="1">
      <c r="A14" s="20">
        <v>40483.0</v>
      </c>
      <c r="B14" s="21">
        <v>20272.49</v>
      </c>
      <c r="C14" s="21">
        <v>21108.64</v>
      </c>
      <c r="D14" s="21">
        <v>18954.82</v>
      </c>
      <c r="E14" s="22">
        <v>19521.25</v>
      </c>
      <c r="G14" s="7" t="s">
        <v>28</v>
      </c>
      <c r="H14" s="8">
        <v>44593.0</v>
      </c>
      <c r="I14" s="14" t="str">
        <f>N104</f>
        <v>-0.08772</v>
      </c>
      <c r="K14" s="25" t="s">
        <v>20</v>
      </c>
      <c r="L14" s="26" t="s">
        <v>13</v>
      </c>
      <c r="M14" s="15" t="s">
        <v>3</v>
      </c>
      <c r="N14" s="15" t="s">
        <v>21</v>
      </c>
    </row>
    <row r="15" ht="14.25" customHeight="1">
      <c r="A15" s="20">
        <v>40513.0</v>
      </c>
      <c r="B15" s="21">
        <v>19529.99</v>
      </c>
      <c r="C15" s="21">
        <v>20552.03</v>
      </c>
      <c r="D15" s="21">
        <v>19074.57</v>
      </c>
      <c r="E15" s="22">
        <v>20509.09</v>
      </c>
      <c r="G15" s="33" t="s">
        <v>29</v>
      </c>
      <c r="H15" s="34">
        <v>44958.0</v>
      </c>
      <c r="I15" s="14" t="str">
        <f>M112</f>
        <v>0.60709</v>
      </c>
      <c r="K15" s="20">
        <v>40544.0</v>
      </c>
      <c r="L15" s="22">
        <v>18327.76</v>
      </c>
      <c r="M15" s="15" t="str">
        <f>CORREL(K15:K18,L15:L18)</f>
        <v>0.6897678407</v>
      </c>
      <c r="N15" s="15" t="str">
        <f>M15</f>
        <v>0.6897678407</v>
      </c>
    </row>
    <row r="16" ht="14.25" customHeight="1">
      <c r="A16" s="20">
        <v>40544.0</v>
      </c>
      <c r="B16" s="21">
        <v>20621.61</v>
      </c>
      <c r="C16" s="21">
        <v>20664.8</v>
      </c>
      <c r="D16" s="21">
        <v>18038.48</v>
      </c>
      <c r="E16" s="22">
        <v>18327.76</v>
      </c>
      <c r="G16" s="35"/>
      <c r="H16" s="36"/>
      <c r="I16" s="37" t="str">
        <f>SUBTOTAL(104,'BSE DATA AND CORRELATION'!$I$2:$I$15)</f>
        <v>0.97227</v>
      </c>
      <c r="J16" s="38"/>
      <c r="K16" s="20">
        <v>40575.0</v>
      </c>
      <c r="L16" s="22">
        <v>17823.4</v>
      </c>
      <c r="M16" s="27"/>
    </row>
    <row r="17" ht="14.25" customHeight="1">
      <c r="A17" s="20">
        <v>40575.0</v>
      </c>
      <c r="B17" s="21">
        <v>18425.18</v>
      </c>
      <c r="C17" s="21">
        <v>18690.97</v>
      </c>
      <c r="D17" s="21">
        <v>17295.62</v>
      </c>
      <c r="E17" s="22">
        <v>17823.4</v>
      </c>
      <c r="H17" s="38"/>
      <c r="K17" s="20">
        <v>40603.0</v>
      </c>
      <c r="L17" s="22">
        <v>19445.22</v>
      </c>
      <c r="M17" s="27"/>
    </row>
    <row r="18" ht="14.25" customHeight="1">
      <c r="A18" s="20">
        <v>40603.0</v>
      </c>
      <c r="B18" s="21">
        <v>17982.28</v>
      </c>
      <c r="C18" s="21">
        <v>19575.16</v>
      </c>
      <c r="D18" s="21">
        <v>17792.17</v>
      </c>
      <c r="E18" s="22">
        <v>19445.22</v>
      </c>
      <c r="G18" s="6" t="s">
        <v>6</v>
      </c>
      <c r="H18" s="6" t="s">
        <v>7</v>
      </c>
      <c r="I18" s="6"/>
      <c r="K18" s="28">
        <v>40634.0</v>
      </c>
      <c r="L18" s="29">
        <v>19135.96</v>
      </c>
      <c r="M18" s="27"/>
    </row>
    <row r="19" ht="14.25" customHeight="1">
      <c r="A19" s="20">
        <v>40634.0</v>
      </c>
      <c r="B19" s="21">
        <v>19463.11</v>
      </c>
      <c r="C19" s="21">
        <v>19811.14</v>
      </c>
      <c r="D19" s="21">
        <v>18976.19</v>
      </c>
      <c r="E19" s="22">
        <v>19135.96</v>
      </c>
      <c r="G19" s="15"/>
      <c r="H19" s="16"/>
    </row>
    <row r="20" ht="14.25" customHeight="1">
      <c r="A20" s="20">
        <v>40664.0</v>
      </c>
      <c r="B20" s="21">
        <v>19224.05</v>
      </c>
      <c r="C20" s="21">
        <v>19253.87</v>
      </c>
      <c r="D20" s="21">
        <v>17786.13</v>
      </c>
      <c r="E20" s="22">
        <v>18503.28</v>
      </c>
    </row>
    <row r="21" ht="14.25" customHeight="1">
      <c r="A21" s="20">
        <v>40695.0</v>
      </c>
      <c r="B21" s="21">
        <v>18527.12</v>
      </c>
      <c r="C21" s="21">
        <v>18873.39</v>
      </c>
      <c r="D21" s="21">
        <v>17314.38</v>
      </c>
      <c r="E21" s="22">
        <v>18845.87</v>
      </c>
      <c r="G21" s="25" t="s">
        <v>20</v>
      </c>
      <c r="H21" s="26" t="s">
        <v>13</v>
      </c>
      <c r="I21" s="15" t="s">
        <v>3</v>
      </c>
      <c r="K21" s="15" t="s">
        <v>31</v>
      </c>
      <c r="L21" s="16">
        <v>40984.0</v>
      </c>
    </row>
    <row r="22" ht="14.25" customHeight="1">
      <c r="A22" s="20">
        <v>40725.0</v>
      </c>
      <c r="B22" s="21">
        <v>18974.96</v>
      </c>
      <c r="C22" s="21">
        <v>19131.7</v>
      </c>
      <c r="D22" s="21">
        <v>18131.86</v>
      </c>
      <c r="E22" s="22">
        <v>18197.2</v>
      </c>
      <c r="G22" s="20"/>
      <c r="H22" s="22"/>
      <c r="I22" s="15" t="str">
        <f>CORREL(G22:G25,H22:H25)</f>
        <v>#DIV/0!</v>
      </c>
    </row>
    <row r="23" ht="14.25" customHeight="1">
      <c r="A23" s="20">
        <v>40756.0</v>
      </c>
      <c r="B23" s="21">
        <v>18352.23</v>
      </c>
      <c r="C23" s="21">
        <v>18440.07</v>
      </c>
      <c r="D23" s="21">
        <v>15765.53</v>
      </c>
      <c r="E23" s="22">
        <v>16676.75</v>
      </c>
      <c r="G23" s="20"/>
      <c r="H23" s="22"/>
      <c r="I23" s="27"/>
      <c r="K23" s="25" t="s">
        <v>20</v>
      </c>
      <c r="L23" s="26" t="s">
        <v>13</v>
      </c>
      <c r="M23" s="15" t="s">
        <v>3</v>
      </c>
      <c r="N23" s="15" t="s">
        <v>21</v>
      </c>
    </row>
    <row r="24" ht="14.25" customHeight="1">
      <c r="A24" s="20">
        <v>40787.0</v>
      </c>
      <c r="B24" s="21">
        <v>16963.67</v>
      </c>
      <c r="C24" s="21">
        <v>17211.8</v>
      </c>
      <c r="D24" s="21">
        <v>15801.01</v>
      </c>
      <c r="E24" s="22">
        <v>16453.76</v>
      </c>
      <c r="G24" s="20"/>
      <c r="H24" s="22"/>
      <c r="I24" s="27"/>
      <c r="K24" s="20">
        <v>40909.0</v>
      </c>
      <c r="L24" s="22">
        <v>17193.55</v>
      </c>
      <c r="M24" s="15" t="str">
        <f>CORREL(K24:K27,L24:L27)</f>
        <v>0.02304956611</v>
      </c>
      <c r="N24" s="15" t="str">
        <f>M24</f>
        <v>0.02304956611</v>
      </c>
    </row>
    <row r="25" ht="14.25" customHeight="1">
      <c r="A25" s="20">
        <v>40817.0</v>
      </c>
      <c r="B25" s="21">
        <v>16255.97</v>
      </c>
      <c r="C25" s="21">
        <v>17908.13</v>
      </c>
      <c r="D25" s="21">
        <v>15745.43</v>
      </c>
      <c r="E25" s="22">
        <v>17705.01</v>
      </c>
      <c r="G25" s="28"/>
      <c r="H25" s="29"/>
      <c r="I25" s="27"/>
      <c r="K25" s="20">
        <v>40940.0</v>
      </c>
      <c r="L25" s="22">
        <v>17752.68</v>
      </c>
      <c r="M25" s="27"/>
    </row>
    <row r="26" ht="14.25" customHeight="1">
      <c r="A26" s="20">
        <v>40848.0</v>
      </c>
      <c r="B26" s="21">
        <v>17540.55</v>
      </c>
      <c r="C26" s="21">
        <v>17702.26</v>
      </c>
      <c r="D26" s="21">
        <v>15478.69</v>
      </c>
      <c r="E26" s="22">
        <v>16123.46</v>
      </c>
      <c r="K26" s="20">
        <v>40969.0</v>
      </c>
      <c r="L26" s="22">
        <v>17404.2</v>
      </c>
      <c r="M26" s="27"/>
    </row>
    <row r="27" ht="14.25" customHeight="1">
      <c r="A27" s="20">
        <v>40878.0</v>
      </c>
      <c r="B27" s="21">
        <v>16555.93</v>
      </c>
      <c r="C27" s="21">
        <v>17003.71</v>
      </c>
      <c r="D27" s="21">
        <v>15135.86</v>
      </c>
      <c r="E27" s="22">
        <v>15454.92</v>
      </c>
      <c r="K27" s="28">
        <v>41000.0</v>
      </c>
      <c r="L27" s="29">
        <v>17318.81</v>
      </c>
      <c r="M27" s="27"/>
    </row>
    <row r="28" ht="14.25" customHeight="1">
      <c r="A28" s="20">
        <v>40909.0</v>
      </c>
      <c r="B28" s="21">
        <v>15534.67</v>
      </c>
      <c r="C28" s="21">
        <v>17258.97</v>
      </c>
      <c r="D28" s="21">
        <v>15358.02</v>
      </c>
      <c r="E28" s="22">
        <v>17193.55</v>
      </c>
    </row>
    <row r="29" ht="14.25" customHeight="1">
      <c r="A29" s="20">
        <v>40940.0</v>
      </c>
      <c r="B29" s="21">
        <v>17179.64</v>
      </c>
      <c r="C29" s="21">
        <v>18523.78</v>
      </c>
      <c r="D29" s="21">
        <v>17061.55</v>
      </c>
      <c r="E29" s="22">
        <v>17752.68</v>
      </c>
      <c r="K29" s="15" t="s">
        <v>32</v>
      </c>
      <c r="L29" s="16">
        <v>41333.0</v>
      </c>
    </row>
    <row r="30" ht="14.25" customHeight="1">
      <c r="A30" s="20">
        <v>40969.0</v>
      </c>
      <c r="B30" s="21">
        <v>17714.62</v>
      </c>
      <c r="C30" s="21">
        <v>18040.69</v>
      </c>
      <c r="D30" s="21">
        <v>16920.61</v>
      </c>
      <c r="E30" s="22">
        <v>17404.2</v>
      </c>
    </row>
    <row r="31" ht="14.25" customHeight="1">
      <c r="A31" s="20">
        <v>41000.0</v>
      </c>
      <c r="B31" s="21">
        <v>17429.96</v>
      </c>
      <c r="C31" s="21">
        <v>17664.1</v>
      </c>
      <c r="D31" s="21">
        <v>17010.16</v>
      </c>
      <c r="E31" s="22">
        <v>17318.81</v>
      </c>
      <c r="K31" s="25" t="s">
        <v>20</v>
      </c>
      <c r="L31" s="26" t="s">
        <v>13</v>
      </c>
      <c r="M31" s="15" t="s">
        <v>3</v>
      </c>
      <c r="N31" s="15" t="s">
        <v>21</v>
      </c>
    </row>
    <row r="32" ht="14.25" customHeight="1">
      <c r="A32" s="20">
        <v>41030.0</v>
      </c>
      <c r="B32" s="21">
        <v>17370.93</v>
      </c>
      <c r="C32" s="21">
        <v>17432.33</v>
      </c>
      <c r="D32" s="21">
        <v>15809.71</v>
      </c>
      <c r="E32" s="22">
        <v>16218.53</v>
      </c>
      <c r="K32" s="20">
        <v>41275.0</v>
      </c>
      <c r="L32" s="22">
        <v>19894.98</v>
      </c>
      <c r="M32" s="15" t="str">
        <f>CORREL(K32:K35,L32:L35)</f>
        <v>-0.3009151008</v>
      </c>
      <c r="N32" s="15" t="str">
        <f>M32</f>
        <v>-0.3009151008</v>
      </c>
    </row>
    <row r="33" ht="14.25" customHeight="1">
      <c r="A33" s="20">
        <v>41061.0</v>
      </c>
      <c r="B33" s="21">
        <v>16217.48</v>
      </c>
      <c r="C33" s="21">
        <v>17448.48</v>
      </c>
      <c r="D33" s="21">
        <v>15748.98</v>
      </c>
      <c r="E33" s="22">
        <v>17429.98</v>
      </c>
      <c r="K33" s="20">
        <v>41306.0</v>
      </c>
      <c r="L33" s="22">
        <v>18861.54</v>
      </c>
      <c r="M33" s="27"/>
    </row>
    <row r="34" ht="14.25" customHeight="1">
      <c r="A34" s="20">
        <v>41091.0</v>
      </c>
      <c r="B34" s="21">
        <v>17438.68</v>
      </c>
      <c r="C34" s="21">
        <v>17631.19</v>
      </c>
      <c r="D34" s="21">
        <v>16598.48</v>
      </c>
      <c r="E34" s="22">
        <v>17236.18</v>
      </c>
      <c r="K34" s="20">
        <v>41334.0</v>
      </c>
      <c r="L34" s="22">
        <v>18835.77</v>
      </c>
      <c r="M34" s="27"/>
    </row>
    <row r="35" ht="14.25" customHeight="1">
      <c r="A35" s="20">
        <v>41122.0</v>
      </c>
      <c r="B35" s="21">
        <v>17244.44</v>
      </c>
      <c r="C35" s="21">
        <v>17972.54</v>
      </c>
      <c r="D35" s="21">
        <v>17026.97</v>
      </c>
      <c r="E35" s="22">
        <v>17429.56</v>
      </c>
      <c r="K35" s="28">
        <v>41365.0</v>
      </c>
      <c r="L35" s="29">
        <v>19504.18</v>
      </c>
      <c r="M35" s="27"/>
    </row>
    <row r="36" ht="14.25" customHeight="1">
      <c r="A36" s="20">
        <v>41153.0</v>
      </c>
      <c r="B36" s="21">
        <v>17465.6</v>
      </c>
      <c r="C36" s="21">
        <v>18869.94</v>
      </c>
      <c r="D36" s="21">
        <v>17250.8</v>
      </c>
      <c r="E36" s="22">
        <v>18762.74</v>
      </c>
    </row>
    <row r="37" ht="14.25" customHeight="1">
      <c r="A37" s="20">
        <v>41183.0</v>
      </c>
      <c r="B37" s="21">
        <v>18784.64</v>
      </c>
      <c r="C37" s="21">
        <v>19137.29</v>
      </c>
      <c r="D37" s="21">
        <v>18393.42</v>
      </c>
      <c r="E37" s="22">
        <v>18505.38</v>
      </c>
      <c r="K37" s="15" t="s">
        <v>33</v>
      </c>
      <c r="L37" s="16">
        <v>41830.0</v>
      </c>
    </row>
    <row r="38" ht="14.25" customHeight="1">
      <c r="A38" s="20">
        <v>41214.0</v>
      </c>
      <c r="B38" s="21">
        <v>18487.9</v>
      </c>
      <c r="C38" s="21">
        <v>19372.7</v>
      </c>
      <c r="D38" s="21">
        <v>18255.69</v>
      </c>
      <c r="E38" s="22">
        <v>19339.9</v>
      </c>
    </row>
    <row r="39" ht="14.25" customHeight="1">
      <c r="A39" s="20">
        <v>41244.0</v>
      </c>
      <c r="B39" s="21">
        <v>19342.83</v>
      </c>
      <c r="C39" s="21">
        <v>19612.18</v>
      </c>
      <c r="D39" s="21">
        <v>19149.03</v>
      </c>
      <c r="E39" s="22">
        <v>19426.71</v>
      </c>
      <c r="K39" s="25" t="s">
        <v>20</v>
      </c>
      <c r="L39" s="26" t="s">
        <v>13</v>
      </c>
      <c r="M39" s="15" t="s">
        <v>3</v>
      </c>
      <c r="N39" s="15" t="s">
        <v>21</v>
      </c>
    </row>
    <row r="40" ht="14.25" customHeight="1">
      <c r="A40" s="20">
        <v>41275.0</v>
      </c>
      <c r="B40" s="21">
        <v>19513.45</v>
      </c>
      <c r="C40" s="21">
        <v>20203.66</v>
      </c>
      <c r="D40" s="21">
        <v>19508.93</v>
      </c>
      <c r="E40" s="22">
        <v>19894.98</v>
      </c>
      <c r="K40" s="20">
        <v>41791.0</v>
      </c>
      <c r="L40" s="22">
        <v>25413.78</v>
      </c>
      <c r="M40" s="15" t="str">
        <f>CORREL(K40:K43,L40:L43)</f>
        <v>0.9459821724</v>
      </c>
      <c r="N40" s="15" t="str">
        <f>M40</f>
        <v>0.9459821724</v>
      </c>
    </row>
    <row r="41" ht="14.25" customHeight="1">
      <c r="A41" s="20">
        <v>41306.0</v>
      </c>
      <c r="B41" s="21">
        <v>19907.21</v>
      </c>
      <c r="C41" s="21">
        <v>19966.69</v>
      </c>
      <c r="D41" s="21">
        <v>18793.97</v>
      </c>
      <c r="E41" s="22">
        <v>18861.54</v>
      </c>
      <c r="K41" s="20">
        <v>41821.0</v>
      </c>
      <c r="L41" s="22">
        <v>25894.97</v>
      </c>
      <c r="M41" s="27"/>
    </row>
    <row r="42" ht="14.25" customHeight="1">
      <c r="A42" s="20">
        <v>41334.0</v>
      </c>
      <c r="B42" s="21">
        <v>18876.68</v>
      </c>
      <c r="C42" s="21">
        <v>19754.66</v>
      </c>
      <c r="D42" s="21">
        <v>18568.43</v>
      </c>
      <c r="E42" s="22">
        <v>18835.77</v>
      </c>
      <c r="K42" s="20">
        <v>41852.0</v>
      </c>
      <c r="L42" s="22">
        <v>26638.11</v>
      </c>
      <c r="M42" s="27"/>
    </row>
    <row r="43" ht="14.25" customHeight="1">
      <c r="A43" s="20">
        <v>41365.0</v>
      </c>
      <c r="B43" s="21">
        <v>18890.81</v>
      </c>
      <c r="C43" s="21">
        <v>19622.68</v>
      </c>
      <c r="D43" s="21">
        <v>18144.22</v>
      </c>
      <c r="E43" s="22">
        <v>19504.18</v>
      </c>
      <c r="K43" s="28">
        <v>41883.0</v>
      </c>
      <c r="L43" s="29">
        <v>26630.51</v>
      </c>
      <c r="M43" s="27"/>
    </row>
    <row r="44" ht="14.25" customHeight="1">
      <c r="A44" s="20">
        <v>41395.0</v>
      </c>
      <c r="B44" s="21">
        <v>19459.33</v>
      </c>
      <c r="C44" s="21">
        <v>20443.62</v>
      </c>
      <c r="D44" s="21">
        <v>19451.26</v>
      </c>
      <c r="E44" s="22">
        <v>19760.3</v>
      </c>
    </row>
    <row r="45" ht="14.25" customHeight="1">
      <c r="A45" s="20">
        <v>41426.0</v>
      </c>
      <c r="B45" s="21">
        <v>19859.22</v>
      </c>
      <c r="C45" s="21">
        <v>19860.19</v>
      </c>
      <c r="D45" s="21">
        <v>18467.16</v>
      </c>
      <c r="E45" s="22">
        <v>19395.81</v>
      </c>
      <c r="K45" s="15" t="s">
        <v>34</v>
      </c>
      <c r="L45" s="16">
        <v>42063.0</v>
      </c>
    </row>
    <row r="46" ht="14.25" customHeight="1">
      <c r="A46" s="20">
        <v>41456.0</v>
      </c>
      <c r="B46" s="21">
        <v>19352.48</v>
      </c>
      <c r="C46" s="21">
        <v>20351.06</v>
      </c>
      <c r="D46" s="21">
        <v>19126.82</v>
      </c>
      <c r="E46" s="22">
        <v>19345.7</v>
      </c>
    </row>
    <row r="47" ht="14.25" customHeight="1">
      <c r="A47" s="20">
        <v>41487.0</v>
      </c>
      <c r="B47" s="21">
        <v>19443.29</v>
      </c>
      <c r="C47" s="21">
        <v>19569.2</v>
      </c>
      <c r="D47" s="21">
        <v>17448.71</v>
      </c>
      <c r="E47" s="22">
        <v>18619.72</v>
      </c>
      <c r="K47" s="25" t="s">
        <v>20</v>
      </c>
      <c r="L47" s="26" t="s">
        <v>13</v>
      </c>
      <c r="M47" s="15" t="s">
        <v>3</v>
      </c>
      <c r="N47" s="15" t="s">
        <v>21</v>
      </c>
    </row>
    <row r="48" ht="14.25" customHeight="1">
      <c r="A48" s="20">
        <v>41518.0</v>
      </c>
      <c r="B48" s="21">
        <v>18691.83</v>
      </c>
      <c r="C48" s="21">
        <v>72998.07</v>
      </c>
      <c r="D48" s="21">
        <v>18166.17</v>
      </c>
      <c r="E48" s="22">
        <v>19379.77</v>
      </c>
      <c r="K48" s="20">
        <v>42005.0</v>
      </c>
      <c r="L48" s="22">
        <v>29182.95</v>
      </c>
      <c r="M48" s="39" t="str">
        <f>CORREL(K48:K51,L48:L51)</f>
        <v>-0.9205996232</v>
      </c>
      <c r="N48" s="15" t="str">
        <f>M48</f>
        <v>-0.9205996232</v>
      </c>
    </row>
    <row r="49" ht="14.25" customHeight="1">
      <c r="A49" s="20">
        <v>41548.0</v>
      </c>
      <c r="B49" s="21">
        <v>19452.05</v>
      </c>
      <c r="C49" s="21">
        <v>21205.44</v>
      </c>
      <c r="D49" s="21">
        <v>19264.72</v>
      </c>
      <c r="E49" s="22">
        <v>21164.52</v>
      </c>
      <c r="K49" s="20">
        <v>42036.0</v>
      </c>
      <c r="L49" s="22">
        <v>29361.5</v>
      </c>
      <c r="M49" s="27"/>
    </row>
    <row r="50" ht="14.25" customHeight="1">
      <c r="A50" s="20">
        <v>41579.0</v>
      </c>
      <c r="B50" s="21">
        <v>21158.81</v>
      </c>
      <c r="C50" s="21">
        <v>21321.53</v>
      </c>
      <c r="D50" s="21">
        <v>20137.67</v>
      </c>
      <c r="E50" s="22">
        <v>20791.93</v>
      </c>
      <c r="K50" s="20">
        <v>42064.0</v>
      </c>
      <c r="L50" s="22">
        <v>27957.49</v>
      </c>
      <c r="M50" s="27"/>
    </row>
    <row r="51" ht="14.25" customHeight="1">
      <c r="A51" s="20">
        <v>41609.0</v>
      </c>
      <c r="B51" s="21">
        <v>20771.27</v>
      </c>
      <c r="C51" s="21">
        <v>21483.74</v>
      </c>
      <c r="D51" s="21">
        <v>20568.7</v>
      </c>
      <c r="E51" s="22">
        <v>21170.68</v>
      </c>
      <c r="K51" s="28">
        <v>42095.0</v>
      </c>
      <c r="L51" s="29">
        <v>27011.31</v>
      </c>
      <c r="M51" s="27"/>
    </row>
    <row r="52" ht="14.25" customHeight="1">
      <c r="A52" s="20">
        <v>41640.0</v>
      </c>
      <c r="B52" s="21">
        <v>21222.19</v>
      </c>
      <c r="C52" s="21">
        <v>21409.66</v>
      </c>
      <c r="D52" s="21">
        <v>20343.78</v>
      </c>
      <c r="E52" s="22">
        <v>20513.85</v>
      </c>
    </row>
    <row r="53" ht="14.25" customHeight="1">
      <c r="A53" s="20">
        <v>41671.0</v>
      </c>
      <c r="B53" s="21">
        <v>20479.03</v>
      </c>
      <c r="C53" s="21">
        <v>21140.51</v>
      </c>
      <c r="D53" s="21">
        <v>19963.12</v>
      </c>
      <c r="E53" s="22">
        <v>21120.12</v>
      </c>
      <c r="K53" s="15" t="s">
        <v>35</v>
      </c>
      <c r="L53" s="16">
        <v>42429.0</v>
      </c>
    </row>
    <row r="54" ht="14.25" customHeight="1">
      <c r="A54" s="20">
        <v>41699.0</v>
      </c>
      <c r="B54" s="21">
        <v>21079.27</v>
      </c>
      <c r="C54" s="21">
        <v>22467.21</v>
      </c>
      <c r="D54" s="21">
        <v>20920.98</v>
      </c>
      <c r="E54" s="22">
        <v>22386.27</v>
      </c>
    </row>
    <row r="55" ht="14.25" customHeight="1">
      <c r="A55" s="20">
        <v>41730.0</v>
      </c>
      <c r="B55" s="21">
        <v>22455.23</v>
      </c>
      <c r="C55" s="21">
        <v>22939.31</v>
      </c>
      <c r="D55" s="21">
        <v>22197.51</v>
      </c>
      <c r="E55" s="22">
        <v>22417.8</v>
      </c>
      <c r="K55" s="25" t="s">
        <v>20</v>
      </c>
      <c r="L55" s="26" t="s">
        <v>13</v>
      </c>
      <c r="M55" s="15" t="s">
        <v>3</v>
      </c>
      <c r="N55" s="15" t="s">
        <v>21</v>
      </c>
    </row>
    <row r="56" ht="14.25" customHeight="1">
      <c r="A56" s="20">
        <v>41760.0</v>
      </c>
      <c r="B56" s="21">
        <v>22493.59</v>
      </c>
      <c r="C56" s="21">
        <v>25375.63</v>
      </c>
      <c r="D56" s="21">
        <v>22277.04</v>
      </c>
      <c r="E56" s="22">
        <v>24217.34</v>
      </c>
      <c r="K56" s="20">
        <v>42370.0</v>
      </c>
      <c r="L56" s="22">
        <v>24870.69</v>
      </c>
      <c r="M56" s="39" t="str">
        <f>CORREL(K56:K59,L56:L59)</f>
        <v>0.4902172871</v>
      </c>
      <c r="N56" s="15" t="str">
        <f>M56</f>
        <v>0.4902172871</v>
      </c>
    </row>
    <row r="57" ht="14.25" customHeight="1">
      <c r="A57" s="20">
        <v>41791.0</v>
      </c>
      <c r="B57" s="21">
        <v>24368.96</v>
      </c>
      <c r="C57" s="21">
        <v>25725.12</v>
      </c>
      <c r="D57" s="21">
        <v>24270.2</v>
      </c>
      <c r="E57" s="22">
        <v>25413.78</v>
      </c>
      <c r="K57" s="20">
        <v>42401.0</v>
      </c>
      <c r="L57" s="22">
        <v>23002.0</v>
      </c>
      <c r="M57" s="27"/>
    </row>
    <row r="58" ht="14.25" customHeight="1">
      <c r="A58" s="20">
        <v>41821.0</v>
      </c>
      <c r="B58" s="21">
        <v>25469.94</v>
      </c>
      <c r="C58" s="21">
        <v>26300.17</v>
      </c>
      <c r="D58" s="21">
        <v>24892.0</v>
      </c>
      <c r="E58" s="22">
        <v>25894.97</v>
      </c>
      <c r="K58" s="20">
        <v>42430.0</v>
      </c>
      <c r="L58" s="22">
        <v>25341.86</v>
      </c>
      <c r="M58" s="27"/>
    </row>
    <row r="59" ht="14.25" customHeight="1">
      <c r="A59" s="20">
        <v>41852.0</v>
      </c>
      <c r="B59" s="21">
        <v>25753.92</v>
      </c>
      <c r="C59" s="21">
        <v>26674.38</v>
      </c>
      <c r="D59" s="21">
        <v>25232.82</v>
      </c>
      <c r="E59" s="22">
        <v>26638.11</v>
      </c>
      <c r="K59" s="28">
        <v>42461.0</v>
      </c>
      <c r="L59" s="29">
        <v>25606.62</v>
      </c>
      <c r="M59" s="27"/>
    </row>
    <row r="60" ht="14.25" customHeight="1">
      <c r="A60" s="20">
        <v>41883.0</v>
      </c>
      <c r="B60" s="21">
        <v>26733.18</v>
      </c>
      <c r="C60" s="21">
        <v>27354.99</v>
      </c>
      <c r="D60" s="21">
        <v>26220.49</v>
      </c>
      <c r="E60" s="22">
        <v>26630.51</v>
      </c>
    </row>
    <row r="61" ht="14.25" customHeight="1">
      <c r="A61" s="20">
        <v>41913.0</v>
      </c>
      <c r="B61" s="21">
        <v>26681.47</v>
      </c>
      <c r="C61" s="21">
        <v>27894.32</v>
      </c>
      <c r="D61" s="21">
        <v>25910.77</v>
      </c>
      <c r="E61" s="22">
        <v>27865.83</v>
      </c>
      <c r="K61" s="15" t="s">
        <v>36</v>
      </c>
      <c r="L61" s="16">
        <v>42767.0</v>
      </c>
    </row>
    <row r="62" ht="14.25" customHeight="1">
      <c r="A62" s="20">
        <v>41944.0</v>
      </c>
      <c r="B62" s="21">
        <v>27943.04</v>
      </c>
      <c r="C62" s="21">
        <v>28822.37</v>
      </c>
      <c r="D62" s="21">
        <v>27739.56</v>
      </c>
      <c r="E62" s="22">
        <v>28693.99</v>
      </c>
    </row>
    <row r="63" ht="14.25" customHeight="1">
      <c r="A63" s="20">
        <v>41974.0</v>
      </c>
      <c r="B63" s="21">
        <v>28748.22</v>
      </c>
      <c r="C63" s="21">
        <v>28809.64</v>
      </c>
      <c r="D63" s="21">
        <v>26469.42</v>
      </c>
      <c r="E63" s="22">
        <v>27499.42</v>
      </c>
      <c r="K63" s="25" t="s">
        <v>20</v>
      </c>
      <c r="L63" s="26" t="s">
        <v>13</v>
      </c>
      <c r="M63" s="15" t="s">
        <v>3</v>
      </c>
      <c r="N63" s="15" t="s">
        <v>21</v>
      </c>
    </row>
    <row r="64" ht="14.25" customHeight="1">
      <c r="A64" s="20">
        <v>42036.0</v>
      </c>
      <c r="B64" s="21">
        <v>29143.63</v>
      </c>
      <c r="C64" s="21">
        <v>29560.32</v>
      </c>
      <c r="D64" s="21">
        <v>28044.49</v>
      </c>
      <c r="E64" s="22">
        <v>29361.5</v>
      </c>
      <c r="K64" s="20">
        <v>42736.0</v>
      </c>
      <c r="L64" s="22">
        <v>27655.96</v>
      </c>
      <c r="M64" s="39" t="str">
        <f>CORREL(K64:K67,L64:L67)</f>
        <v>0.972274901</v>
      </c>
      <c r="N64" s="15" t="str">
        <f>M64</f>
        <v>0.972274901</v>
      </c>
    </row>
    <row r="65" ht="14.25" customHeight="1">
      <c r="A65" s="20">
        <v>42064.0</v>
      </c>
      <c r="B65" s="21">
        <v>29533.42</v>
      </c>
      <c r="C65" s="21">
        <v>30024.74</v>
      </c>
      <c r="D65" s="21">
        <v>27248.45</v>
      </c>
      <c r="E65" s="22">
        <v>27957.49</v>
      </c>
      <c r="K65" s="20">
        <v>42767.0</v>
      </c>
      <c r="L65" s="22">
        <v>28743.32</v>
      </c>
      <c r="M65" s="27"/>
    </row>
    <row r="66" ht="14.25" customHeight="1">
      <c r="A66" s="20">
        <v>42095.0</v>
      </c>
      <c r="B66" s="21">
        <v>27954.86</v>
      </c>
      <c r="C66" s="21">
        <v>29094.61</v>
      </c>
      <c r="D66" s="21">
        <v>26897.54</v>
      </c>
      <c r="E66" s="22">
        <v>27011.31</v>
      </c>
      <c r="K66" s="20">
        <v>42795.0</v>
      </c>
      <c r="L66" s="22">
        <v>29620.5</v>
      </c>
      <c r="M66" s="27"/>
    </row>
    <row r="67" ht="14.25" customHeight="1">
      <c r="A67" s="20">
        <v>42125.0</v>
      </c>
      <c r="B67" s="21">
        <v>27204.63</v>
      </c>
      <c r="C67" s="21">
        <v>28071.16</v>
      </c>
      <c r="D67" s="21">
        <v>26423.99</v>
      </c>
      <c r="E67" s="22">
        <v>27828.44</v>
      </c>
      <c r="K67" s="28">
        <v>42826.0</v>
      </c>
      <c r="L67" s="29">
        <v>29918.4</v>
      </c>
      <c r="M67" s="27"/>
    </row>
    <row r="68" ht="14.25" customHeight="1">
      <c r="A68" s="20">
        <v>42156.0</v>
      </c>
      <c r="B68" s="21">
        <v>27770.79</v>
      </c>
      <c r="C68" s="21">
        <v>27968.75</v>
      </c>
      <c r="D68" s="21">
        <v>26307.07</v>
      </c>
      <c r="E68" s="22">
        <v>27780.83</v>
      </c>
    </row>
    <row r="69" ht="14.25" customHeight="1">
      <c r="A69" s="20">
        <v>42186.0</v>
      </c>
      <c r="B69" s="21">
        <v>27823.65</v>
      </c>
      <c r="C69" s="21">
        <v>28578.33</v>
      </c>
      <c r="D69" s="21">
        <v>27416.39</v>
      </c>
      <c r="E69" s="22">
        <v>28114.56</v>
      </c>
      <c r="K69" s="15" t="s">
        <v>37</v>
      </c>
      <c r="L69" s="16">
        <v>43132.0</v>
      </c>
    </row>
    <row r="70" ht="14.25" customHeight="1">
      <c r="A70" s="20">
        <v>42217.0</v>
      </c>
      <c r="B70" s="21">
        <v>28089.09</v>
      </c>
      <c r="C70" s="21">
        <v>28417.59</v>
      </c>
      <c r="D70" s="21">
        <v>25298.42</v>
      </c>
      <c r="E70" s="22">
        <v>26283.09</v>
      </c>
    </row>
    <row r="71" ht="14.25" customHeight="1">
      <c r="A71" s="20">
        <v>42248.0</v>
      </c>
      <c r="B71" s="21">
        <v>26127.04</v>
      </c>
      <c r="C71" s="21">
        <v>26471.82</v>
      </c>
      <c r="D71" s="21">
        <v>24833.54</v>
      </c>
      <c r="E71" s="22">
        <v>26154.83</v>
      </c>
      <c r="K71" s="25" t="s">
        <v>20</v>
      </c>
      <c r="L71" s="26" t="s">
        <v>13</v>
      </c>
      <c r="M71" s="15" t="s">
        <v>3</v>
      </c>
      <c r="N71" s="15" t="s">
        <v>21</v>
      </c>
    </row>
    <row r="72" ht="14.25" customHeight="1">
      <c r="A72" s="20">
        <v>42278.0</v>
      </c>
      <c r="B72" s="21">
        <v>26344.19</v>
      </c>
      <c r="C72" s="21">
        <v>27618.14</v>
      </c>
      <c r="D72" s="21">
        <v>26168.71</v>
      </c>
      <c r="E72" s="22">
        <v>26656.83</v>
      </c>
      <c r="K72" s="20">
        <v>43101.0</v>
      </c>
      <c r="L72" s="22">
        <v>35965.02</v>
      </c>
      <c r="M72" s="39" t="str">
        <f>CORREL(K72:K75,L72:L75)</f>
        <v>-0.3568625467</v>
      </c>
      <c r="N72" s="15" t="str">
        <f>M72</f>
        <v>-0.3568625467</v>
      </c>
    </row>
    <row r="73" ht="14.25" customHeight="1">
      <c r="A73" s="20">
        <v>42309.0</v>
      </c>
      <c r="B73" s="21">
        <v>26641.69</v>
      </c>
      <c r="C73" s="21">
        <v>26824.3</v>
      </c>
      <c r="D73" s="21">
        <v>25451.42</v>
      </c>
      <c r="E73" s="22">
        <v>26145.67</v>
      </c>
      <c r="K73" s="20">
        <v>43132.0</v>
      </c>
      <c r="L73" s="22">
        <v>34184.04</v>
      </c>
      <c r="M73" s="27"/>
    </row>
    <row r="74" ht="14.25" customHeight="1">
      <c r="A74" s="20">
        <v>42339.0</v>
      </c>
      <c r="B74" s="21">
        <v>26201.27</v>
      </c>
      <c r="C74" s="21">
        <v>26256.42</v>
      </c>
      <c r="D74" s="21">
        <v>24867.73</v>
      </c>
      <c r="E74" s="22">
        <v>26117.54</v>
      </c>
      <c r="K74" s="20">
        <v>43160.0</v>
      </c>
      <c r="L74" s="22">
        <v>32968.68</v>
      </c>
      <c r="M74" s="27"/>
    </row>
    <row r="75" ht="14.25" customHeight="1">
      <c r="A75" s="20">
        <v>42370.0</v>
      </c>
      <c r="B75" s="21">
        <v>26101.5</v>
      </c>
      <c r="C75" s="21">
        <v>26197.27</v>
      </c>
      <c r="D75" s="21">
        <v>23839.76</v>
      </c>
      <c r="E75" s="22">
        <v>24870.69</v>
      </c>
      <c r="K75" s="28">
        <v>43191.0</v>
      </c>
      <c r="L75" s="29">
        <v>35160.36</v>
      </c>
      <c r="M75" s="27"/>
    </row>
    <row r="76" ht="14.25" customHeight="1">
      <c r="A76" s="20">
        <v>42401.0</v>
      </c>
      <c r="B76" s="21">
        <v>24982.22</v>
      </c>
      <c r="C76" s="21">
        <v>25002.32</v>
      </c>
      <c r="D76" s="21">
        <v>22494.61</v>
      </c>
      <c r="E76" s="22">
        <v>23002.0</v>
      </c>
    </row>
    <row r="77" ht="14.25" customHeight="1">
      <c r="A77" s="20">
        <v>42430.0</v>
      </c>
      <c r="B77" s="21">
        <v>23153.32</v>
      </c>
      <c r="C77" s="21">
        <v>25479.62</v>
      </c>
      <c r="D77" s="21">
        <v>23133.18</v>
      </c>
      <c r="E77" s="22">
        <v>25341.86</v>
      </c>
      <c r="K77" s="15" t="s">
        <v>38</v>
      </c>
      <c r="L77" s="16">
        <v>43651.0</v>
      </c>
    </row>
    <row r="78" ht="14.25" customHeight="1">
      <c r="A78" s="20">
        <v>42461.0</v>
      </c>
      <c r="B78" s="21">
        <v>25301.7</v>
      </c>
      <c r="C78" s="21">
        <v>26100.54</v>
      </c>
      <c r="D78" s="21">
        <v>24523.2</v>
      </c>
      <c r="E78" s="22">
        <v>25606.62</v>
      </c>
    </row>
    <row r="79" ht="14.25" customHeight="1">
      <c r="A79" s="20">
        <v>42491.0</v>
      </c>
      <c r="B79" s="21">
        <v>25565.44</v>
      </c>
      <c r="C79" s="21">
        <v>26837.2</v>
      </c>
      <c r="D79" s="21">
        <v>25057.93</v>
      </c>
      <c r="E79" s="22">
        <v>26667.96</v>
      </c>
      <c r="K79" s="25" t="s">
        <v>20</v>
      </c>
      <c r="L79" s="26" t="s">
        <v>13</v>
      </c>
      <c r="M79" s="15" t="s">
        <v>3</v>
      </c>
      <c r="N79" s="15" t="s">
        <v>21</v>
      </c>
    </row>
    <row r="80" ht="14.25" customHeight="1">
      <c r="A80" s="20">
        <v>42522.0</v>
      </c>
      <c r="B80" s="21">
        <v>26684.46</v>
      </c>
      <c r="C80" s="21">
        <v>27105.41</v>
      </c>
      <c r="D80" s="21">
        <v>25911.33</v>
      </c>
      <c r="E80" s="22">
        <v>26999.72</v>
      </c>
      <c r="K80" s="20">
        <v>43617.0</v>
      </c>
      <c r="L80" s="22">
        <v>39394.64</v>
      </c>
      <c r="M80" s="39" t="str">
        <f>CORREL(K80:K83,L80:L83)</f>
        <v>-0.298235875</v>
      </c>
      <c r="N80" s="15" t="str">
        <f>M80</f>
        <v>-0.298235875</v>
      </c>
    </row>
    <row r="81" ht="14.25" customHeight="1">
      <c r="A81" s="20">
        <v>42552.0</v>
      </c>
      <c r="B81" s="21">
        <v>27064.33</v>
      </c>
      <c r="C81" s="21">
        <v>28240.2</v>
      </c>
      <c r="D81" s="21">
        <v>27034.14</v>
      </c>
      <c r="E81" s="22">
        <v>28051.86</v>
      </c>
      <c r="K81" s="20">
        <v>43647.0</v>
      </c>
      <c r="L81" s="22">
        <v>37481.12</v>
      </c>
      <c r="M81" s="27"/>
    </row>
    <row r="82" ht="14.25" customHeight="1">
      <c r="A82" s="20">
        <v>42583.0</v>
      </c>
      <c r="B82" s="21">
        <v>28083.08</v>
      </c>
      <c r="C82" s="21">
        <v>28532.25</v>
      </c>
      <c r="D82" s="21">
        <v>27627.97</v>
      </c>
      <c r="E82" s="22">
        <v>28452.17</v>
      </c>
      <c r="K82" s="20">
        <v>43678.0</v>
      </c>
      <c r="L82" s="22">
        <v>37332.79</v>
      </c>
      <c r="M82" s="27"/>
    </row>
    <row r="83" ht="14.25" customHeight="1">
      <c r="A83" s="20">
        <v>42614.0</v>
      </c>
      <c r="B83" s="21">
        <v>28459.09</v>
      </c>
      <c r="C83" s="21">
        <v>29077.28</v>
      </c>
      <c r="D83" s="21">
        <v>27716.78</v>
      </c>
      <c r="E83" s="22">
        <v>27865.96</v>
      </c>
      <c r="K83" s="28">
        <v>43709.0</v>
      </c>
      <c r="L83" s="29">
        <v>38667.33</v>
      </c>
      <c r="M83" s="27"/>
    </row>
    <row r="84" ht="14.25" customHeight="1">
      <c r="A84" s="20">
        <v>42644.0</v>
      </c>
      <c r="B84" s="21">
        <v>27997.29</v>
      </c>
      <c r="C84" s="21">
        <v>28477.65</v>
      </c>
      <c r="D84" s="21">
        <v>27488.3</v>
      </c>
      <c r="E84" s="22">
        <v>27930.21</v>
      </c>
    </row>
    <row r="85" ht="14.25" customHeight="1">
      <c r="A85" s="20">
        <v>42675.0</v>
      </c>
      <c r="B85" s="21">
        <v>27966.18</v>
      </c>
      <c r="C85" s="21">
        <v>28029.8</v>
      </c>
      <c r="D85" s="21">
        <v>25717.93</v>
      </c>
      <c r="E85" s="22">
        <v>26652.81</v>
      </c>
      <c r="K85" s="15" t="s">
        <v>39</v>
      </c>
      <c r="L85" s="16">
        <v>43862.0</v>
      </c>
    </row>
    <row r="86" ht="14.25" customHeight="1">
      <c r="A86" s="20">
        <v>42705.0</v>
      </c>
      <c r="B86" s="21">
        <v>26756.66</v>
      </c>
      <c r="C86" s="21">
        <v>26803.76</v>
      </c>
      <c r="D86" s="21">
        <v>25753.74</v>
      </c>
      <c r="E86" s="22">
        <v>26626.46</v>
      </c>
    </row>
    <row r="87" ht="14.25" customHeight="1">
      <c r="A87" s="20">
        <v>42736.0</v>
      </c>
      <c r="B87" s="21">
        <v>26711.15</v>
      </c>
      <c r="C87" s="21">
        <v>27980.39</v>
      </c>
      <c r="D87" s="21">
        <v>26447.06</v>
      </c>
      <c r="E87" s="22">
        <v>27655.96</v>
      </c>
      <c r="K87" s="25" t="s">
        <v>20</v>
      </c>
      <c r="L87" s="26" t="s">
        <v>13</v>
      </c>
      <c r="M87" s="15" t="s">
        <v>3</v>
      </c>
      <c r="N87" s="15" t="s">
        <v>21</v>
      </c>
    </row>
    <row r="88" ht="14.25" customHeight="1">
      <c r="A88" s="20">
        <v>42767.0</v>
      </c>
      <c r="B88" s="21">
        <v>27669.08</v>
      </c>
      <c r="C88" s="21">
        <v>29065.31</v>
      </c>
      <c r="D88" s="21">
        <v>27590.1</v>
      </c>
      <c r="E88" s="22">
        <v>28743.32</v>
      </c>
      <c r="K88" s="20">
        <v>43831.0</v>
      </c>
      <c r="L88" s="22">
        <v>40723.49</v>
      </c>
      <c r="M88" s="39" t="str">
        <f>CORREL(K88:K91,L88:L91)</f>
        <v>-0.7656651501</v>
      </c>
      <c r="N88" s="15" t="str">
        <f>M88</f>
        <v>-0.7656651501</v>
      </c>
    </row>
    <row r="89" ht="14.25" customHeight="1">
      <c r="A89" s="20">
        <v>42795.0</v>
      </c>
      <c r="B89" s="21">
        <v>28849.04</v>
      </c>
      <c r="C89" s="21">
        <v>29824.62</v>
      </c>
      <c r="D89" s="21">
        <v>28716.21</v>
      </c>
      <c r="E89" s="22">
        <v>29620.5</v>
      </c>
      <c r="K89" s="20">
        <v>43862.0</v>
      </c>
      <c r="L89" s="22">
        <v>38297.29</v>
      </c>
      <c r="M89" s="27"/>
    </row>
    <row r="90" ht="14.25" customHeight="1">
      <c r="A90" s="20">
        <v>42826.0</v>
      </c>
      <c r="B90" s="21">
        <v>29737.73</v>
      </c>
      <c r="C90" s="21">
        <v>30184.22</v>
      </c>
      <c r="D90" s="21">
        <v>29241.48</v>
      </c>
      <c r="E90" s="22">
        <v>29918.4</v>
      </c>
      <c r="K90" s="20">
        <v>43891.0</v>
      </c>
      <c r="L90" s="22">
        <v>29468.49</v>
      </c>
      <c r="M90" s="27"/>
    </row>
    <row r="91" ht="14.25" customHeight="1">
      <c r="A91" s="20">
        <v>42856.0</v>
      </c>
      <c r="B91" s="21">
        <v>30021.49</v>
      </c>
      <c r="C91" s="21">
        <v>31255.28</v>
      </c>
      <c r="D91" s="21">
        <v>29804.12</v>
      </c>
      <c r="E91" s="22">
        <v>31145.8</v>
      </c>
      <c r="K91" s="28">
        <v>43922.0</v>
      </c>
      <c r="L91" s="29">
        <v>33717.62</v>
      </c>
      <c r="M91" s="27"/>
    </row>
    <row r="92" ht="14.25" customHeight="1">
      <c r="A92" s="20">
        <v>42887.0</v>
      </c>
      <c r="B92" s="21">
        <v>31117.09</v>
      </c>
      <c r="C92" s="21">
        <v>31522.87</v>
      </c>
      <c r="D92" s="21">
        <v>30680.66</v>
      </c>
      <c r="E92" s="22">
        <v>30921.61</v>
      </c>
    </row>
    <row r="93" ht="14.25" customHeight="1">
      <c r="A93" s="20">
        <v>42917.0</v>
      </c>
      <c r="B93" s="21">
        <v>31156.04</v>
      </c>
      <c r="C93" s="21">
        <v>32672.66</v>
      </c>
      <c r="D93" s="21">
        <v>31017.11</v>
      </c>
      <c r="E93" s="22">
        <v>32514.94</v>
      </c>
      <c r="K93" s="15" t="s">
        <v>40</v>
      </c>
      <c r="L93" s="16">
        <v>44228.0</v>
      </c>
    </row>
    <row r="94" ht="14.25" customHeight="1">
      <c r="A94" s="20">
        <v>42948.0</v>
      </c>
      <c r="B94" s="21">
        <v>32579.8</v>
      </c>
      <c r="C94" s="21">
        <v>32686.48</v>
      </c>
      <c r="D94" s="21">
        <v>31128.02</v>
      </c>
      <c r="E94" s="22">
        <v>31730.49</v>
      </c>
    </row>
    <row r="95" ht="14.25" customHeight="1">
      <c r="A95" s="20">
        <v>42979.0</v>
      </c>
      <c r="B95" s="21">
        <v>31769.34</v>
      </c>
      <c r="C95" s="21">
        <v>32524.11</v>
      </c>
      <c r="D95" s="21">
        <v>31081.83</v>
      </c>
      <c r="E95" s="22">
        <v>31283.72</v>
      </c>
      <c r="K95" s="25" t="s">
        <v>20</v>
      </c>
      <c r="L95" s="26" t="s">
        <v>13</v>
      </c>
      <c r="M95" s="15" t="s">
        <v>3</v>
      </c>
      <c r="N95" s="15" t="s">
        <v>21</v>
      </c>
    </row>
    <row r="96" ht="14.25" customHeight="1">
      <c r="A96" s="20">
        <v>43009.0</v>
      </c>
      <c r="B96" s="21">
        <v>31537.81</v>
      </c>
      <c r="C96" s="21">
        <v>33340.17</v>
      </c>
      <c r="D96" s="21">
        <v>31440.48</v>
      </c>
      <c r="E96" s="22">
        <v>33213.13</v>
      </c>
      <c r="K96" s="20">
        <v>44197.0</v>
      </c>
      <c r="L96" s="22">
        <v>46285.77</v>
      </c>
      <c r="M96" s="39" t="str">
        <f>CORREL(K96:K99,L96:L99)</f>
        <v>0.7038804279</v>
      </c>
      <c r="N96" s="15" t="str">
        <f>M96</f>
        <v>0.7038804279</v>
      </c>
    </row>
    <row r="97" ht="14.25" customHeight="1">
      <c r="A97" s="20">
        <v>43040.0</v>
      </c>
      <c r="B97" s="21">
        <v>33344.23</v>
      </c>
      <c r="C97" s="21">
        <v>33865.95</v>
      </c>
      <c r="D97" s="21">
        <v>32683.59</v>
      </c>
      <c r="E97" s="22">
        <v>33149.35</v>
      </c>
      <c r="K97" s="20">
        <v>44228.0</v>
      </c>
      <c r="L97" s="22">
        <v>49099.99</v>
      </c>
      <c r="M97" s="27"/>
    </row>
    <row r="98" ht="14.25" customHeight="1">
      <c r="A98" s="20">
        <v>43070.0</v>
      </c>
      <c r="B98" s="21">
        <v>33247.66</v>
      </c>
      <c r="C98" s="21">
        <v>34137.97</v>
      </c>
      <c r="D98" s="21">
        <v>32565.16</v>
      </c>
      <c r="E98" s="22">
        <v>34056.83</v>
      </c>
      <c r="K98" s="20">
        <v>44256.0</v>
      </c>
      <c r="L98" s="22">
        <v>49509.15</v>
      </c>
      <c r="M98" s="27"/>
    </row>
    <row r="99" ht="14.25" customHeight="1">
      <c r="A99" s="20">
        <v>43101.0</v>
      </c>
      <c r="B99" s="21">
        <v>34059.99</v>
      </c>
      <c r="C99" s="21">
        <v>36443.98</v>
      </c>
      <c r="D99" s="21">
        <v>33703.37</v>
      </c>
      <c r="E99" s="22">
        <v>35965.02</v>
      </c>
      <c r="K99" s="28">
        <v>44287.0</v>
      </c>
      <c r="L99" s="29">
        <v>48782.36</v>
      </c>
      <c r="M99" s="27"/>
    </row>
    <row r="100" ht="14.25" customHeight="1">
      <c r="A100" s="20">
        <v>43132.0</v>
      </c>
      <c r="B100" s="21">
        <v>36048.99</v>
      </c>
      <c r="C100" s="21">
        <v>36256.83</v>
      </c>
      <c r="D100" s="21">
        <v>33482.81</v>
      </c>
      <c r="E100" s="22">
        <v>34184.04</v>
      </c>
    </row>
    <row r="101" ht="14.25" customHeight="1">
      <c r="A101" s="20">
        <v>43160.0</v>
      </c>
      <c r="B101" s="21">
        <v>34141.22</v>
      </c>
      <c r="C101" s="21">
        <v>34278.63</v>
      </c>
      <c r="D101" s="21">
        <v>32483.84</v>
      </c>
      <c r="E101" s="22">
        <v>32968.68</v>
      </c>
      <c r="K101" s="15" t="s">
        <v>41</v>
      </c>
      <c r="L101" s="16">
        <v>44593.0</v>
      </c>
    </row>
    <row r="102" ht="14.25" customHeight="1">
      <c r="A102" s="20">
        <v>43191.0</v>
      </c>
      <c r="B102" s="21">
        <v>33030.87</v>
      </c>
      <c r="C102" s="21">
        <v>35213.3</v>
      </c>
      <c r="D102" s="21">
        <v>32972.56</v>
      </c>
      <c r="E102" s="22">
        <v>35160.36</v>
      </c>
    </row>
    <row r="103" ht="14.25" customHeight="1">
      <c r="A103" s="20">
        <v>43221.0</v>
      </c>
      <c r="B103" s="21">
        <v>35328.91</v>
      </c>
      <c r="C103" s="21">
        <v>35993.53</v>
      </c>
      <c r="D103" s="21">
        <v>34302.89</v>
      </c>
      <c r="E103" s="22">
        <v>35322.38</v>
      </c>
      <c r="K103" s="25" t="s">
        <v>20</v>
      </c>
      <c r="L103" s="26" t="s">
        <v>13</v>
      </c>
      <c r="M103" s="15" t="s">
        <v>3</v>
      </c>
      <c r="N103" s="15" t="s">
        <v>21</v>
      </c>
    </row>
    <row r="104" ht="14.25" customHeight="1">
      <c r="A104" s="20">
        <v>43252.0</v>
      </c>
      <c r="B104" s="21">
        <v>35373.98</v>
      </c>
      <c r="C104" s="21">
        <v>35877.41</v>
      </c>
      <c r="D104" s="21">
        <v>34784.68</v>
      </c>
      <c r="E104" s="22">
        <v>35423.48</v>
      </c>
      <c r="K104" s="20">
        <v>44562.0</v>
      </c>
      <c r="L104" s="22">
        <v>58014.17</v>
      </c>
      <c r="M104" s="39" t="str">
        <f>CORREL(K104:K107,L104:L107)</f>
        <v>-0.08771900106</v>
      </c>
      <c r="N104" s="15" t="str">
        <f>M104</f>
        <v>-0.08771900106</v>
      </c>
    </row>
    <row r="105" ht="14.25" customHeight="1">
      <c r="A105" s="20">
        <v>43282.0</v>
      </c>
      <c r="B105" s="21">
        <v>35545.22</v>
      </c>
      <c r="C105" s="21">
        <v>37644.59</v>
      </c>
      <c r="D105" s="21">
        <v>35106.57</v>
      </c>
      <c r="E105" s="22">
        <v>37606.58</v>
      </c>
      <c r="K105" s="20">
        <v>44593.0</v>
      </c>
      <c r="L105" s="22">
        <v>56247.28</v>
      </c>
      <c r="M105" s="27"/>
    </row>
    <row r="106" ht="14.25" customHeight="1">
      <c r="A106" s="20">
        <v>43313.0</v>
      </c>
      <c r="B106" s="21">
        <v>37643.87</v>
      </c>
      <c r="C106" s="21">
        <v>38989.65</v>
      </c>
      <c r="D106" s="21">
        <v>37128.99</v>
      </c>
      <c r="E106" s="22">
        <v>38645.07</v>
      </c>
      <c r="K106" s="20">
        <v>44621.0</v>
      </c>
      <c r="L106" s="22">
        <v>58568.51</v>
      </c>
      <c r="M106" s="27"/>
    </row>
    <row r="107" ht="14.25" customHeight="1">
      <c r="A107" s="20">
        <v>43344.0</v>
      </c>
      <c r="B107" s="21">
        <v>38915.91</v>
      </c>
      <c r="C107" s="21">
        <v>38934.35</v>
      </c>
      <c r="D107" s="21">
        <v>35985.63</v>
      </c>
      <c r="E107" s="22">
        <v>36227.14</v>
      </c>
      <c r="K107" s="28">
        <v>44652.0</v>
      </c>
      <c r="L107" s="29">
        <v>57060.87</v>
      </c>
      <c r="M107" s="27"/>
    </row>
    <row r="108" ht="14.25" customHeight="1">
      <c r="A108" s="20">
        <v>43374.0</v>
      </c>
      <c r="B108" s="21">
        <v>36274.25</v>
      </c>
      <c r="C108" s="21">
        <v>36616.64</v>
      </c>
      <c r="D108" s="21">
        <v>33291.58</v>
      </c>
      <c r="E108" s="22">
        <v>34442.05</v>
      </c>
    </row>
    <row r="109" ht="14.25" customHeight="1">
      <c r="A109" s="20">
        <v>43405.0</v>
      </c>
      <c r="B109" s="21">
        <v>34650.63</v>
      </c>
      <c r="C109" s="21">
        <v>36389.22</v>
      </c>
      <c r="D109" s="21">
        <v>34303.38</v>
      </c>
      <c r="E109" s="22">
        <v>36194.3</v>
      </c>
      <c r="K109" s="15" t="s">
        <v>42</v>
      </c>
      <c r="L109" s="16">
        <v>44228.0</v>
      </c>
    </row>
    <row r="110" ht="14.25" customHeight="1">
      <c r="A110" s="20">
        <v>43435.0</v>
      </c>
      <c r="B110" s="21">
        <v>36396.69</v>
      </c>
      <c r="C110" s="21">
        <v>36554.99</v>
      </c>
      <c r="D110" s="21">
        <v>34426.29</v>
      </c>
      <c r="E110" s="22">
        <v>36068.33</v>
      </c>
    </row>
    <row r="111" ht="14.25" customHeight="1">
      <c r="A111" s="20">
        <v>43466.0</v>
      </c>
      <c r="B111" s="21">
        <v>36161.8</v>
      </c>
      <c r="C111" s="21">
        <v>36701.03</v>
      </c>
      <c r="D111" s="21">
        <v>35375.51</v>
      </c>
      <c r="E111" s="22">
        <v>36256.69</v>
      </c>
      <c r="K111" s="25" t="s">
        <v>20</v>
      </c>
      <c r="L111" s="26" t="s">
        <v>13</v>
      </c>
      <c r="M111" s="15" t="s">
        <v>3</v>
      </c>
    </row>
    <row r="112" ht="14.25" customHeight="1">
      <c r="A112" s="20">
        <v>43497.0</v>
      </c>
      <c r="B112" s="21">
        <v>36311.74</v>
      </c>
      <c r="C112" s="21">
        <v>37172.18</v>
      </c>
      <c r="D112" s="21">
        <v>35287.16</v>
      </c>
      <c r="E112" s="22">
        <v>35867.44</v>
      </c>
      <c r="K112" s="20">
        <v>44927.0</v>
      </c>
      <c r="L112" s="22">
        <v>59549.9</v>
      </c>
      <c r="M112" s="39" t="str">
        <f>CORREL(K112:K115,L112:L115)</f>
        <v>0.6070867879</v>
      </c>
    </row>
    <row r="113" ht="14.25" customHeight="1">
      <c r="A113" s="20">
        <v>43525.0</v>
      </c>
      <c r="B113" s="21">
        <v>36018.49</v>
      </c>
      <c r="C113" s="21">
        <v>38748.54</v>
      </c>
      <c r="D113" s="21">
        <v>35926.94</v>
      </c>
      <c r="E113" s="22">
        <v>38672.91</v>
      </c>
      <c r="K113" s="20">
        <v>44958.0</v>
      </c>
      <c r="L113" s="22">
        <v>58962.12</v>
      </c>
      <c r="M113" s="27"/>
    </row>
    <row r="114" ht="14.25" customHeight="1">
      <c r="A114" s="20">
        <v>43556.0</v>
      </c>
      <c r="B114" s="21">
        <v>38858.88</v>
      </c>
      <c r="C114" s="21">
        <v>39487.45</v>
      </c>
      <c r="D114" s="21">
        <v>38460.25</v>
      </c>
      <c r="E114" s="22">
        <v>39031.55</v>
      </c>
      <c r="K114" s="20">
        <v>44986.0</v>
      </c>
      <c r="L114" s="22">
        <v>58991.52</v>
      </c>
      <c r="M114" s="27"/>
    </row>
    <row r="115" ht="14.25" customHeight="1">
      <c r="A115" s="20">
        <v>43586.0</v>
      </c>
      <c r="B115" s="21">
        <v>39036.51</v>
      </c>
      <c r="C115" s="21">
        <v>40124.96</v>
      </c>
      <c r="D115" s="21">
        <v>36956.1</v>
      </c>
      <c r="E115" s="22">
        <v>39714.2</v>
      </c>
      <c r="K115" s="28">
        <v>45017.0</v>
      </c>
      <c r="L115" s="29">
        <v>61112.44</v>
      </c>
      <c r="M115" s="27"/>
    </row>
    <row r="116" ht="14.25" customHeight="1">
      <c r="A116" s="20">
        <v>43617.0</v>
      </c>
      <c r="B116" s="21">
        <v>39806.86</v>
      </c>
      <c r="C116" s="21">
        <v>40312.07</v>
      </c>
      <c r="D116" s="21">
        <v>38870.96</v>
      </c>
      <c r="E116" s="22">
        <v>39394.64</v>
      </c>
    </row>
    <row r="117" ht="14.25" customHeight="1">
      <c r="A117" s="20">
        <v>43647.0</v>
      </c>
      <c r="B117" s="21">
        <v>39543.73</v>
      </c>
      <c r="C117" s="21">
        <v>40032.41</v>
      </c>
      <c r="D117" s="21">
        <v>37128.26</v>
      </c>
      <c r="E117" s="22">
        <v>37481.12</v>
      </c>
    </row>
    <row r="118" ht="14.25" customHeight="1">
      <c r="A118" s="20">
        <v>43678.0</v>
      </c>
      <c r="B118" s="21">
        <v>37387.18</v>
      </c>
      <c r="C118" s="21">
        <v>37807.55</v>
      </c>
      <c r="D118" s="21">
        <v>36102.35</v>
      </c>
      <c r="E118" s="22">
        <v>37332.79</v>
      </c>
    </row>
    <row r="119" ht="14.25" customHeight="1">
      <c r="A119" s="20">
        <v>43709.0</v>
      </c>
      <c r="B119" s="21">
        <v>37181.76</v>
      </c>
      <c r="C119" s="21">
        <v>39441.12</v>
      </c>
      <c r="D119" s="21">
        <v>35987.8</v>
      </c>
      <c r="E119" s="22">
        <v>38667.33</v>
      </c>
    </row>
    <row r="120" ht="14.25" customHeight="1">
      <c r="A120" s="20">
        <v>43739.0</v>
      </c>
      <c r="B120" s="21">
        <v>38813.48</v>
      </c>
      <c r="C120" s="21">
        <v>40392.22</v>
      </c>
      <c r="D120" s="21">
        <v>37415.83</v>
      </c>
      <c r="E120" s="22">
        <v>40129.05</v>
      </c>
    </row>
    <row r="121" ht="14.25" customHeight="1">
      <c r="A121" s="20">
        <v>43770.0</v>
      </c>
      <c r="B121" s="21">
        <v>40196.07</v>
      </c>
      <c r="C121" s="21">
        <v>41163.79</v>
      </c>
      <c r="D121" s="21">
        <v>40014.23</v>
      </c>
      <c r="E121" s="22">
        <v>40793.81</v>
      </c>
    </row>
    <row r="122" ht="14.25" customHeight="1">
      <c r="A122" s="20">
        <v>43800.0</v>
      </c>
      <c r="B122" s="21">
        <v>41072.94</v>
      </c>
      <c r="C122" s="21">
        <v>41809.96</v>
      </c>
      <c r="D122" s="21">
        <v>40135.37</v>
      </c>
      <c r="E122" s="22">
        <v>41253.74</v>
      </c>
    </row>
    <row r="123" ht="14.25" customHeight="1">
      <c r="A123" s="20">
        <v>43831.0</v>
      </c>
      <c r="B123" s="21">
        <v>41349.36</v>
      </c>
      <c r="C123" s="21">
        <v>42273.87</v>
      </c>
      <c r="D123" s="21">
        <v>40476.55</v>
      </c>
      <c r="E123" s="22">
        <v>40723.49</v>
      </c>
    </row>
    <row r="124" ht="14.25" customHeight="1">
      <c r="A124" s="20">
        <v>43862.0</v>
      </c>
      <c r="B124" s="21">
        <v>40753.18</v>
      </c>
      <c r="C124" s="21">
        <v>41709.3</v>
      </c>
      <c r="D124" s="21">
        <v>38219.97</v>
      </c>
      <c r="E124" s="22">
        <v>38297.29</v>
      </c>
    </row>
    <row r="125" ht="14.25" customHeight="1">
      <c r="A125" s="20">
        <v>43891.0</v>
      </c>
      <c r="B125" s="21">
        <v>38910.95</v>
      </c>
      <c r="C125" s="21">
        <v>39083.17</v>
      </c>
      <c r="D125" s="21">
        <v>25638.9</v>
      </c>
      <c r="E125" s="22">
        <v>29468.49</v>
      </c>
    </row>
    <row r="126" ht="14.25" customHeight="1">
      <c r="A126" s="20">
        <v>43922.0</v>
      </c>
      <c r="B126" s="21">
        <v>29505.33</v>
      </c>
      <c r="C126" s="21">
        <v>33887.25</v>
      </c>
      <c r="D126" s="21">
        <v>27500.79</v>
      </c>
      <c r="E126" s="22">
        <v>33717.62</v>
      </c>
    </row>
    <row r="127" ht="14.25" customHeight="1">
      <c r="A127" s="20">
        <v>43952.0</v>
      </c>
      <c r="B127" s="21">
        <v>32748.14</v>
      </c>
      <c r="C127" s="21">
        <v>32845.48</v>
      </c>
      <c r="D127" s="21">
        <v>29968.45</v>
      </c>
      <c r="E127" s="22">
        <v>32424.1</v>
      </c>
    </row>
    <row r="128" ht="14.25" customHeight="1">
      <c r="A128" s="20">
        <v>43983.0</v>
      </c>
      <c r="B128" s="21">
        <v>32906.05</v>
      </c>
      <c r="C128" s="21">
        <v>35706.55</v>
      </c>
      <c r="D128" s="21">
        <v>32348.1</v>
      </c>
      <c r="E128" s="22">
        <v>34915.8</v>
      </c>
    </row>
    <row r="129" ht="14.25" customHeight="1">
      <c r="A129" s="20">
        <v>44013.0</v>
      </c>
      <c r="B129" s="21">
        <v>35009.59</v>
      </c>
      <c r="C129" s="21">
        <v>38617.03</v>
      </c>
      <c r="D129" s="21">
        <v>34927.2</v>
      </c>
      <c r="E129" s="22">
        <v>37606.89</v>
      </c>
    </row>
    <row r="130" ht="14.25" customHeight="1">
      <c r="A130" s="20">
        <v>44044.0</v>
      </c>
      <c r="B130" s="21">
        <v>37595.73</v>
      </c>
      <c r="C130" s="21">
        <v>40010.17</v>
      </c>
      <c r="D130" s="21">
        <v>36911.23</v>
      </c>
      <c r="E130" s="22">
        <v>38628.29</v>
      </c>
    </row>
    <row r="131" ht="14.25" customHeight="1">
      <c r="A131" s="20">
        <v>44075.0</v>
      </c>
      <c r="B131" s="21">
        <v>38754.0</v>
      </c>
      <c r="C131" s="21">
        <v>39359.51</v>
      </c>
      <c r="D131" s="21">
        <v>36495.98</v>
      </c>
      <c r="E131" s="22">
        <v>38067.93</v>
      </c>
    </row>
    <row r="132" ht="14.25" customHeight="1">
      <c r="A132" s="20">
        <v>44105.0</v>
      </c>
      <c r="B132" s="21">
        <v>38410.2</v>
      </c>
      <c r="C132" s="21">
        <v>41048.05</v>
      </c>
      <c r="D132" s="21">
        <v>38410.2</v>
      </c>
      <c r="E132" s="22">
        <v>39614.07</v>
      </c>
    </row>
    <row r="133" ht="14.25" customHeight="1">
      <c r="A133" s="20">
        <v>44136.0</v>
      </c>
      <c r="B133" s="21">
        <v>39880.38</v>
      </c>
      <c r="C133" s="21">
        <v>44825.37</v>
      </c>
      <c r="D133" s="21">
        <v>39334.92</v>
      </c>
      <c r="E133" s="22">
        <v>44149.72</v>
      </c>
    </row>
    <row r="134" ht="14.25" customHeight="1">
      <c r="A134" s="20">
        <v>44166.0</v>
      </c>
      <c r="B134" s="21">
        <v>44435.83</v>
      </c>
      <c r="C134" s="21">
        <v>47896.97</v>
      </c>
      <c r="D134" s="21">
        <v>44118.1</v>
      </c>
      <c r="E134" s="22">
        <v>47751.33</v>
      </c>
    </row>
    <row r="135" ht="14.25" customHeight="1">
      <c r="A135" s="20">
        <v>44197.0</v>
      </c>
      <c r="B135" s="21">
        <v>47785.28</v>
      </c>
      <c r="C135" s="21">
        <v>50184.01</v>
      </c>
      <c r="D135" s="21">
        <v>46160.46</v>
      </c>
      <c r="E135" s="22">
        <v>46285.77</v>
      </c>
    </row>
    <row r="136" ht="14.25" customHeight="1">
      <c r="A136" s="20">
        <v>44228.0</v>
      </c>
      <c r="B136" s="21">
        <v>46617.95</v>
      </c>
      <c r="C136" s="21">
        <v>52516.76</v>
      </c>
      <c r="D136" s="21">
        <v>46433.65</v>
      </c>
      <c r="E136" s="22">
        <v>49099.99</v>
      </c>
    </row>
    <row r="137" ht="14.25" customHeight="1">
      <c r="A137" s="20">
        <v>44256.0</v>
      </c>
      <c r="B137" s="21">
        <v>49747.71</v>
      </c>
      <c r="C137" s="21">
        <v>51821.84</v>
      </c>
      <c r="D137" s="21">
        <v>48236.35</v>
      </c>
      <c r="E137" s="22">
        <v>49509.15</v>
      </c>
    </row>
    <row r="138" ht="14.25" customHeight="1">
      <c r="A138" s="20">
        <v>44287.0</v>
      </c>
      <c r="B138" s="21">
        <v>49868.53</v>
      </c>
      <c r="C138" s="21">
        <v>50375.77</v>
      </c>
      <c r="D138" s="21">
        <v>47204.5</v>
      </c>
      <c r="E138" s="22">
        <v>48782.36</v>
      </c>
    </row>
    <row r="139" ht="14.25" customHeight="1">
      <c r="A139" s="20">
        <v>44317.0</v>
      </c>
      <c r="B139" s="21">
        <v>48356.01</v>
      </c>
      <c r="C139" s="21">
        <v>52013.22</v>
      </c>
      <c r="D139" s="21">
        <v>48028.07</v>
      </c>
      <c r="E139" s="22">
        <v>51937.44</v>
      </c>
    </row>
    <row r="140" ht="14.25" customHeight="1">
      <c r="A140" s="20">
        <v>44348.0</v>
      </c>
      <c r="B140" s="21">
        <v>52067.51</v>
      </c>
      <c r="C140" s="21">
        <v>53126.73</v>
      </c>
      <c r="D140" s="21">
        <v>51450.58</v>
      </c>
      <c r="E140" s="22">
        <v>52482.71</v>
      </c>
    </row>
    <row r="141" ht="14.25" customHeight="1">
      <c r="A141" s="20">
        <v>44378.0</v>
      </c>
      <c r="B141" s="21">
        <v>52638.5</v>
      </c>
      <c r="C141" s="21">
        <v>53290.81</v>
      </c>
      <c r="D141" s="21">
        <v>51802.73</v>
      </c>
      <c r="E141" s="22">
        <v>52586.84</v>
      </c>
    </row>
    <row r="142" ht="14.25" customHeight="1">
      <c r="A142" s="20">
        <v>44409.0</v>
      </c>
      <c r="B142" s="21">
        <v>52901.28</v>
      </c>
      <c r="C142" s="21">
        <v>57625.26</v>
      </c>
      <c r="D142" s="21">
        <v>52804.08</v>
      </c>
      <c r="E142" s="22">
        <v>57552.39</v>
      </c>
    </row>
    <row r="143" ht="14.25" customHeight="1">
      <c r="A143" s="20">
        <v>44440.0</v>
      </c>
      <c r="B143" s="21">
        <v>57763.53</v>
      </c>
      <c r="C143" s="21">
        <v>60412.32</v>
      </c>
      <c r="D143" s="21">
        <v>57263.9</v>
      </c>
      <c r="E143" s="22">
        <v>59126.36</v>
      </c>
    </row>
    <row r="144" ht="14.25" customHeight="1">
      <c r="A144" s="20">
        <v>44470.0</v>
      </c>
      <c r="B144" s="21">
        <v>58889.77</v>
      </c>
      <c r="C144" s="21">
        <v>62245.43</v>
      </c>
      <c r="D144" s="21">
        <v>58551.14</v>
      </c>
      <c r="E144" s="22">
        <v>59306.93</v>
      </c>
    </row>
    <row r="145" ht="14.25" customHeight="1">
      <c r="A145" s="20">
        <v>44501.0</v>
      </c>
      <c r="B145" s="21">
        <v>59577.48</v>
      </c>
      <c r="C145" s="21">
        <v>61036.56</v>
      </c>
      <c r="D145" s="21">
        <v>56382.93</v>
      </c>
      <c r="E145" s="22">
        <v>57064.87</v>
      </c>
    </row>
    <row r="146" ht="14.25" customHeight="1">
      <c r="A146" s="20">
        <v>44531.0</v>
      </c>
      <c r="B146" s="21">
        <v>57365.85</v>
      </c>
      <c r="C146" s="21">
        <v>59203.37</v>
      </c>
      <c r="D146" s="21">
        <v>55132.68</v>
      </c>
      <c r="E146" s="22">
        <v>58253.82</v>
      </c>
    </row>
    <row r="147" ht="14.25" customHeight="1">
      <c r="A147" s="20">
        <v>44562.0</v>
      </c>
      <c r="B147" s="21">
        <v>58310.09</v>
      </c>
      <c r="C147" s="21">
        <v>61475.15</v>
      </c>
      <c r="D147" s="21">
        <v>56409.63</v>
      </c>
      <c r="E147" s="22">
        <v>58014.17</v>
      </c>
    </row>
    <row r="148" ht="14.25" customHeight="1">
      <c r="A148" s="20">
        <v>44593.0</v>
      </c>
      <c r="B148" s="21">
        <v>58672.86</v>
      </c>
      <c r="C148" s="21">
        <v>59618.51</v>
      </c>
      <c r="D148" s="21">
        <v>54383.2</v>
      </c>
      <c r="E148" s="22">
        <v>56247.28</v>
      </c>
    </row>
    <row r="149" ht="14.25" customHeight="1">
      <c r="A149" s="20">
        <v>44621.0</v>
      </c>
      <c r="B149" s="21">
        <v>55629.3</v>
      </c>
      <c r="C149" s="21">
        <v>58890.92</v>
      </c>
      <c r="D149" s="21">
        <v>52260.82</v>
      </c>
      <c r="E149" s="22">
        <v>58568.51</v>
      </c>
    </row>
    <row r="150" ht="14.25" customHeight="1">
      <c r="A150" s="20">
        <v>44652.0</v>
      </c>
      <c r="B150" s="21">
        <v>58530.73</v>
      </c>
      <c r="C150" s="21">
        <v>60845.1</v>
      </c>
      <c r="D150" s="21">
        <v>56009.07</v>
      </c>
      <c r="E150" s="22">
        <v>57060.87</v>
      </c>
    </row>
    <row r="151" ht="14.25" customHeight="1">
      <c r="A151" s="20">
        <v>44682.0</v>
      </c>
      <c r="B151" s="21">
        <v>56429.45</v>
      </c>
      <c r="C151" s="21">
        <v>57184.21</v>
      </c>
      <c r="D151" s="21">
        <v>52632.48</v>
      </c>
      <c r="E151" s="22">
        <v>55566.41</v>
      </c>
    </row>
    <row r="152" ht="14.25" customHeight="1">
      <c r="A152" s="20">
        <v>44713.0</v>
      </c>
      <c r="B152" s="21">
        <v>55588.27</v>
      </c>
      <c r="C152" s="21">
        <v>56432.65</v>
      </c>
      <c r="D152" s="21">
        <v>50921.22</v>
      </c>
      <c r="E152" s="22">
        <v>53018.94</v>
      </c>
    </row>
    <row r="153" ht="14.25" customHeight="1">
      <c r="A153" s="20">
        <v>44743.0</v>
      </c>
      <c r="B153" s="21">
        <v>52863.34</v>
      </c>
      <c r="C153" s="21">
        <v>57619.27</v>
      </c>
      <c r="D153" s="21">
        <v>52094.25</v>
      </c>
      <c r="E153" s="22">
        <v>57570.25</v>
      </c>
    </row>
    <row r="154" ht="14.25" customHeight="1">
      <c r="A154" s="20">
        <v>44774.0</v>
      </c>
      <c r="B154" s="21">
        <v>57823.1</v>
      </c>
      <c r="C154" s="21">
        <v>60411.2</v>
      </c>
      <c r="D154" s="21">
        <v>57367.47</v>
      </c>
      <c r="E154" s="22">
        <v>59537.07</v>
      </c>
    </row>
    <row r="155" ht="14.25" customHeight="1">
      <c r="A155" s="20">
        <v>44805.0</v>
      </c>
      <c r="B155" s="21">
        <v>58710.53</v>
      </c>
      <c r="C155" s="21">
        <v>60676.12</v>
      </c>
      <c r="D155" s="21">
        <v>56147.23</v>
      </c>
      <c r="E155" s="22">
        <v>57426.92</v>
      </c>
    </row>
    <row r="156" ht="14.25" customHeight="1">
      <c r="A156" s="20">
        <v>44835.0</v>
      </c>
      <c r="B156" s="21">
        <v>57403.92</v>
      </c>
      <c r="C156" s="21">
        <v>60786.7</v>
      </c>
      <c r="D156" s="21">
        <v>56683.4</v>
      </c>
      <c r="E156" s="22">
        <v>60746.59</v>
      </c>
    </row>
    <row r="157" ht="14.25" customHeight="1">
      <c r="A157" s="20">
        <v>44866.0</v>
      </c>
      <c r="B157" s="21">
        <v>61065.58</v>
      </c>
      <c r="C157" s="21">
        <v>63303.01</v>
      </c>
      <c r="D157" s="21">
        <v>60425.47</v>
      </c>
      <c r="E157" s="22">
        <v>63099.65</v>
      </c>
    </row>
    <row r="158" ht="14.25" customHeight="1">
      <c r="A158" s="20">
        <v>44896.0</v>
      </c>
      <c r="B158" s="21">
        <v>63357.99</v>
      </c>
      <c r="C158" s="21">
        <v>63583.07</v>
      </c>
      <c r="D158" s="21">
        <v>59754.1</v>
      </c>
      <c r="E158" s="22">
        <v>60840.74</v>
      </c>
    </row>
    <row r="159" ht="14.25" customHeight="1">
      <c r="A159" s="20">
        <v>44927.0</v>
      </c>
      <c r="B159" s="21">
        <v>60871.24</v>
      </c>
      <c r="C159" s="21">
        <v>61343.96</v>
      </c>
      <c r="D159" s="21">
        <v>58699.2</v>
      </c>
      <c r="E159" s="22">
        <v>59549.9</v>
      </c>
    </row>
    <row r="160" ht="14.25" customHeight="1">
      <c r="A160" s="20">
        <v>44958.0</v>
      </c>
      <c r="B160" s="21">
        <v>60001.17</v>
      </c>
      <c r="C160" s="21">
        <v>61682.25</v>
      </c>
      <c r="D160" s="21">
        <v>58795.97</v>
      </c>
      <c r="E160" s="22">
        <v>58962.12</v>
      </c>
    </row>
    <row r="161" ht="14.25" customHeight="1">
      <c r="A161" s="20">
        <v>44986.0</v>
      </c>
      <c r="B161" s="21">
        <v>59136.48</v>
      </c>
      <c r="C161" s="21">
        <v>60498.48</v>
      </c>
      <c r="D161" s="21">
        <v>57084.91</v>
      </c>
      <c r="E161" s="22">
        <v>58991.52</v>
      </c>
    </row>
    <row r="162" ht="14.25" customHeight="1">
      <c r="A162" s="20">
        <v>45017.0</v>
      </c>
      <c r="B162" s="21">
        <v>59131.16</v>
      </c>
      <c r="C162" s="21">
        <v>61209.46</v>
      </c>
      <c r="D162" s="21">
        <v>58793.08</v>
      </c>
      <c r="E162" s="22">
        <v>61112.44</v>
      </c>
    </row>
    <row r="163" ht="14.25" customHeight="1">
      <c r="A163" s="20">
        <v>45047.0</v>
      </c>
      <c r="B163" s="21">
        <v>61301.61</v>
      </c>
      <c r="C163" s="21">
        <v>63036.12</v>
      </c>
      <c r="D163" s="21">
        <v>61002.17</v>
      </c>
      <c r="E163" s="22">
        <v>62622.24</v>
      </c>
    </row>
    <row r="164" ht="14.25" customHeight="1">
      <c r="A164" s="20">
        <v>45078.0</v>
      </c>
      <c r="B164" s="21">
        <v>62736.47</v>
      </c>
      <c r="C164" s="21">
        <v>64768.58</v>
      </c>
      <c r="D164" s="21">
        <v>62359.14</v>
      </c>
      <c r="E164" s="22">
        <v>64718.56</v>
      </c>
    </row>
    <row r="165" ht="14.25" customHeight="1">
      <c r="A165" s="20">
        <v>45108.0</v>
      </c>
      <c r="B165" s="21">
        <v>64836.16</v>
      </c>
      <c r="C165" s="21">
        <v>67619.17</v>
      </c>
      <c r="D165" s="21">
        <v>64836.16</v>
      </c>
      <c r="E165" s="22">
        <v>66527.67</v>
      </c>
    </row>
    <row r="166" ht="14.25" customHeight="1">
      <c r="A166" s="20">
        <v>45139.0</v>
      </c>
      <c r="B166" s="21">
        <v>66532.98</v>
      </c>
      <c r="C166" s="21">
        <v>66658.12</v>
      </c>
      <c r="D166" s="21">
        <v>64723.63</v>
      </c>
      <c r="E166" s="22">
        <v>64831.41</v>
      </c>
    </row>
    <row r="167" ht="14.25" customHeight="1">
      <c r="A167" s="20">
        <v>45170.0</v>
      </c>
      <c r="B167" s="21">
        <v>64855.51</v>
      </c>
      <c r="C167" s="21">
        <v>67927.23</v>
      </c>
      <c r="D167" s="21">
        <v>64818.37</v>
      </c>
      <c r="E167" s="22">
        <v>65828.41</v>
      </c>
    </row>
    <row r="168" ht="14.25" customHeight="1">
      <c r="A168" s="20">
        <v>45200.0</v>
      </c>
      <c r="B168" s="21">
        <v>65813.42</v>
      </c>
      <c r="C168" s="21">
        <v>66592.16</v>
      </c>
      <c r="D168" s="21">
        <v>63092.98</v>
      </c>
      <c r="E168" s="22">
        <v>63874.93</v>
      </c>
    </row>
    <row r="169" ht="14.25" customHeight="1">
      <c r="A169" s="20">
        <v>45231.0</v>
      </c>
      <c r="B169" s="21">
        <v>63829.87</v>
      </c>
      <c r="C169" s="21">
        <v>67069.89</v>
      </c>
      <c r="D169" s="21">
        <v>63550.46</v>
      </c>
      <c r="E169" s="22">
        <v>66988.44</v>
      </c>
    </row>
    <row r="170" ht="14.25" customHeight="1">
      <c r="A170" s="20">
        <v>45261.0</v>
      </c>
      <c r="B170" s="21">
        <v>67181.15</v>
      </c>
      <c r="C170" s="21">
        <v>72484.34</v>
      </c>
      <c r="D170" s="21">
        <v>67149.07</v>
      </c>
      <c r="E170" s="22">
        <v>72240.26</v>
      </c>
    </row>
    <row r="171" ht="14.25" customHeight="1">
      <c r="A171" s="20">
        <v>45292.0</v>
      </c>
      <c r="B171" s="21">
        <v>72218.39</v>
      </c>
      <c r="C171" s="21">
        <v>73427.59</v>
      </c>
      <c r="D171" s="21">
        <v>70001.6</v>
      </c>
      <c r="E171" s="22">
        <v>71752.11</v>
      </c>
    </row>
    <row r="172" ht="14.25" customHeight="1">
      <c r="A172" s="20">
        <v>45323.0</v>
      </c>
      <c r="B172" s="21">
        <v>71998.78</v>
      </c>
      <c r="C172" s="21">
        <v>73413.93</v>
      </c>
      <c r="D172" s="21">
        <v>70809.84</v>
      </c>
      <c r="E172" s="22">
        <v>72500.3</v>
      </c>
    </row>
    <row r="173" ht="14.25" customHeight="1">
      <c r="A173" s="20">
        <v>45352.0</v>
      </c>
      <c r="B173" s="21">
        <v>72606.31</v>
      </c>
      <c r="C173" s="21">
        <v>74245.17</v>
      </c>
      <c r="D173" s="21">
        <v>71674.42</v>
      </c>
      <c r="E173" s="22">
        <v>73651.35</v>
      </c>
    </row>
    <row r="174" ht="14.25" customHeight="1">
      <c r="A174" s="28">
        <v>45383.0</v>
      </c>
      <c r="B174" s="40">
        <v>73968.62</v>
      </c>
      <c r="C174" s="40">
        <v>75124.28</v>
      </c>
      <c r="D174" s="40">
        <v>73485.12</v>
      </c>
      <c r="E174" s="29">
        <v>74683.7</v>
      </c>
    </row>
  </sheetData>
  <mergeCells count="2">
    <mergeCell ref="A1:E1"/>
    <mergeCell ref="J1:L1"/>
  </mergeCells>
  <printOptions/>
  <pageMargins bottom="0.75" footer="0.0" header="0.0" left="0.7" right="0.7" top="0.75"/>
  <pageSetup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6.29"/>
    <col customWidth="1" min="3" max="3" width="8.71"/>
    <col customWidth="1" min="4" max="4" width="11.71"/>
    <col customWidth="1" min="5" max="5" width="20.29"/>
    <col customWidth="1" min="6" max="6" width="14.71"/>
    <col customWidth="1" min="7" max="9" width="8.71"/>
    <col customWidth="1" min="10" max="10" width="25.57"/>
    <col customWidth="1" min="11" max="14" width="8.71"/>
    <col customWidth="1" min="15" max="15" width="14.29"/>
    <col customWidth="1" min="16" max="19" width="8.71"/>
    <col customWidth="1" min="20" max="20" width="11.71"/>
    <col customWidth="1" min="21" max="22" width="8.71"/>
  </cols>
  <sheetData>
    <row r="1" ht="14.25" customHeight="1">
      <c r="A1" s="27"/>
      <c r="B1" t="s">
        <v>43</v>
      </c>
      <c r="D1" s="3" t="s">
        <v>1</v>
      </c>
      <c r="E1" s="4" t="s">
        <v>2</v>
      </c>
      <c r="F1" s="5" t="s">
        <v>3</v>
      </c>
      <c r="H1" s="6" t="s">
        <v>4</v>
      </c>
      <c r="K1" s="6"/>
      <c r="L1" s="6"/>
    </row>
    <row r="2" ht="14.25" customHeight="1">
      <c r="D2" s="7" t="s">
        <v>5</v>
      </c>
      <c r="E2" s="8">
        <v>40235.0</v>
      </c>
      <c r="F2" s="9">
        <v>0.90494</v>
      </c>
      <c r="I2" s="6" t="s">
        <v>6</v>
      </c>
      <c r="J2" s="6" t="s">
        <v>7</v>
      </c>
      <c r="K2" s="6"/>
      <c r="L2" s="6"/>
      <c r="N2" s="15" t="s">
        <v>33</v>
      </c>
      <c r="O2" s="16">
        <v>41830.0</v>
      </c>
      <c r="S2" s="15" t="s">
        <v>37</v>
      </c>
      <c r="T2" s="16">
        <v>43132.0</v>
      </c>
    </row>
    <row r="3" ht="14.25" customHeight="1">
      <c r="D3" s="7" t="s">
        <v>14</v>
      </c>
      <c r="E3" s="8">
        <v>40602.0</v>
      </c>
      <c r="F3" s="14">
        <v>0.6897678407414971</v>
      </c>
      <c r="I3" s="15" t="s">
        <v>15</v>
      </c>
      <c r="J3" s="16">
        <v>40235.0</v>
      </c>
    </row>
    <row r="4" ht="14.25" customHeight="1">
      <c r="A4" s="27" t="e">
        <v>#REF!</v>
      </c>
      <c r="D4" s="7" t="s">
        <v>17</v>
      </c>
      <c r="E4" s="8">
        <v>40984.0</v>
      </c>
      <c r="F4" s="14">
        <v>0.02304956611335195</v>
      </c>
      <c r="N4" s="25" t="s">
        <v>20</v>
      </c>
      <c r="O4" s="26" t="s">
        <v>13</v>
      </c>
      <c r="P4" s="15" t="s">
        <v>3</v>
      </c>
      <c r="Q4" s="15" t="s">
        <v>21</v>
      </c>
      <c r="S4" s="25" t="s">
        <v>20</v>
      </c>
      <c r="T4" s="26" t="s">
        <v>13</v>
      </c>
      <c r="U4" s="15" t="s">
        <v>3</v>
      </c>
      <c r="V4" s="15" t="s">
        <v>21</v>
      </c>
    </row>
    <row r="5" ht="14.25" customHeight="1">
      <c r="D5" s="7" t="s">
        <v>19</v>
      </c>
      <c r="E5" s="8">
        <v>41333.0</v>
      </c>
      <c r="F5" s="14">
        <v>-0.3009151008110425</v>
      </c>
      <c r="I5" s="25" t="s">
        <v>20</v>
      </c>
      <c r="J5" s="26" t="s">
        <v>13</v>
      </c>
      <c r="K5" s="15" t="s">
        <v>3</v>
      </c>
      <c r="L5" s="15" t="s">
        <v>21</v>
      </c>
      <c r="N5" s="20">
        <v>41791.0</v>
      </c>
      <c r="O5" s="22">
        <v>25413.78</v>
      </c>
      <c r="P5" s="15" t="str">
        <f>CORREL(N5:N8,O5:O8)</f>
        <v>0.9459821724</v>
      </c>
      <c r="Q5" s="15" t="str">
        <f>P5</f>
        <v>0.9459821724</v>
      </c>
      <c r="S5" s="20">
        <v>43101.0</v>
      </c>
      <c r="T5" s="22">
        <v>35965.02</v>
      </c>
      <c r="U5" s="39" t="str">
        <f>CORREL(S5:S8,T5:T8)</f>
        <v>-0.3568625467</v>
      </c>
      <c r="V5" s="15" t="str">
        <f>U5</f>
        <v>-0.3568625467</v>
      </c>
    </row>
    <row r="6" ht="14.25" customHeight="1">
      <c r="D6" s="7" t="s">
        <v>23</v>
      </c>
      <c r="E6" s="8">
        <v>41830.0</v>
      </c>
      <c r="F6" s="14">
        <v>0.9459821723808197</v>
      </c>
      <c r="I6" s="20">
        <v>40179.0</v>
      </c>
      <c r="J6" s="22">
        <v>16357.96</v>
      </c>
      <c r="K6" s="15" t="str">
        <f>CORREL(I6:I9,J6:J9)</f>
        <v>0.9049465229</v>
      </c>
      <c r="L6" s="15" t="str">
        <f>K6</f>
        <v>0.9049465229</v>
      </c>
      <c r="N6" s="20">
        <v>41821.0</v>
      </c>
      <c r="O6" s="22">
        <v>25894.97</v>
      </c>
      <c r="P6" s="27"/>
      <c r="S6" s="20">
        <v>43132.0</v>
      </c>
      <c r="T6" s="22">
        <v>34184.04</v>
      </c>
      <c r="U6" s="27"/>
    </row>
    <row r="7" ht="14.25" customHeight="1">
      <c r="D7" s="7" t="s">
        <v>25</v>
      </c>
      <c r="E7" s="8">
        <v>42063.0</v>
      </c>
      <c r="F7" s="14">
        <v>-0.9205996231740893</v>
      </c>
      <c r="I7" s="20">
        <v>40210.0</v>
      </c>
      <c r="J7" s="22">
        <v>16429.55</v>
      </c>
      <c r="K7" s="27"/>
      <c r="N7" s="20">
        <v>41852.0</v>
      </c>
      <c r="O7" s="22">
        <v>26638.11</v>
      </c>
      <c r="P7" s="27"/>
      <c r="S7" s="20">
        <v>43160.0</v>
      </c>
      <c r="T7" s="22">
        <v>32968.68</v>
      </c>
      <c r="U7" s="27"/>
    </row>
    <row r="8" ht="14.25" customHeight="1">
      <c r="D8" s="7" t="s">
        <v>16</v>
      </c>
      <c r="E8" s="8">
        <v>42429.0</v>
      </c>
      <c r="F8" s="14">
        <v>0.4902172871128454</v>
      </c>
      <c r="I8" s="20">
        <v>40238.0</v>
      </c>
      <c r="J8" s="22">
        <v>17527.77</v>
      </c>
      <c r="K8" s="27"/>
      <c r="N8" s="28">
        <v>41883.0</v>
      </c>
      <c r="O8" s="29">
        <v>26630.51</v>
      </c>
      <c r="P8" s="27"/>
      <c r="S8" s="28">
        <v>43191.0</v>
      </c>
      <c r="T8" s="29">
        <v>35160.36</v>
      </c>
      <c r="U8" s="27"/>
    </row>
    <row r="9" ht="14.25" customHeight="1">
      <c r="D9" s="7" t="s">
        <v>18</v>
      </c>
      <c r="E9" s="8">
        <v>42767.0</v>
      </c>
      <c r="F9" s="14">
        <v>0.9722749009928939</v>
      </c>
      <c r="I9" s="28">
        <v>40269.0</v>
      </c>
      <c r="J9" s="29">
        <v>17558.71</v>
      </c>
      <c r="K9" s="27"/>
    </row>
    <row r="10" ht="14.25" customHeight="1">
      <c r="D10" s="7" t="s">
        <v>22</v>
      </c>
      <c r="E10" s="8">
        <v>43132.0</v>
      </c>
      <c r="F10" s="14">
        <v>-0.3568625466786824</v>
      </c>
      <c r="N10" s="15" t="s">
        <v>34</v>
      </c>
      <c r="O10" s="16">
        <v>42063.0</v>
      </c>
      <c r="S10" s="15" t="s">
        <v>38</v>
      </c>
      <c r="T10" s="16">
        <v>43651.0</v>
      </c>
    </row>
    <row r="11" ht="14.25" customHeight="1">
      <c r="D11" s="7" t="s">
        <v>24</v>
      </c>
      <c r="E11" s="8">
        <v>43651.0</v>
      </c>
      <c r="F11" s="14">
        <v>-0.2982358750110885</v>
      </c>
    </row>
    <row r="12" ht="14.25" customHeight="1">
      <c r="D12" s="7" t="s">
        <v>26</v>
      </c>
      <c r="E12" s="8">
        <v>43862.0</v>
      </c>
      <c r="F12" s="14">
        <v>-0.7656651500669142</v>
      </c>
      <c r="I12" s="15" t="s">
        <v>30</v>
      </c>
      <c r="J12" s="16">
        <v>40602.0</v>
      </c>
      <c r="N12" s="25" t="s">
        <v>20</v>
      </c>
      <c r="O12" s="26" t="s">
        <v>13</v>
      </c>
      <c r="P12" s="15" t="s">
        <v>3</v>
      </c>
      <c r="Q12" s="15" t="s">
        <v>21</v>
      </c>
      <c r="S12" s="25" t="s">
        <v>20</v>
      </c>
      <c r="T12" s="26" t="s">
        <v>13</v>
      </c>
      <c r="U12" s="15" t="s">
        <v>3</v>
      </c>
      <c r="V12" s="15" t="s">
        <v>21</v>
      </c>
    </row>
    <row r="13" ht="14.25" customHeight="1">
      <c r="D13" s="7" t="s">
        <v>27</v>
      </c>
      <c r="E13" s="8">
        <v>44228.0</v>
      </c>
      <c r="F13" s="14">
        <v>0.7038804278950158</v>
      </c>
      <c r="N13" s="20">
        <v>42005.0</v>
      </c>
      <c r="O13" s="22">
        <v>29182.95</v>
      </c>
      <c r="P13" s="39" t="str">
        <f>CORREL(N13:N16,O13:O16)</f>
        <v>-0.9205996232</v>
      </c>
      <c r="Q13" s="15" t="str">
        <f>P13</f>
        <v>-0.9205996232</v>
      </c>
      <c r="S13" s="20">
        <v>43617.0</v>
      </c>
      <c r="T13" s="22">
        <v>39394.64</v>
      </c>
      <c r="U13" s="39" t="str">
        <f>CORREL(S13:S16,T13:T16)</f>
        <v>-0.298235875</v>
      </c>
      <c r="V13" s="15" t="str">
        <f>U13</f>
        <v>-0.298235875</v>
      </c>
    </row>
    <row r="14" ht="14.25" customHeight="1">
      <c r="D14" s="7" t="s">
        <v>28</v>
      </c>
      <c r="E14" s="8">
        <v>44593.0</v>
      </c>
      <c r="F14" s="14">
        <v>-0.08771900105532897</v>
      </c>
      <c r="I14" s="25" t="s">
        <v>20</v>
      </c>
      <c r="J14" s="26" t="s">
        <v>13</v>
      </c>
      <c r="K14" s="15" t="s">
        <v>3</v>
      </c>
      <c r="L14" s="15" t="s">
        <v>21</v>
      </c>
      <c r="N14" s="20">
        <v>42036.0</v>
      </c>
      <c r="O14" s="22">
        <v>29361.5</v>
      </c>
      <c r="P14" s="27"/>
      <c r="S14" s="20">
        <v>43647.0</v>
      </c>
      <c r="T14" s="22">
        <v>37481.12</v>
      </c>
      <c r="U14" s="27"/>
    </row>
    <row r="15" ht="14.25" customHeight="1">
      <c r="D15" s="33"/>
      <c r="E15" s="34"/>
      <c r="F15" s="14" t="str">
        <f>AVERAGE(F2:F14)</f>
        <v>0.15385</v>
      </c>
      <c r="I15" s="20">
        <v>40544.0</v>
      </c>
      <c r="J15" s="22">
        <v>18327.76</v>
      </c>
      <c r="K15" s="15" t="str">
        <f>CORREL(I15:I18,J15:J18)</f>
        <v>0.6897678407</v>
      </c>
      <c r="L15" s="15" t="str">
        <f>K15</f>
        <v>0.6897678407</v>
      </c>
      <c r="N15" s="20">
        <v>42064.0</v>
      </c>
      <c r="O15" s="22">
        <v>27957.49</v>
      </c>
      <c r="P15" s="27"/>
      <c r="S15" s="20">
        <v>43678.0</v>
      </c>
      <c r="T15" s="22">
        <v>37332.79</v>
      </c>
      <c r="U15" s="27"/>
    </row>
    <row r="16" ht="14.25" customHeight="1">
      <c r="H16" s="38"/>
      <c r="I16" s="20">
        <v>40575.0</v>
      </c>
      <c r="J16" s="22">
        <v>17823.4</v>
      </c>
      <c r="K16" s="27"/>
      <c r="N16" s="28">
        <v>42095.0</v>
      </c>
      <c r="O16" s="29">
        <v>27011.31</v>
      </c>
      <c r="P16" s="27"/>
      <c r="S16" s="28">
        <v>43709.0</v>
      </c>
      <c r="T16" s="29">
        <v>38667.33</v>
      </c>
      <c r="U16" s="27"/>
    </row>
    <row r="17" ht="14.25" customHeight="1">
      <c r="D17" s="6" t="s">
        <v>6</v>
      </c>
      <c r="E17" s="6" t="s">
        <v>7</v>
      </c>
      <c r="F17" s="6"/>
      <c r="I17" s="20">
        <v>40603.0</v>
      </c>
      <c r="J17" s="22">
        <v>19445.22</v>
      </c>
      <c r="K17" s="27"/>
    </row>
    <row r="18" ht="14.25" customHeight="1">
      <c r="D18" s="15"/>
      <c r="E18" s="16"/>
      <c r="I18" s="28">
        <v>40634.0</v>
      </c>
      <c r="J18" s="29">
        <v>19135.96</v>
      </c>
      <c r="K18" s="27"/>
      <c r="N18" s="15" t="s">
        <v>35</v>
      </c>
      <c r="O18" s="16">
        <v>42429.0</v>
      </c>
      <c r="S18" s="15" t="s">
        <v>39</v>
      </c>
      <c r="T18" s="16">
        <v>43862.0</v>
      </c>
    </row>
    <row r="19" ht="14.25" customHeight="1"/>
    <row r="20" ht="14.25" customHeight="1">
      <c r="D20" s="25" t="s">
        <v>20</v>
      </c>
      <c r="E20" s="26" t="s">
        <v>13</v>
      </c>
      <c r="F20" s="15" t="s">
        <v>3</v>
      </c>
      <c r="N20" s="25" t="s">
        <v>20</v>
      </c>
      <c r="O20" s="26" t="s">
        <v>13</v>
      </c>
      <c r="P20" s="15" t="s">
        <v>3</v>
      </c>
      <c r="Q20" s="15" t="s">
        <v>21</v>
      </c>
      <c r="S20" s="25" t="s">
        <v>20</v>
      </c>
      <c r="T20" s="26" t="s">
        <v>13</v>
      </c>
      <c r="U20" s="15" t="s">
        <v>3</v>
      </c>
      <c r="V20" s="15" t="s">
        <v>21</v>
      </c>
    </row>
    <row r="21" ht="14.25" customHeight="1">
      <c r="D21" s="20"/>
      <c r="E21" s="22"/>
      <c r="F21" s="15" t="str">
        <f>CORREL(D21:D24,E21:E24)</f>
        <v>#DIV/0!</v>
      </c>
      <c r="I21" s="15" t="s">
        <v>31</v>
      </c>
      <c r="J21" s="16">
        <v>40984.0</v>
      </c>
      <c r="N21" s="20">
        <v>42370.0</v>
      </c>
      <c r="O21" s="22">
        <v>24870.69</v>
      </c>
      <c r="P21" s="39" t="str">
        <f>CORREL(N21:N24,O21:O24)</f>
        <v>0.4902172871</v>
      </c>
      <c r="Q21" s="15" t="str">
        <f>P21</f>
        <v>0.4902172871</v>
      </c>
      <c r="S21" s="20">
        <v>43831.0</v>
      </c>
      <c r="T21" s="22">
        <v>40723.49</v>
      </c>
      <c r="U21" s="39" t="str">
        <f>CORREL(S21:S24,T21:T24)</f>
        <v>-0.7656651501</v>
      </c>
      <c r="V21" s="15" t="str">
        <f>U21</f>
        <v>-0.7656651501</v>
      </c>
    </row>
    <row r="22" ht="14.25" customHeight="1">
      <c r="D22" s="20"/>
      <c r="E22" s="22"/>
      <c r="F22" s="27"/>
      <c r="N22" s="20">
        <v>42401.0</v>
      </c>
      <c r="O22" s="22">
        <v>23002.0</v>
      </c>
      <c r="P22" s="27"/>
      <c r="S22" s="20">
        <v>43862.0</v>
      </c>
      <c r="T22" s="22">
        <v>38297.29</v>
      </c>
      <c r="U22" s="27"/>
    </row>
    <row r="23" ht="14.25" customHeight="1">
      <c r="D23" s="20"/>
      <c r="E23" s="22"/>
      <c r="F23" s="27"/>
      <c r="I23" s="25" t="s">
        <v>20</v>
      </c>
      <c r="J23" s="26" t="s">
        <v>13</v>
      </c>
      <c r="K23" s="15" t="s">
        <v>3</v>
      </c>
      <c r="L23" s="15" t="s">
        <v>21</v>
      </c>
      <c r="N23" s="20">
        <v>42430.0</v>
      </c>
      <c r="O23" s="22">
        <v>25341.86</v>
      </c>
      <c r="P23" s="27"/>
      <c r="S23" s="20">
        <v>43891.0</v>
      </c>
      <c r="T23" s="22">
        <v>29468.49</v>
      </c>
      <c r="U23" s="27"/>
    </row>
    <row r="24" ht="14.25" customHeight="1">
      <c r="D24" s="28"/>
      <c r="E24" s="29"/>
      <c r="F24" s="27"/>
      <c r="I24" s="20">
        <v>40909.0</v>
      </c>
      <c r="J24" s="22">
        <v>17193.55</v>
      </c>
      <c r="K24" s="15" t="str">
        <f>CORREL(I24:I27,J24:J27)</f>
        <v>0.02304956611</v>
      </c>
      <c r="L24" s="15" t="str">
        <f>K24</f>
        <v>0.02304956611</v>
      </c>
      <c r="N24" s="28">
        <v>42461.0</v>
      </c>
      <c r="O24" s="29">
        <v>25606.62</v>
      </c>
      <c r="P24" s="27"/>
      <c r="S24" s="28">
        <v>43922.0</v>
      </c>
      <c r="T24" s="29">
        <v>33717.62</v>
      </c>
      <c r="U24" s="27"/>
    </row>
    <row r="25" ht="14.25" customHeight="1">
      <c r="I25" s="20">
        <v>40940.0</v>
      </c>
      <c r="J25" s="22">
        <v>17752.68</v>
      </c>
      <c r="K25" s="27"/>
    </row>
    <row r="26" ht="14.25" customHeight="1">
      <c r="I26" s="20">
        <v>40969.0</v>
      </c>
      <c r="J26" s="22">
        <v>17404.2</v>
      </c>
      <c r="K26" s="27"/>
      <c r="N26" s="15" t="s">
        <v>36</v>
      </c>
      <c r="O26" s="16">
        <v>42767.0</v>
      </c>
      <c r="S26" s="15" t="s">
        <v>40</v>
      </c>
      <c r="T26" s="16">
        <v>44228.0</v>
      </c>
    </row>
    <row r="27" ht="14.25" customHeight="1">
      <c r="I27" s="28">
        <v>41000.0</v>
      </c>
      <c r="J27" s="29">
        <v>17318.81</v>
      </c>
      <c r="K27" s="27"/>
    </row>
    <row r="28" ht="14.25" customHeight="1">
      <c r="N28" s="25" t="s">
        <v>20</v>
      </c>
      <c r="O28" s="26" t="s">
        <v>13</v>
      </c>
      <c r="P28" s="15" t="s">
        <v>3</v>
      </c>
      <c r="Q28" s="15" t="s">
        <v>21</v>
      </c>
      <c r="S28" s="25" t="s">
        <v>20</v>
      </c>
      <c r="T28" s="26" t="s">
        <v>13</v>
      </c>
      <c r="U28" s="15" t="s">
        <v>3</v>
      </c>
      <c r="V28" s="15" t="s">
        <v>21</v>
      </c>
    </row>
    <row r="29" ht="14.25" customHeight="1">
      <c r="I29" s="15" t="s">
        <v>32</v>
      </c>
      <c r="J29" s="16">
        <v>41333.0</v>
      </c>
      <c r="N29" s="20">
        <v>42736.0</v>
      </c>
      <c r="O29" s="22">
        <v>27655.96</v>
      </c>
      <c r="P29" s="39" t="str">
        <f>CORREL(N29:N32,O29:O32)</f>
        <v>0.972274901</v>
      </c>
      <c r="Q29" s="15" t="str">
        <f>P29</f>
        <v>0.972274901</v>
      </c>
      <c r="S29" s="20">
        <v>44197.0</v>
      </c>
      <c r="T29" s="22">
        <v>46285.77</v>
      </c>
      <c r="U29" s="39" t="str">
        <f>CORREL(S29:S32,T29:T32)</f>
        <v>0.7038804279</v>
      </c>
      <c r="V29" s="15" t="str">
        <f>U29</f>
        <v>0.7038804279</v>
      </c>
    </row>
    <row r="30" ht="14.25" customHeight="1">
      <c r="N30" s="20">
        <v>42767.0</v>
      </c>
      <c r="O30" s="22">
        <v>28743.32</v>
      </c>
      <c r="P30" s="27"/>
      <c r="S30" s="20">
        <v>44228.0</v>
      </c>
      <c r="T30" s="22">
        <v>49099.99</v>
      </c>
      <c r="U30" s="27"/>
    </row>
    <row r="31" ht="14.25" customHeight="1">
      <c r="I31" s="25" t="s">
        <v>20</v>
      </c>
      <c r="J31" s="26" t="s">
        <v>13</v>
      </c>
      <c r="K31" s="15" t="s">
        <v>3</v>
      </c>
      <c r="L31" s="15" t="s">
        <v>21</v>
      </c>
      <c r="N31" s="20">
        <v>42795.0</v>
      </c>
      <c r="O31" s="22">
        <v>29620.5</v>
      </c>
      <c r="P31" s="27"/>
      <c r="S31" s="20">
        <v>44256.0</v>
      </c>
      <c r="T31" s="22">
        <v>49509.15</v>
      </c>
      <c r="U31" s="27"/>
    </row>
    <row r="32" ht="14.25" customHeight="1">
      <c r="I32" s="20">
        <v>41275.0</v>
      </c>
      <c r="J32" s="22">
        <v>19894.98</v>
      </c>
      <c r="K32" s="15" t="str">
        <f>CORREL(I32:I35,J32:J35)</f>
        <v>-0.3009151008</v>
      </c>
      <c r="L32" s="15" t="str">
        <f>K32</f>
        <v>-0.3009151008</v>
      </c>
      <c r="N32" s="28">
        <v>42826.0</v>
      </c>
      <c r="O32" s="29">
        <v>29918.4</v>
      </c>
      <c r="P32" s="27"/>
      <c r="S32" s="28">
        <v>44287.0</v>
      </c>
      <c r="T32" s="29">
        <v>48782.36</v>
      </c>
      <c r="U32" s="27"/>
    </row>
    <row r="33" ht="14.25" customHeight="1">
      <c r="I33" s="20">
        <v>41306.0</v>
      </c>
      <c r="J33" s="22">
        <v>18861.54</v>
      </c>
      <c r="K33" s="27"/>
    </row>
    <row r="34" ht="14.25" customHeight="1">
      <c r="I34" s="20">
        <v>41334.0</v>
      </c>
      <c r="J34" s="22">
        <v>18835.77</v>
      </c>
      <c r="K34" s="27"/>
      <c r="S34" s="15" t="s">
        <v>41</v>
      </c>
      <c r="T34" s="16">
        <v>44593.0</v>
      </c>
    </row>
    <row r="35" ht="14.25" customHeight="1">
      <c r="I35" s="28">
        <v>41365.0</v>
      </c>
      <c r="J35" s="29">
        <v>19504.18</v>
      </c>
      <c r="K35" s="27"/>
    </row>
    <row r="36" ht="14.25" customHeight="1">
      <c r="S36" s="25" t="s">
        <v>20</v>
      </c>
      <c r="T36" s="26" t="s">
        <v>13</v>
      </c>
      <c r="U36" s="15" t="s">
        <v>3</v>
      </c>
      <c r="V36" s="15" t="s">
        <v>21</v>
      </c>
    </row>
    <row r="37" ht="14.25" customHeight="1">
      <c r="S37" s="20">
        <v>44562.0</v>
      </c>
      <c r="T37" s="22">
        <v>58014.17</v>
      </c>
      <c r="U37" s="39" t="str">
        <f>CORREL(S37:S40,T37:T40)</f>
        <v>-0.08771900106</v>
      </c>
      <c r="V37" s="15" t="str">
        <f>U37</f>
        <v>-0.08771900106</v>
      </c>
    </row>
    <row r="38" ht="14.25" customHeight="1">
      <c r="S38" s="20">
        <v>44593.0</v>
      </c>
      <c r="T38" s="22">
        <v>56247.28</v>
      </c>
      <c r="U38" s="27"/>
    </row>
    <row r="39" ht="14.25" customHeight="1">
      <c r="S39" s="20">
        <v>44621.0</v>
      </c>
      <c r="T39" s="22">
        <v>58568.51</v>
      </c>
      <c r="U39" s="27"/>
    </row>
    <row r="40" ht="14.25" customHeight="1">
      <c r="S40" s="28">
        <v>44652.0</v>
      </c>
      <c r="T40" s="29">
        <v>57060.87</v>
      </c>
      <c r="U40" s="27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H1:J1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5" width="8.71"/>
    <col customWidth="1" min="6" max="6" width="17.57"/>
    <col customWidth="1" min="7" max="7" width="17.29"/>
    <col customWidth="1" min="8" max="10" width="8.71"/>
    <col customWidth="1" min="11" max="11" width="19.29"/>
    <col customWidth="1" min="12" max="12" width="23.14"/>
    <col customWidth="1" min="13" max="13" width="8.71"/>
    <col customWidth="1" min="14" max="14" width="9.71"/>
    <col customWidth="1" min="15" max="15" width="27.71"/>
    <col customWidth="1" min="16" max="16" width="12.57"/>
  </cols>
  <sheetData>
    <row r="1" ht="14.25" customHeight="1">
      <c r="A1" s="41" t="s">
        <v>44</v>
      </c>
      <c r="B1" s="42"/>
      <c r="C1" s="42"/>
      <c r="D1" s="42"/>
      <c r="E1" s="42"/>
      <c r="F1" s="42"/>
      <c r="G1" s="43"/>
      <c r="N1" s="6"/>
    </row>
    <row r="2" ht="14.25" customHeight="1">
      <c r="J2" s="3" t="s">
        <v>1</v>
      </c>
      <c r="K2" s="4" t="s">
        <v>2</v>
      </c>
      <c r="N2" s="6" t="s">
        <v>6</v>
      </c>
      <c r="O2" s="6" t="s">
        <v>7</v>
      </c>
    </row>
    <row r="3" ht="14.25" customHeight="1">
      <c r="A3" s="44" t="s">
        <v>45</v>
      </c>
      <c r="B3" s="45" t="s">
        <v>46</v>
      </c>
      <c r="C3" s="45" t="s">
        <v>47</v>
      </c>
      <c r="D3" s="45" t="s">
        <v>48</v>
      </c>
      <c r="E3" s="45" t="s">
        <v>49</v>
      </c>
      <c r="F3" s="45" t="s">
        <v>50</v>
      </c>
      <c r="G3" s="26" t="s">
        <v>51</v>
      </c>
      <c r="J3" s="7" t="s">
        <v>5</v>
      </c>
      <c r="K3" s="8">
        <v>40235.0</v>
      </c>
      <c r="N3" s="15" t="s">
        <v>16</v>
      </c>
      <c r="O3" s="16">
        <v>42429.0</v>
      </c>
    </row>
    <row r="4" ht="14.25" customHeight="1">
      <c r="A4" s="46">
        <v>42317.0</v>
      </c>
      <c r="B4" s="9">
        <v>7788.25</v>
      </c>
      <c r="C4" s="9">
        <v>7937.75</v>
      </c>
      <c r="D4" s="9">
        <v>7771.7</v>
      </c>
      <c r="E4" s="9">
        <v>7915.2</v>
      </c>
      <c r="F4" s="9">
        <v>2.18422388E8</v>
      </c>
      <c r="G4" s="47">
        <v>9376.17</v>
      </c>
      <c r="J4" s="7" t="s">
        <v>14</v>
      </c>
      <c r="K4" s="8">
        <v>40602.0</v>
      </c>
    </row>
    <row r="5" ht="14.25" customHeight="1">
      <c r="A5" s="46">
        <v>42318.0</v>
      </c>
      <c r="B5" s="9">
        <v>7877.6</v>
      </c>
      <c r="C5" s="9">
        <v>7885.1</v>
      </c>
      <c r="D5" s="9">
        <v>7772.85</v>
      </c>
      <c r="E5" s="9">
        <v>7783.35</v>
      </c>
      <c r="F5" s="9">
        <v>1.70267413E8</v>
      </c>
      <c r="G5" s="47">
        <v>7153.47</v>
      </c>
      <c r="J5" s="7" t="s">
        <v>17</v>
      </c>
      <c r="K5" s="8">
        <v>40984.0</v>
      </c>
      <c r="N5" s="25" t="s">
        <v>52</v>
      </c>
      <c r="O5" s="26" t="s">
        <v>13</v>
      </c>
      <c r="P5" s="15" t="s">
        <v>3</v>
      </c>
    </row>
    <row r="6" ht="14.25" customHeight="1">
      <c r="A6" s="46">
        <v>42319.0</v>
      </c>
      <c r="B6" s="9">
        <v>7838.8</v>
      </c>
      <c r="C6" s="9">
        <v>7847.95</v>
      </c>
      <c r="D6" s="9">
        <v>7819.1</v>
      </c>
      <c r="E6" s="9">
        <v>7825.0</v>
      </c>
      <c r="F6" s="9">
        <v>2.2380435E7</v>
      </c>
      <c r="G6" s="47">
        <v>1123.44</v>
      </c>
      <c r="J6" s="7" t="s">
        <v>19</v>
      </c>
      <c r="K6" s="8">
        <v>41333.0</v>
      </c>
      <c r="N6" s="46">
        <v>42370.0</v>
      </c>
      <c r="O6" s="47">
        <v>7963.2</v>
      </c>
      <c r="P6" s="15" t="str">
        <f>CORREL(N6:N9,O6:O9)</f>
        <v>-0.4470991323</v>
      </c>
    </row>
    <row r="7" ht="14.25" customHeight="1">
      <c r="A7" s="46">
        <v>42321.0</v>
      </c>
      <c r="B7" s="9">
        <v>7762.45</v>
      </c>
      <c r="C7" s="9">
        <v>7775.1</v>
      </c>
      <c r="D7" s="9">
        <v>7730.9</v>
      </c>
      <c r="E7" s="9">
        <v>7762.25</v>
      </c>
      <c r="F7" s="9">
        <v>1.65876819E8</v>
      </c>
      <c r="G7" s="47">
        <v>7731.55</v>
      </c>
      <c r="J7" s="7" t="s">
        <v>23</v>
      </c>
      <c r="K7" s="8">
        <v>41830.0</v>
      </c>
      <c r="N7" s="46">
        <v>42401.0</v>
      </c>
      <c r="O7" s="47">
        <v>7555.95</v>
      </c>
      <c r="P7" s="27"/>
    </row>
    <row r="8" ht="14.25" customHeight="1">
      <c r="A8" s="46">
        <v>42324.0</v>
      </c>
      <c r="B8" s="9">
        <v>7732.95</v>
      </c>
      <c r="C8" s="9">
        <v>7838.85</v>
      </c>
      <c r="D8" s="9">
        <v>7714.15</v>
      </c>
      <c r="E8" s="9">
        <v>7806.6</v>
      </c>
      <c r="F8" s="9">
        <v>1.54134885E8</v>
      </c>
      <c r="G8" s="47">
        <v>6871.15</v>
      </c>
      <c r="J8" s="7" t="s">
        <v>25</v>
      </c>
      <c r="K8" s="8">
        <v>42063.0</v>
      </c>
      <c r="N8" s="46">
        <v>42430.0</v>
      </c>
      <c r="O8" s="47">
        <v>7222.3</v>
      </c>
      <c r="P8" s="27"/>
    </row>
    <row r="9" ht="14.25" customHeight="1">
      <c r="A9" s="46">
        <v>42325.0</v>
      </c>
      <c r="B9" s="9">
        <v>7848.75</v>
      </c>
      <c r="C9" s="9">
        <v>7860.45</v>
      </c>
      <c r="D9" s="9">
        <v>7793.0</v>
      </c>
      <c r="E9" s="9">
        <v>7837.55</v>
      </c>
      <c r="F9" s="9">
        <v>1.49451211E8</v>
      </c>
      <c r="G9" s="47">
        <v>6367.14</v>
      </c>
      <c r="J9" s="7" t="s">
        <v>16</v>
      </c>
      <c r="K9" s="8">
        <v>42429.0</v>
      </c>
      <c r="N9" s="48">
        <v>42461.0</v>
      </c>
      <c r="O9" s="49">
        <v>7713.05</v>
      </c>
      <c r="P9" s="27"/>
    </row>
    <row r="10" ht="14.25" customHeight="1">
      <c r="A10" s="46">
        <v>42326.0</v>
      </c>
      <c r="B10" s="9">
        <v>7823.15</v>
      </c>
      <c r="C10" s="9">
        <v>7843.4</v>
      </c>
      <c r="D10" s="9">
        <v>7725.05</v>
      </c>
      <c r="E10" s="9">
        <v>7731.8</v>
      </c>
      <c r="F10" s="9">
        <v>1.48037721E8</v>
      </c>
      <c r="G10" s="47">
        <v>6112.32</v>
      </c>
      <c r="J10" s="7" t="s">
        <v>18</v>
      </c>
      <c r="K10" s="8">
        <v>42767.0</v>
      </c>
    </row>
    <row r="11" ht="14.25" customHeight="1">
      <c r="A11" s="46">
        <v>42327.0</v>
      </c>
      <c r="B11" s="9">
        <v>7788.5</v>
      </c>
      <c r="C11" s="9">
        <v>7854.9</v>
      </c>
      <c r="D11" s="9">
        <v>7765.45</v>
      </c>
      <c r="E11" s="9">
        <v>7842.75</v>
      </c>
      <c r="F11" s="9">
        <v>1.36702518E8</v>
      </c>
      <c r="G11" s="47">
        <v>7410.15</v>
      </c>
      <c r="J11" s="7" t="s">
        <v>22</v>
      </c>
      <c r="K11" s="8">
        <v>43132.0</v>
      </c>
    </row>
    <row r="12" ht="14.25" customHeight="1">
      <c r="A12" s="46">
        <v>42328.0</v>
      </c>
      <c r="B12" s="9">
        <v>7841.9</v>
      </c>
      <c r="C12" s="9">
        <v>7906.95</v>
      </c>
      <c r="D12" s="9">
        <v>7817.8</v>
      </c>
      <c r="E12" s="9">
        <v>7856.55</v>
      </c>
      <c r="F12" s="9">
        <v>1.56610433E8</v>
      </c>
      <c r="G12" s="47">
        <v>7298.01</v>
      </c>
      <c r="J12" s="7" t="s">
        <v>24</v>
      </c>
      <c r="K12" s="8">
        <v>43651.0</v>
      </c>
      <c r="N12" s="15" t="s">
        <v>18</v>
      </c>
      <c r="O12" s="16">
        <v>42767.0</v>
      </c>
    </row>
    <row r="13" ht="14.25" customHeight="1">
      <c r="A13" s="46">
        <v>42331.0</v>
      </c>
      <c r="B13" s="9">
        <v>7869.5</v>
      </c>
      <c r="C13" s="9">
        <v>7877.5</v>
      </c>
      <c r="D13" s="9">
        <v>7825.2</v>
      </c>
      <c r="E13" s="9">
        <v>7849.25</v>
      </c>
      <c r="F13" s="9">
        <v>1.30871603E8</v>
      </c>
      <c r="G13" s="47">
        <v>6099.09</v>
      </c>
      <c r="J13" s="7" t="s">
        <v>26</v>
      </c>
      <c r="K13" s="8">
        <v>43862.0</v>
      </c>
    </row>
    <row r="14" ht="14.25" customHeight="1">
      <c r="A14" s="46">
        <v>42332.0</v>
      </c>
      <c r="B14" s="9">
        <v>7837.0</v>
      </c>
      <c r="C14" s="9">
        <v>7870.35</v>
      </c>
      <c r="D14" s="9">
        <v>7812.65</v>
      </c>
      <c r="E14" s="9">
        <v>7831.6</v>
      </c>
      <c r="F14" s="9">
        <v>1.34562905E8</v>
      </c>
      <c r="G14" s="47">
        <v>6686.27</v>
      </c>
      <c r="J14" s="7" t="s">
        <v>27</v>
      </c>
      <c r="K14" s="8">
        <v>44228.0</v>
      </c>
      <c r="N14" s="25" t="s">
        <v>52</v>
      </c>
      <c r="O14" s="26" t="s">
        <v>13</v>
      </c>
      <c r="P14" s="15" t="s">
        <v>3</v>
      </c>
    </row>
    <row r="15" ht="14.25" customHeight="1">
      <c r="A15" s="46">
        <v>42334.0</v>
      </c>
      <c r="B15" s="9">
        <v>7837.15</v>
      </c>
      <c r="C15" s="9">
        <v>7897.1</v>
      </c>
      <c r="D15" s="9">
        <v>7832.0</v>
      </c>
      <c r="E15" s="9">
        <v>7883.8</v>
      </c>
      <c r="F15" s="9">
        <v>2.26632193E8</v>
      </c>
      <c r="G15" s="47">
        <v>11054.04</v>
      </c>
      <c r="J15" s="7" t="s">
        <v>28</v>
      </c>
      <c r="K15" s="8">
        <v>44593.0</v>
      </c>
      <c r="N15" s="46">
        <v>42737.0</v>
      </c>
      <c r="O15" s="47">
        <v>8179.5</v>
      </c>
      <c r="P15" s="15" t="str">
        <f>CORREL(N15:N18,O15:O18)</f>
        <v>0.9801297604</v>
      </c>
    </row>
    <row r="16" ht="14.25" customHeight="1">
      <c r="A16" s="46">
        <v>42335.0</v>
      </c>
      <c r="B16" s="9">
        <v>7910.6</v>
      </c>
      <c r="C16" s="9">
        <v>7959.3</v>
      </c>
      <c r="D16" s="9">
        <v>7879.45</v>
      </c>
      <c r="E16" s="9">
        <v>7942.7</v>
      </c>
      <c r="F16" s="9">
        <v>1.54863047E8</v>
      </c>
      <c r="G16" s="47">
        <v>7068.72</v>
      </c>
      <c r="J16" s="33" t="s">
        <v>29</v>
      </c>
      <c r="K16" s="34">
        <v>44958.0</v>
      </c>
      <c r="N16" s="46">
        <v>42767.0</v>
      </c>
      <c r="O16" s="47">
        <v>8716.4</v>
      </c>
      <c r="P16" s="27"/>
    </row>
    <row r="17" ht="14.25" customHeight="1">
      <c r="A17" s="46">
        <v>42338.0</v>
      </c>
      <c r="B17" s="9">
        <v>7936.25</v>
      </c>
      <c r="C17" s="9">
        <v>7966.0</v>
      </c>
      <c r="D17" s="9">
        <v>7922.8</v>
      </c>
      <c r="E17" s="9">
        <v>7935.25</v>
      </c>
      <c r="F17" s="9">
        <v>2.23041699E8</v>
      </c>
      <c r="G17" s="47">
        <v>15368.67</v>
      </c>
      <c r="N17" s="46">
        <v>42795.0</v>
      </c>
      <c r="O17" s="47">
        <v>8945.8</v>
      </c>
      <c r="P17" s="27"/>
    </row>
    <row r="18" ht="14.25" customHeight="1">
      <c r="A18" s="46">
        <v>42339.0</v>
      </c>
      <c r="B18" s="9">
        <v>7958.15</v>
      </c>
      <c r="C18" s="9">
        <v>7972.15</v>
      </c>
      <c r="D18" s="9">
        <v>7934.15</v>
      </c>
      <c r="E18" s="9">
        <v>7954.9</v>
      </c>
      <c r="F18" s="9">
        <v>1.42945421E8</v>
      </c>
      <c r="G18" s="47">
        <v>6796.67</v>
      </c>
      <c r="N18" s="48">
        <v>42828.0</v>
      </c>
      <c r="O18" s="49">
        <v>9237.85</v>
      </c>
      <c r="P18" s="27"/>
    </row>
    <row r="19" ht="14.25" customHeight="1">
      <c r="A19" s="46">
        <v>42340.0</v>
      </c>
      <c r="B19" s="9">
        <v>7976.7</v>
      </c>
      <c r="C19" s="9">
        <v>7979.3</v>
      </c>
      <c r="D19" s="9">
        <v>7910.8</v>
      </c>
      <c r="E19" s="9">
        <v>7931.35</v>
      </c>
      <c r="F19" s="9">
        <v>1.30207404E8</v>
      </c>
      <c r="G19" s="47">
        <v>6242.53</v>
      </c>
    </row>
    <row r="20" ht="14.25" customHeight="1">
      <c r="A20" s="46">
        <v>42341.0</v>
      </c>
      <c r="B20" s="9">
        <v>7902.3</v>
      </c>
      <c r="C20" s="9">
        <v>7912.3</v>
      </c>
      <c r="D20" s="9">
        <v>7853.3</v>
      </c>
      <c r="E20" s="9">
        <v>7864.15</v>
      </c>
      <c r="F20" s="9">
        <v>1.296284E8</v>
      </c>
      <c r="G20" s="47">
        <v>5636.41</v>
      </c>
    </row>
    <row r="21" ht="14.25" customHeight="1">
      <c r="A21" s="46">
        <v>42342.0</v>
      </c>
      <c r="B21" s="9">
        <v>7817.6</v>
      </c>
      <c r="C21" s="9">
        <v>7821.4</v>
      </c>
      <c r="D21" s="9">
        <v>7775.7</v>
      </c>
      <c r="E21" s="9">
        <v>7781.9</v>
      </c>
      <c r="F21" s="9">
        <v>1.57231681E8</v>
      </c>
      <c r="G21" s="47">
        <v>7758.36</v>
      </c>
    </row>
    <row r="22" ht="14.25" customHeight="1">
      <c r="A22" s="46">
        <v>42345.0</v>
      </c>
      <c r="B22" s="9">
        <v>7816.55</v>
      </c>
      <c r="C22" s="9">
        <v>7825.4</v>
      </c>
      <c r="D22" s="9">
        <v>7746.05</v>
      </c>
      <c r="E22" s="9">
        <v>7765.4</v>
      </c>
      <c r="F22" s="9">
        <v>1.41893279E8</v>
      </c>
      <c r="G22" s="47">
        <v>6403.97</v>
      </c>
    </row>
    <row r="23" ht="14.25" customHeight="1">
      <c r="A23" s="46">
        <v>42346.0</v>
      </c>
      <c r="B23" s="9">
        <v>7738.5</v>
      </c>
      <c r="C23" s="9">
        <v>7771.25</v>
      </c>
      <c r="D23" s="9">
        <v>7685.45</v>
      </c>
      <c r="E23" s="9">
        <v>7701.7</v>
      </c>
      <c r="F23" s="9">
        <v>1.39318392E8</v>
      </c>
      <c r="G23" s="47">
        <v>5986.06</v>
      </c>
    </row>
    <row r="24" ht="14.25" customHeight="1">
      <c r="A24" s="46">
        <v>42347.0</v>
      </c>
      <c r="B24" s="9">
        <v>7695.5</v>
      </c>
      <c r="C24" s="9">
        <v>7702.85</v>
      </c>
      <c r="D24" s="9">
        <v>7606.9</v>
      </c>
      <c r="E24" s="9">
        <v>7612.5</v>
      </c>
      <c r="F24" s="9">
        <v>1.4431569E8</v>
      </c>
      <c r="G24" s="47">
        <v>6599.6</v>
      </c>
    </row>
    <row r="25" ht="14.25" customHeight="1">
      <c r="A25" s="46">
        <v>42348.0</v>
      </c>
      <c r="B25" s="9">
        <v>7643.3</v>
      </c>
      <c r="C25" s="9">
        <v>7691.95</v>
      </c>
      <c r="D25" s="9">
        <v>7610.0</v>
      </c>
      <c r="E25" s="9">
        <v>7683.3</v>
      </c>
      <c r="F25" s="9">
        <v>1.45249292E8</v>
      </c>
      <c r="G25" s="47">
        <v>6492.02</v>
      </c>
    </row>
    <row r="26" ht="14.25" customHeight="1">
      <c r="A26" s="46">
        <v>42349.0</v>
      </c>
      <c r="B26" s="9">
        <v>7699.6</v>
      </c>
      <c r="C26" s="9">
        <v>7703.05</v>
      </c>
      <c r="D26" s="9">
        <v>7575.3</v>
      </c>
      <c r="E26" s="9">
        <v>7610.45</v>
      </c>
      <c r="F26" s="9">
        <v>1.7299648E8</v>
      </c>
      <c r="G26" s="47">
        <v>6894.44</v>
      </c>
    </row>
    <row r="27" ht="14.25" customHeight="1">
      <c r="A27" s="46">
        <v>42352.0</v>
      </c>
      <c r="B27" s="9">
        <v>7558.2</v>
      </c>
      <c r="C27" s="9">
        <v>7663.95</v>
      </c>
      <c r="D27" s="9">
        <v>7551.05</v>
      </c>
      <c r="E27" s="9">
        <v>7650.05</v>
      </c>
      <c r="F27" s="9">
        <v>1.53492615E8</v>
      </c>
      <c r="G27" s="47">
        <v>6290.42</v>
      </c>
    </row>
    <row r="28" ht="14.25" customHeight="1">
      <c r="A28" s="46">
        <v>42353.0</v>
      </c>
      <c r="B28" s="9">
        <v>7659.15</v>
      </c>
      <c r="C28" s="9">
        <v>7705.0</v>
      </c>
      <c r="D28" s="9">
        <v>7625.1</v>
      </c>
      <c r="E28" s="9">
        <v>7700.9</v>
      </c>
      <c r="F28" s="9">
        <v>1.38479057E8</v>
      </c>
      <c r="G28" s="47">
        <v>6152.14</v>
      </c>
    </row>
    <row r="29" ht="14.25" customHeight="1">
      <c r="A29" s="46">
        <v>42354.0</v>
      </c>
      <c r="B29" s="9">
        <v>7725.25</v>
      </c>
      <c r="C29" s="9">
        <v>7776.6</v>
      </c>
      <c r="D29" s="9">
        <v>7715.75</v>
      </c>
      <c r="E29" s="9">
        <v>7750.9</v>
      </c>
      <c r="F29" s="9">
        <v>1.59149338E8</v>
      </c>
      <c r="G29" s="47">
        <v>6703.76</v>
      </c>
    </row>
    <row r="30" ht="14.25" customHeight="1">
      <c r="A30" s="46">
        <v>42355.0</v>
      </c>
      <c r="B30" s="9">
        <v>7783.05</v>
      </c>
      <c r="C30" s="9">
        <v>7852.9</v>
      </c>
      <c r="D30" s="9">
        <v>7737.55</v>
      </c>
      <c r="E30" s="9">
        <v>7844.35</v>
      </c>
      <c r="F30" s="9">
        <v>1.8125678E8</v>
      </c>
      <c r="G30" s="47">
        <v>7367.15</v>
      </c>
    </row>
    <row r="31" ht="14.25" customHeight="1">
      <c r="A31" s="46">
        <v>42356.0</v>
      </c>
      <c r="B31" s="9">
        <v>7828.9</v>
      </c>
      <c r="C31" s="9">
        <v>7836.15</v>
      </c>
      <c r="D31" s="9">
        <v>7753.35</v>
      </c>
      <c r="E31" s="9">
        <v>7761.95</v>
      </c>
      <c r="F31" s="9">
        <v>1.97319843E8</v>
      </c>
      <c r="G31" s="47">
        <v>8074.5</v>
      </c>
    </row>
    <row r="32" ht="14.25" customHeight="1">
      <c r="A32" s="46">
        <v>42359.0</v>
      </c>
      <c r="B32" s="9">
        <v>7745.65</v>
      </c>
      <c r="C32" s="9">
        <v>7840.75</v>
      </c>
      <c r="D32" s="9">
        <v>7733.45</v>
      </c>
      <c r="E32" s="9">
        <v>7834.45</v>
      </c>
      <c r="F32" s="9">
        <v>1.30174102E8</v>
      </c>
      <c r="G32" s="47">
        <v>5558.38</v>
      </c>
    </row>
    <row r="33" ht="14.25" customHeight="1">
      <c r="A33" s="46">
        <v>42360.0</v>
      </c>
      <c r="B33" s="9">
        <v>7829.4</v>
      </c>
      <c r="C33" s="9">
        <v>7846.3</v>
      </c>
      <c r="D33" s="9">
        <v>7776.85</v>
      </c>
      <c r="E33" s="9">
        <v>7786.1</v>
      </c>
      <c r="F33" s="9">
        <v>1.29633328E8</v>
      </c>
      <c r="G33" s="47">
        <v>5028.11</v>
      </c>
    </row>
    <row r="34" ht="14.25" customHeight="1">
      <c r="A34" s="46">
        <v>42361.0</v>
      </c>
      <c r="B34" s="9">
        <v>7830.45</v>
      </c>
      <c r="C34" s="9">
        <v>7871.45</v>
      </c>
      <c r="D34" s="9">
        <v>7826.1</v>
      </c>
      <c r="E34" s="9">
        <v>7865.95</v>
      </c>
      <c r="F34" s="9">
        <v>1.21480721E8</v>
      </c>
      <c r="G34" s="47">
        <v>4663.45</v>
      </c>
    </row>
    <row r="35" ht="14.25" customHeight="1">
      <c r="A35" s="46">
        <v>42362.0</v>
      </c>
      <c r="B35" s="9">
        <v>7888.75</v>
      </c>
      <c r="C35" s="9">
        <v>7888.75</v>
      </c>
      <c r="D35" s="9">
        <v>7835.5</v>
      </c>
      <c r="E35" s="9">
        <v>7861.05</v>
      </c>
      <c r="F35" s="9">
        <v>9.6374245E7</v>
      </c>
      <c r="G35" s="47">
        <v>3383.99</v>
      </c>
    </row>
    <row r="36" ht="14.25" customHeight="1">
      <c r="A36" s="46">
        <v>42366.0</v>
      </c>
      <c r="B36" s="9">
        <v>7863.2</v>
      </c>
      <c r="C36" s="9">
        <v>7937.2</v>
      </c>
      <c r="D36" s="9">
        <v>7863.0</v>
      </c>
      <c r="E36" s="9">
        <v>7925.15</v>
      </c>
      <c r="F36" s="9">
        <v>1.26737811E8</v>
      </c>
      <c r="G36" s="47">
        <v>5755.48</v>
      </c>
    </row>
    <row r="37" ht="14.25" customHeight="1">
      <c r="A37" s="46">
        <v>42367.0</v>
      </c>
      <c r="B37" s="9">
        <v>7929.2</v>
      </c>
      <c r="C37" s="9">
        <v>7942.15</v>
      </c>
      <c r="D37" s="9">
        <v>7902.75</v>
      </c>
      <c r="E37" s="9">
        <v>7928.95</v>
      </c>
      <c r="F37" s="9">
        <v>1.16535971E8</v>
      </c>
      <c r="G37" s="47">
        <v>4950.36</v>
      </c>
    </row>
    <row r="38" ht="14.25" customHeight="1">
      <c r="A38" s="46">
        <v>42368.0</v>
      </c>
      <c r="B38" s="9">
        <v>7938.6</v>
      </c>
      <c r="C38" s="9">
        <v>7944.75</v>
      </c>
      <c r="D38" s="9">
        <v>7889.85</v>
      </c>
      <c r="E38" s="9">
        <v>7896.25</v>
      </c>
      <c r="F38" s="9">
        <v>1.10145855E8</v>
      </c>
      <c r="G38" s="47">
        <v>4392.87</v>
      </c>
    </row>
    <row r="39" ht="14.25" customHeight="1">
      <c r="A39" s="46">
        <v>42369.0</v>
      </c>
      <c r="B39" s="9">
        <v>7897.8</v>
      </c>
      <c r="C39" s="9">
        <v>7955.55</v>
      </c>
      <c r="D39" s="9">
        <v>7891.15</v>
      </c>
      <c r="E39" s="9">
        <v>7946.35</v>
      </c>
      <c r="F39" s="9">
        <v>1.55645098E8</v>
      </c>
      <c r="G39" s="47">
        <v>6780.85</v>
      </c>
    </row>
    <row r="40" ht="14.25" customHeight="1">
      <c r="A40" s="46">
        <v>42370.0</v>
      </c>
      <c r="B40" s="9">
        <v>7938.45</v>
      </c>
      <c r="C40" s="9">
        <v>7972.55</v>
      </c>
      <c r="D40" s="9">
        <v>7909.8</v>
      </c>
      <c r="E40" s="9">
        <v>7963.2</v>
      </c>
      <c r="F40" s="9">
        <v>6.4843836E7</v>
      </c>
      <c r="G40" s="47">
        <v>2613.91</v>
      </c>
    </row>
    <row r="41" ht="14.25" customHeight="1">
      <c r="A41" s="46">
        <v>42373.0</v>
      </c>
      <c r="B41" s="9">
        <v>7924.55</v>
      </c>
      <c r="C41" s="9">
        <v>7937.55</v>
      </c>
      <c r="D41" s="9">
        <v>7781.1</v>
      </c>
      <c r="E41" s="9">
        <v>7791.3</v>
      </c>
      <c r="F41" s="9">
        <v>1.38864905E8</v>
      </c>
      <c r="G41" s="47">
        <v>5897.08</v>
      </c>
    </row>
    <row r="42" ht="14.25" customHeight="1">
      <c r="A42" s="46">
        <v>42374.0</v>
      </c>
      <c r="B42" s="9">
        <v>7828.4</v>
      </c>
      <c r="C42" s="9">
        <v>7831.2</v>
      </c>
      <c r="D42" s="9">
        <v>7763.25</v>
      </c>
      <c r="E42" s="9">
        <v>7784.65</v>
      </c>
      <c r="F42" s="9">
        <v>1.49672973E8</v>
      </c>
      <c r="G42" s="47">
        <v>5948.51</v>
      </c>
    </row>
    <row r="43" ht="14.25" customHeight="1">
      <c r="A43" s="46">
        <v>42375.0</v>
      </c>
      <c r="B43" s="9">
        <v>7788.05</v>
      </c>
      <c r="C43" s="9">
        <v>7800.95</v>
      </c>
      <c r="D43" s="9">
        <v>7721.2</v>
      </c>
      <c r="E43" s="9">
        <v>7741.0</v>
      </c>
      <c r="F43" s="9">
        <v>1.51715828E8</v>
      </c>
      <c r="G43" s="47">
        <v>6722.17</v>
      </c>
    </row>
    <row r="44" ht="14.25" customHeight="1">
      <c r="A44" s="46">
        <v>42376.0</v>
      </c>
      <c r="B44" s="9">
        <v>7673.35</v>
      </c>
      <c r="C44" s="9">
        <v>7674.95</v>
      </c>
      <c r="D44" s="9">
        <v>7556.6</v>
      </c>
      <c r="E44" s="9">
        <v>7568.3</v>
      </c>
      <c r="F44" s="9">
        <v>1.94732861E8</v>
      </c>
      <c r="G44" s="47">
        <v>7803.21</v>
      </c>
    </row>
    <row r="45" ht="14.25" customHeight="1">
      <c r="A45" s="46">
        <v>42377.0</v>
      </c>
      <c r="B45" s="9">
        <v>7611.65</v>
      </c>
      <c r="C45" s="9">
        <v>7634.1</v>
      </c>
      <c r="D45" s="9">
        <v>7581.05</v>
      </c>
      <c r="E45" s="9">
        <v>7601.35</v>
      </c>
      <c r="F45" s="9">
        <v>1.6234869E8</v>
      </c>
      <c r="G45" s="47">
        <v>6753.57</v>
      </c>
    </row>
    <row r="46" ht="14.25" customHeight="1">
      <c r="A46" s="46">
        <v>42380.0</v>
      </c>
      <c r="B46" s="9">
        <v>7527.45</v>
      </c>
      <c r="C46" s="9">
        <v>7605.1</v>
      </c>
      <c r="D46" s="9">
        <v>7494.35</v>
      </c>
      <c r="E46" s="9">
        <v>7563.85</v>
      </c>
      <c r="F46" s="9">
        <v>1.94836791E8</v>
      </c>
      <c r="G46" s="47">
        <v>7327.15</v>
      </c>
    </row>
    <row r="47" ht="14.25" customHeight="1">
      <c r="A47" s="46">
        <v>42381.0</v>
      </c>
      <c r="B47" s="9">
        <v>7587.2</v>
      </c>
      <c r="C47" s="9">
        <v>7588.3</v>
      </c>
      <c r="D47" s="9">
        <v>7487.8</v>
      </c>
      <c r="E47" s="9">
        <v>7510.3</v>
      </c>
      <c r="F47" s="9">
        <v>1.68975973E8</v>
      </c>
      <c r="G47" s="47">
        <v>7071.48</v>
      </c>
    </row>
    <row r="48" ht="14.25" customHeight="1">
      <c r="A48" s="46">
        <v>42382.0</v>
      </c>
      <c r="B48" s="9">
        <v>7557.9</v>
      </c>
      <c r="C48" s="9">
        <v>7590.95</v>
      </c>
      <c r="D48" s="9">
        <v>7425.8</v>
      </c>
      <c r="E48" s="9">
        <v>7562.4</v>
      </c>
      <c r="F48" s="9">
        <v>2.21908258E8</v>
      </c>
      <c r="G48" s="47">
        <v>9585.17</v>
      </c>
    </row>
    <row r="49" ht="14.25" customHeight="1">
      <c r="A49" s="46">
        <v>42383.0</v>
      </c>
      <c r="B49" s="9">
        <v>7467.4</v>
      </c>
      <c r="C49" s="9">
        <v>7604.8</v>
      </c>
      <c r="D49" s="9">
        <v>7443.8</v>
      </c>
      <c r="E49" s="9">
        <v>7536.8</v>
      </c>
      <c r="F49" s="9">
        <v>2.06988549E8</v>
      </c>
      <c r="G49" s="47">
        <v>9246.75</v>
      </c>
    </row>
    <row r="50" ht="14.25" customHeight="1">
      <c r="A50" s="46">
        <v>42384.0</v>
      </c>
      <c r="B50" s="9">
        <v>7561.65</v>
      </c>
      <c r="C50" s="9">
        <v>7566.5</v>
      </c>
      <c r="D50" s="9">
        <v>7427.3</v>
      </c>
      <c r="E50" s="9">
        <v>7437.8</v>
      </c>
      <c r="F50" s="9">
        <v>2.03643071E8</v>
      </c>
      <c r="G50" s="47">
        <v>8279.07</v>
      </c>
    </row>
    <row r="51" ht="14.25" customHeight="1">
      <c r="A51" s="46">
        <v>42387.0</v>
      </c>
      <c r="B51" s="9">
        <v>7420.35</v>
      </c>
      <c r="C51" s="9">
        <v>7463.65</v>
      </c>
      <c r="D51" s="9">
        <v>7336.4</v>
      </c>
      <c r="E51" s="9">
        <v>7351.0</v>
      </c>
      <c r="F51" s="9">
        <v>2.40798183E8</v>
      </c>
      <c r="G51" s="47">
        <v>8431.56</v>
      </c>
    </row>
    <row r="52" ht="14.25" customHeight="1">
      <c r="A52" s="46">
        <v>42388.0</v>
      </c>
      <c r="B52" s="9">
        <v>7381.8</v>
      </c>
      <c r="C52" s="9">
        <v>7462.75</v>
      </c>
      <c r="D52" s="9">
        <v>7364.15</v>
      </c>
      <c r="E52" s="9">
        <v>7435.1</v>
      </c>
      <c r="F52" s="9">
        <v>1.94068339E8</v>
      </c>
      <c r="G52" s="47">
        <v>7038.84</v>
      </c>
    </row>
    <row r="53" ht="14.25" customHeight="1">
      <c r="A53" s="46">
        <v>42389.0</v>
      </c>
      <c r="B53" s="9">
        <v>7357.0</v>
      </c>
      <c r="C53" s="9">
        <v>7470.9</v>
      </c>
      <c r="D53" s="9">
        <v>7241.5</v>
      </c>
      <c r="E53" s="9">
        <v>7309.3</v>
      </c>
      <c r="F53" s="9">
        <v>2.32614141E8</v>
      </c>
      <c r="G53" s="47">
        <v>8794.16</v>
      </c>
    </row>
    <row r="54" ht="14.25" customHeight="1">
      <c r="A54" s="46">
        <v>42390.0</v>
      </c>
      <c r="B54" s="9">
        <v>7376.65</v>
      </c>
      <c r="C54" s="9">
        <v>7398.7</v>
      </c>
      <c r="D54" s="9">
        <v>7250.0</v>
      </c>
      <c r="E54" s="9">
        <v>7276.8</v>
      </c>
      <c r="F54" s="9">
        <v>2.48113284E8</v>
      </c>
      <c r="G54" s="47">
        <v>9401.16</v>
      </c>
    </row>
    <row r="55" ht="14.25" customHeight="1">
      <c r="A55" s="46">
        <v>42391.0</v>
      </c>
      <c r="B55" s="9">
        <v>7355.7</v>
      </c>
      <c r="C55" s="9">
        <v>7433.4</v>
      </c>
      <c r="D55" s="9">
        <v>7327.6</v>
      </c>
      <c r="E55" s="9">
        <v>7422.45</v>
      </c>
      <c r="F55" s="9">
        <v>2.36282061E8</v>
      </c>
      <c r="G55" s="47">
        <v>7666.39</v>
      </c>
    </row>
    <row r="56" ht="14.25" customHeight="1">
      <c r="A56" s="46">
        <v>42394.0</v>
      </c>
      <c r="B56" s="9">
        <v>7468.75</v>
      </c>
      <c r="C56" s="9">
        <v>7487.15</v>
      </c>
      <c r="D56" s="9">
        <v>7421.2</v>
      </c>
      <c r="E56" s="9">
        <v>7436.15</v>
      </c>
      <c r="F56" s="9">
        <v>1.68202502E8</v>
      </c>
      <c r="G56" s="47">
        <v>5910.99</v>
      </c>
    </row>
    <row r="57" ht="14.25" customHeight="1">
      <c r="A57" s="46">
        <v>42396.0</v>
      </c>
      <c r="B57" s="9">
        <v>7469.6</v>
      </c>
      <c r="C57" s="9">
        <v>7477.9</v>
      </c>
      <c r="D57" s="9">
        <v>7419.7</v>
      </c>
      <c r="E57" s="9">
        <v>7437.75</v>
      </c>
      <c r="F57" s="9">
        <v>1.93389891E8</v>
      </c>
      <c r="G57" s="47">
        <v>6834.77</v>
      </c>
    </row>
    <row r="58" ht="14.25" customHeight="1">
      <c r="A58" s="46">
        <v>42397.0</v>
      </c>
      <c r="B58" s="9">
        <v>7426.5</v>
      </c>
      <c r="C58" s="9">
        <v>7468.85</v>
      </c>
      <c r="D58" s="9">
        <v>7409.6</v>
      </c>
      <c r="E58" s="9">
        <v>7424.65</v>
      </c>
      <c r="F58" s="9">
        <v>2.83036298E8</v>
      </c>
      <c r="G58" s="47">
        <v>10049.88</v>
      </c>
    </row>
    <row r="59" ht="14.25" customHeight="1">
      <c r="A59" s="46">
        <v>42398.0</v>
      </c>
      <c r="B59" s="9">
        <v>7413.35</v>
      </c>
      <c r="C59" s="9">
        <v>7575.65</v>
      </c>
      <c r="D59" s="9">
        <v>7402.8</v>
      </c>
      <c r="E59" s="9">
        <v>7563.55</v>
      </c>
      <c r="F59" s="9">
        <v>3.07934042E8</v>
      </c>
      <c r="G59" s="47">
        <v>11277.33</v>
      </c>
    </row>
    <row r="60" ht="14.25" customHeight="1">
      <c r="A60" s="46">
        <v>42401.0</v>
      </c>
      <c r="B60" s="9">
        <v>7589.5</v>
      </c>
      <c r="C60" s="9">
        <v>7600.45</v>
      </c>
      <c r="D60" s="9">
        <v>7541.25</v>
      </c>
      <c r="E60" s="9">
        <v>7555.95</v>
      </c>
      <c r="F60" s="9">
        <v>2.06645021E8</v>
      </c>
      <c r="G60" s="47">
        <v>8209.5</v>
      </c>
    </row>
    <row r="61" ht="14.25" customHeight="1">
      <c r="A61" s="46">
        <v>42402.0</v>
      </c>
      <c r="B61" s="9">
        <v>7566.65</v>
      </c>
      <c r="C61" s="9">
        <v>7576.3</v>
      </c>
      <c r="D61" s="9">
        <v>7428.05</v>
      </c>
      <c r="E61" s="9">
        <v>7455.55</v>
      </c>
      <c r="F61" s="9">
        <v>2.37338907E8</v>
      </c>
      <c r="G61" s="47">
        <v>8030.99</v>
      </c>
    </row>
    <row r="62" ht="14.25" customHeight="1">
      <c r="A62" s="46">
        <v>42403.0</v>
      </c>
      <c r="B62" s="9">
        <v>7392.45</v>
      </c>
      <c r="C62" s="9">
        <v>7419.4</v>
      </c>
      <c r="D62" s="9">
        <v>7350.3</v>
      </c>
      <c r="E62" s="9">
        <v>7361.8</v>
      </c>
      <c r="F62" s="9">
        <v>1.97863301E8</v>
      </c>
      <c r="G62" s="47">
        <v>6748.17</v>
      </c>
    </row>
    <row r="63" ht="14.25" customHeight="1">
      <c r="A63" s="46">
        <v>42404.0</v>
      </c>
      <c r="B63" s="9">
        <v>7411.45</v>
      </c>
      <c r="C63" s="9">
        <v>7457.05</v>
      </c>
      <c r="D63" s="9">
        <v>7365.95</v>
      </c>
      <c r="E63" s="9">
        <v>7404.0</v>
      </c>
      <c r="F63" s="9">
        <v>2.29563364E8</v>
      </c>
      <c r="G63" s="47">
        <v>7465.35</v>
      </c>
    </row>
    <row r="64" ht="14.25" customHeight="1">
      <c r="A64" s="46">
        <v>42405.0</v>
      </c>
      <c r="B64" s="9">
        <v>7418.25</v>
      </c>
      <c r="C64" s="9">
        <v>7503.15</v>
      </c>
      <c r="D64" s="9">
        <v>7406.65</v>
      </c>
      <c r="E64" s="9">
        <v>7489.1</v>
      </c>
      <c r="F64" s="9">
        <v>2.57518899E8</v>
      </c>
      <c r="G64" s="47">
        <v>8628.24</v>
      </c>
    </row>
    <row r="65" ht="14.25" customHeight="1">
      <c r="A65" s="46">
        <v>42408.0</v>
      </c>
      <c r="B65" s="9">
        <v>7489.7</v>
      </c>
      <c r="C65" s="9">
        <v>7512.55</v>
      </c>
      <c r="D65" s="9">
        <v>7363.2</v>
      </c>
      <c r="E65" s="9">
        <v>7387.25</v>
      </c>
      <c r="F65" s="9">
        <v>1.76758985E8</v>
      </c>
      <c r="G65" s="47">
        <v>5746.45</v>
      </c>
    </row>
    <row r="66" ht="14.25" customHeight="1">
      <c r="A66" s="46">
        <v>42409.0</v>
      </c>
      <c r="B66" s="9">
        <v>7303.95</v>
      </c>
      <c r="C66" s="9">
        <v>7323.45</v>
      </c>
      <c r="D66" s="9">
        <v>7275.15</v>
      </c>
      <c r="E66" s="9">
        <v>7298.2</v>
      </c>
      <c r="F66" s="9">
        <v>2.1873028E8</v>
      </c>
      <c r="G66" s="47">
        <v>7415.13</v>
      </c>
    </row>
    <row r="67" ht="14.25" customHeight="1">
      <c r="A67" s="46">
        <v>42410.0</v>
      </c>
      <c r="B67" s="9">
        <v>7264.3</v>
      </c>
      <c r="C67" s="9">
        <v>7271.85</v>
      </c>
      <c r="D67" s="9">
        <v>7177.75</v>
      </c>
      <c r="E67" s="9">
        <v>7215.7</v>
      </c>
      <c r="F67" s="9">
        <v>2.54481339E8</v>
      </c>
      <c r="G67" s="47">
        <v>8129.65</v>
      </c>
    </row>
    <row r="68" ht="14.25" customHeight="1">
      <c r="A68" s="46">
        <v>42411.0</v>
      </c>
      <c r="B68" s="9">
        <v>7203.6</v>
      </c>
      <c r="C68" s="9">
        <v>7208.65</v>
      </c>
      <c r="D68" s="9">
        <v>6959.95</v>
      </c>
      <c r="E68" s="9">
        <v>6976.35</v>
      </c>
      <c r="F68" s="9">
        <v>3.01302956E8</v>
      </c>
      <c r="G68" s="47">
        <v>9250.27</v>
      </c>
    </row>
    <row r="69" ht="14.25" customHeight="1">
      <c r="A69" s="46">
        <v>42412.0</v>
      </c>
      <c r="B69" s="9">
        <v>7023.65</v>
      </c>
      <c r="C69" s="9">
        <v>7034.8</v>
      </c>
      <c r="D69" s="9">
        <v>6869.0</v>
      </c>
      <c r="E69" s="9">
        <v>6980.95</v>
      </c>
      <c r="F69" s="9">
        <v>3.44210729E8</v>
      </c>
      <c r="G69" s="47">
        <v>11062.63</v>
      </c>
    </row>
    <row r="70" ht="14.25" customHeight="1">
      <c r="A70" s="46">
        <v>42415.0</v>
      </c>
      <c r="B70" s="9">
        <v>7057.35</v>
      </c>
      <c r="C70" s="9">
        <v>7182.8</v>
      </c>
      <c r="D70" s="9">
        <v>7056.8</v>
      </c>
      <c r="E70" s="9">
        <v>7162.95</v>
      </c>
      <c r="F70" s="9">
        <v>3.65217073E8</v>
      </c>
      <c r="G70" s="47">
        <v>10204.34</v>
      </c>
    </row>
    <row r="71" ht="14.25" customHeight="1">
      <c r="A71" s="46">
        <v>42416.0</v>
      </c>
      <c r="B71" s="9">
        <v>7201.25</v>
      </c>
      <c r="C71" s="9">
        <v>7204.65</v>
      </c>
      <c r="D71" s="9">
        <v>7037.7</v>
      </c>
      <c r="E71" s="9">
        <v>7048.25</v>
      </c>
      <c r="F71" s="9">
        <v>2.61607451E8</v>
      </c>
      <c r="G71" s="47">
        <v>7638.39</v>
      </c>
    </row>
    <row r="72" ht="14.25" customHeight="1">
      <c r="A72" s="46">
        <v>42417.0</v>
      </c>
      <c r="B72" s="9">
        <v>7058.85</v>
      </c>
      <c r="C72" s="9">
        <v>7123.7</v>
      </c>
      <c r="D72" s="9">
        <v>6960.65</v>
      </c>
      <c r="E72" s="9">
        <v>7108.45</v>
      </c>
      <c r="F72" s="9">
        <v>2.68017961E8</v>
      </c>
      <c r="G72" s="47">
        <v>7686.32</v>
      </c>
    </row>
    <row r="73" ht="14.25" customHeight="1">
      <c r="A73" s="46">
        <v>42418.0</v>
      </c>
      <c r="B73" s="9">
        <v>7177.4</v>
      </c>
      <c r="C73" s="9">
        <v>7215.1</v>
      </c>
      <c r="D73" s="9">
        <v>7127.85</v>
      </c>
      <c r="E73" s="9">
        <v>7191.75</v>
      </c>
      <c r="F73" s="9">
        <v>2.54331498E8</v>
      </c>
      <c r="G73" s="47">
        <v>8051.51</v>
      </c>
    </row>
    <row r="74" ht="14.25" customHeight="1">
      <c r="A74" s="46">
        <v>42419.0</v>
      </c>
      <c r="B74" s="9">
        <v>7170.55</v>
      </c>
      <c r="C74" s="9">
        <v>7226.85</v>
      </c>
      <c r="D74" s="9">
        <v>7145.95</v>
      </c>
      <c r="E74" s="9">
        <v>7210.75</v>
      </c>
      <c r="F74" s="9">
        <v>1.9820648E8</v>
      </c>
      <c r="G74" s="47">
        <v>6156.58</v>
      </c>
    </row>
    <row r="75" ht="14.25" customHeight="1">
      <c r="A75" s="46">
        <v>42422.0</v>
      </c>
      <c r="B75" s="9">
        <v>7208.85</v>
      </c>
      <c r="C75" s="9">
        <v>7252.4</v>
      </c>
      <c r="D75" s="9">
        <v>7200.7</v>
      </c>
      <c r="E75" s="9">
        <v>7234.55</v>
      </c>
      <c r="F75" s="9">
        <v>1.59162842E8</v>
      </c>
      <c r="G75" s="47">
        <v>5832.89</v>
      </c>
    </row>
    <row r="76" ht="14.25" customHeight="1">
      <c r="A76" s="46">
        <v>42423.0</v>
      </c>
      <c r="B76" s="9">
        <v>7240.3</v>
      </c>
      <c r="C76" s="9">
        <v>7241.7</v>
      </c>
      <c r="D76" s="9">
        <v>7090.7</v>
      </c>
      <c r="E76" s="9">
        <v>7109.55</v>
      </c>
      <c r="F76" s="9">
        <v>2.00396978E8</v>
      </c>
      <c r="G76" s="47">
        <v>6433.16</v>
      </c>
    </row>
    <row r="77" ht="14.25" customHeight="1">
      <c r="A77" s="46">
        <v>42424.0</v>
      </c>
      <c r="B77" s="9">
        <v>7075.0</v>
      </c>
      <c r="C77" s="9">
        <v>7090.8</v>
      </c>
      <c r="D77" s="9">
        <v>7009.75</v>
      </c>
      <c r="E77" s="9">
        <v>7018.7</v>
      </c>
      <c r="F77" s="9">
        <v>2.05898417E8</v>
      </c>
      <c r="G77" s="47">
        <v>6497.18</v>
      </c>
    </row>
    <row r="78" ht="14.25" customHeight="1">
      <c r="A78" s="46">
        <v>42425.0</v>
      </c>
      <c r="B78" s="9">
        <v>7029.85</v>
      </c>
      <c r="C78" s="9">
        <v>7034.2</v>
      </c>
      <c r="D78" s="9">
        <v>6961.4</v>
      </c>
      <c r="E78" s="9">
        <v>6970.6</v>
      </c>
      <c r="F78" s="9">
        <v>2.91932544E8</v>
      </c>
      <c r="G78" s="47">
        <v>9090.16</v>
      </c>
    </row>
    <row r="79" ht="14.25" customHeight="1">
      <c r="A79" s="46">
        <v>42426.0</v>
      </c>
      <c r="B79" s="9">
        <v>7039.3</v>
      </c>
      <c r="C79" s="9">
        <v>7052.9</v>
      </c>
      <c r="D79" s="9">
        <v>6985.1</v>
      </c>
      <c r="E79" s="9">
        <v>7029.75</v>
      </c>
      <c r="F79" s="9">
        <v>2.13142575E8</v>
      </c>
      <c r="G79" s="47">
        <v>6880.96</v>
      </c>
    </row>
    <row r="80" ht="14.25" customHeight="1">
      <c r="A80" s="46">
        <v>42429.0</v>
      </c>
      <c r="B80" s="9">
        <v>7050.45</v>
      </c>
      <c r="C80" s="9">
        <v>7094.6</v>
      </c>
      <c r="D80" s="9">
        <v>6825.8</v>
      </c>
      <c r="E80" s="9">
        <v>6987.05</v>
      </c>
      <c r="F80" s="9">
        <v>4.87969285E8</v>
      </c>
      <c r="G80" s="47">
        <v>15992.15</v>
      </c>
    </row>
    <row r="81" ht="14.25" customHeight="1">
      <c r="A81" s="46">
        <v>42430.0</v>
      </c>
      <c r="B81" s="9">
        <v>7038.25</v>
      </c>
      <c r="C81" s="9">
        <v>7235.5</v>
      </c>
      <c r="D81" s="9">
        <v>7035.1</v>
      </c>
      <c r="E81" s="9">
        <v>7222.3</v>
      </c>
      <c r="F81" s="9">
        <v>2.8356157E8</v>
      </c>
      <c r="G81" s="47">
        <v>9896.58</v>
      </c>
    </row>
    <row r="82" ht="14.25" customHeight="1">
      <c r="A82" s="46">
        <v>42431.0</v>
      </c>
      <c r="B82" s="9">
        <v>7321.7</v>
      </c>
      <c r="C82" s="9">
        <v>7380.35</v>
      </c>
      <c r="D82" s="9">
        <v>7308.15</v>
      </c>
      <c r="E82" s="9">
        <v>7368.85</v>
      </c>
      <c r="F82" s="9">
        <v>3.48965708E8</v>
      </c>
      <c r="G82" s="47">
        <v>10983.06</v>
      </c>
    </row>
    <row r="83" ht="14.25" customHeight="1">
      <c r="A83" s="46">
        <v>42432.0</v>
      </c>
      <c r="B83" s="9">
        <v>7429.55</v>
      </c>
      <c r="C83" s="9">
        <v>7483.95</v>
      </c>
      <c r="D83" s="9">
        <v>7406.05</v>
      </c>
      <c r="E83" s="9">
        <v>7475.6</v>
      </c>
      <c r="F83" s="9">
        <v>2.87248532E8</v>
      </c>
      <c r="G83" s="47">
        <v>9255.43</v>
      </c>
    </row>
    <row r="84" ht="14.25" customHeight="1">
      <c r="A84" s="46">
        <v>42433.0</v>
      </c>
      <c r="B84" s="9">
        <v>7505.4</v>
      </c>
      <c r="C84" s="9">
        <v>7505.9</v>
      </c>
      <c r="D84" s="9">
        <v>7444.1</v>
      </c>
      <c r="E84" s="9">
        <v>7485.35</v>
      </c>
      <c r="F84" s="9">
        <v>2.9044123E8</v>
      </c>
      <c r="G84" s="47">
        <v>8135.06</v>
      </c>
    </row>
    <row r="85" ht="14.25" customHeight="1">
      <c r="A85" s="46">
        <v>42437.0</v>
      </c>
      <c r="B85" s="9">
        <v>7486.4</v>
      </c>
      <c r="C85" s="9">
        <v>7527.15</v>
      </c>
      <c r="D85" s="9">
        <v>7442.15</v>
      </c>
      <c r="E85" s="9">
        <v>7485.3</v>
      </c>
      <c r="F85" s="9">
        <v>2.64945393E8</v>
      </c>
      <c r="G85" s="47">
        <v>8417.86</v>
      </c>
    </row>
    <row r="86" ht="14.25" customHeight="1">
      <c r="A86" s="46">
        <v>42438.0</v>
      </c>
      <c r="B86" s="9">
        <v>7436.1</v>
      </c>
      <c r="C86" s="9">
        <v>7539.0</v>
      </c>
      <c r="D86" s="9">
        <v>7424.3</v>
      </c>
      <c r="E86" s="9">
        <v>7531.8</v>
      </c>
      <c r="F86" s="9">
        <v>2.52709391E8</v>
      </c>
      <c r="G86" s="47">
        <v>9036.29</v>
      </c>
    </row>
    <row r="87" ht="14.25" customHeight="1">
      <c r="A87" s="46">
        <v>42439.0</v>
      </c>
      <c r="B87" s="9">
        <v>7545.35</v>
      </c>
      <c r="C87" s="9">
        <v>7547.1</v>
      </c>
      <c r="D87" s="9">
        <v>7447.4</v>
      </c>
      <c r="E87" s="9">
        <v>7486.15</v>
      </c>
      <c r="F87" s="9">
        <v>2.31584305E8</v>
      </c>
      <c r="G87" s="47">
        <v>8875.92</v>
      </c>
    </row>
    <row r="88" ht="14.25" customHeight="1">
      <c r="A88" s="46">
        <v>42440.0</v>
      </c>
      <c r="B88" s="9">
        <v>7484.85</v>
      </c>
      <c r="C88" s="9">
        <v>7543.95</v>
      </c>
      <c r="D88" s="9">
        <v>7460.6</v>
      </c>
      <c r="E88" s="9">
        <v>7510.2</v>
      </c>
      <c r="F88" s="9">
        <v>2.04806572E8</v>
      </c>
      <c r="G88" s="47">
        <v>7558.55</v>
      </c>
    </row>
    <row r="89" ht="14.25" customHeight="1">
      <c r="A89" s="46">
        <v>42443.0</v>
      </c>
      <c r="B89" s="9">
        <v>7542.6</v>
      </c>
      <c r="C89" s="9">
        <v>7583.7</v>
      </c>
      <c r="D89" s="9">
        <v>7515.05</v>
      </c>
      <c r="E89" s="9">
        <v>7538.75</v>
      </c>
      <c r="F89" s="9">
        <v>1.72067214E8</v>
      </c>
      <c r="G89" s="47">
        <v>6330.45</v>
      </c>
    </row>
    <row r="90" ht="14.25" customHeight="1">
      <c r="A90" s="46">
        <v>42444.0</v>
      </c>
      <c r="B90" s="9">
        <v>7535.85</v>
      </c>
      <c r="C90" s="9">
        <v>7545.2</v>
      </c>
      <c r="D90" s="9">
        <v>7452.8</v>
      </c>
      <c r="E90" s="9">
        <v>7460.6</v>
      </c>
      <c r="F90" s="9">
        <v>1.99653871E8</v>
      </c>
      <c r="G90" s="47">
        <v>7577.78</v>
      </c>
    </row>
    <row r="91" ht="14.25" customHeight="1">
      <c r="A91" s="46">
        <v>42445.0</v>
      </c>
      <c r="B91" s="9">
        <v>7457.05</v>
      </c>
      <c r="C91" s="9">
        <v>7508.0</v>
      </c>
      <c r="D91" s="9">
        <v>7405.15</v>
      </c>
      <c r="E91" s="9">
        <v>7498.75</v>
      </c>
      <c r="F91" s="9">
        <v>2.01430035E8</v>
      </c>
      <c r="G91" s="47">
        <v>7102.59</v>
      </c>
    </row>
    <row r="92" ht="14.25" customHeight="1">
      <c r="A92" s="46">
        <v>42446.0</v>
      </c>
      <c r="B92" s="9">
        <v>7557.4</v>
      </c>
      <c r="C92" s="9">
        <v>7585.3</v>
      </c>
      <c r="D92" s="9">
        <v>7479.4</v>
      </c>
      <c r="E92" s="9">
        <v>7512.55</v>
      </c>
      <c r="F92" s="9">
        <v>2.47043954E8</v>
      </c>
      <c r="G92" s="47">
        <v>9539.89</v>
      </c>
    </row>
    <row r="93" ht="14.25" customHeight="1">
      <c r="A93" s="46">
        <v>42447.0</v>
      </c>
      <c r="B93" s="9">
        <v>7534.65</v>
      </c>
      <c r="C93" s="9">
        <v>7613.6</v>
      </c>
      <c r="D93" s="9">
        <v>7517.9</v>
      </c>
      <c r="E93" s="9">
        <v>7604.35</v>
      </c>
      <c r="F93" s="9">
        <v>2.4472749E8</v>
      </c>
      <c r="G93" s="47">
        <v>9971.59</v>
      </c>
    </row>
    <row r="94" ht="14.25" customHeight="1">
      <c r="A94" s="46">
        <v>42450.0</v>
      </c>
      <c r="B94" s="9">
        <v>7619.2</v>
      </c>
      <c r="C94" s="9">
        <v>7713.55</v>
      </c>
      <c r="D94" s="9">
        <v>7617.7</v>
      </c>
      <c r="E94" s="9">
        <v>7704.25</v>
      </c>
      <c r="F94" s="9">
        <v>2.02853386E8</v>
      </c>
      <c r="G94" s="47">
        <v>8381.51</v>
      </c>
    </row>
    <row r="95" ht="14.25" customHeight="1">
      <c r="A95" s="46">
        <v>42451.0</v>
      </c>
      <c r="B95" s="9">
        <v>7695.55</v>
      </c>
      <c r="C95" s="9">
        <v>7728.2</v>
      </c>
      <c r="D95" s="9">
        <v>7643.8</v>
      </c>
      <c r="E95" s="9">
        <v>7714.9</v>
      </c>
      <c r="F95" s="9">
        <v>2.15355848E8</v>
      </c>
      <c r="G95" s="47">
        <v>8628.05</v>
      </c>
    </row>
    <row r="96" ht="14.25" customHeight="1">
      <c r="A96" s="46">
        <v>42452.0</v>
      </c>
      <c r="B96" s="9">
        <v>7717.45</v>
      </c>
      <c r="C96" s="9">
        <v>7726.85</v>
      </c>
      <c r="D96" s="9">
        <v>7670.6</v>
      </c>
      <c r="E96" s="9">
        <v>7716.5</v>
      </c>
      <c r="F96" s="9">
        <v>2.05794773E8</v>
      </c>
      <c r="G96" s="47">
        <v>7612.54</v>
      </c>
    </row>
    <row r="97" ht="14.25" customHeight="1">
      <c r="A97" s="46">
        <v>42457.0</v>
      </c>
      <c r="B97" s="9">
        <v>7741.0</v>
      </c>
      <c r="C97" s="9">
        <v>7749.4</v>
      </c>
      <c r="D97" s="9">
        <v>7587.7</v>
      </c>
      <c r="E97" s="9">
        <v>7615.1</v>
      </c>
      <c r="F97" s="9">
        <v>2.49905118E8</v>
      </c>
      <c r="G97" s="47">
        <v>10102.36</v>
      </c>
    </row>
    <row r="98" ht="14.25" customHeight="1">
      <c r="A98" s="46">
        <v>42458.0</v>
      </c>
      <c r="B98" s="9">
        <v>7606.55</v>
      </c>
      <c r="C98" s="9">
        <v>7652.9</v>
      </c>
      <c r="D98" s="9">
        <v>7582.25</v>
      </c>
      <c r="E98" s="9">
        <v>7597.0</v>
      </c>
      <c r="F98" s="9">
        <v>2.23493457E8</v>
      </c>
      <c r="G98" s="47">
        <v>10474.75</v>
      </c>
    </row>
    <row r="99" ht="14.25" customHeight="1">
      <c r="A99" s="46">
        <v>42459.0</v>
      </c>
      <c r="B99" s="9">
        <v>7651.1</v>
      </c>
      <c r="C99" s="9">
        <v>7741.95</v>
      </c>
      <c r="D99" s="9">
        <v>7643.45</v>
      </c>
      <c r="E99" s="9">
        <v>7735.2</v>
      </c>
      <c r="F99" s="9">
        <v>2.39843751E8</v>
      </c>
      <c r="G99" s="47">
        <v>9908.6</v>
      </c>
    </row>
    <row r="100" ht="14.25" customHeight="1">
      <c r="A100" s="46">
        <v>42460.0</v>
      </c>
      <c r="B100" s="9">
        <v>7727.65</v>
      </c>
      <c r="C100" s="9">
        <v>7777.6</v>
      </c>
      <c r="D100" s="9">
        <v>7702.0</v>
      </c>
      <c r="E100" s="9">
        <v>7738.4</v>
      </c>
      <c r="F100" s="9">
        <v>3.91914059E8</v>
      </c>
      <c r="G100" s="47">
        <v>15918.74</v>
      </c>
    </row>
    <row r="101" ht="14.25" customHeight="1">
      <c r="A101" s="46">
        <v>42461.0</v>
      </c>
      <c r="B101" s="9">
        <v>7718.05</v>
      </c>
      <c r="C101" s="9">
        <v>7740.15</v>
      </c>
      <c r="D101" s="9">
        <v>7666.1</v>
      </c>
      <c r="E101" s="9">
        <v>7713.05</v>
      </c>
      <c r="F101" s="9">
        <v>1.89571551E8</v>
      </c>
      <c r="G101" s="47">
        <v>8118.47</v>
      </c>
    </row>
    <row r="102" ht="14.25" customHeight="1">
      <c r="A102" s="46">
        <v>42464.0</v>
      </c>
      <c r="B102" s="9">
        <v>7733.15</v>
      </c>
      <c r="C102" s="9">
        <v>7764.45</v>
      </c>
      <c r="D102" s="9">
        <v>7704.4</v>
      </c>
      <c r="E102" s="9">
        <v>7758.8</v>
      </c>
      <c r="F102" s="9">
        <v>1.6027794E8</v>
      </c>
      <c r="G102" s="47">
        <v>6506.44</v>
      </c>
    </row>
    <row r="103" ht="14.25" customHeight="1">
      <c r="A103" s="46">
        <v>42465.0</v>
      </c>
      <c r="B103" s="9">
        <v>7736.3</v>
      </c>
      <c r="C103" s="9">
        <v>7736.3</v>
      </c>
      <c r="D103" s="9">
        <v>7588.65</v>
      </c>
      <c r="E103" s="9">
        <v>7603.2</v>
      </c>
      <c r="F103" s="9">
        <v>2.10126897E8</v>
      </c>
      <c r="G103" s="47">
        <v>8412.34</v>
      </c>
    </row>
    <row r="104" ht="14.25" customHeight="1">
      <c r="A104" s="46">
        <v>42466.0</v>
      </c>
      <c r="B104" s="9">
        <v>7636.05</v>
      </c>
      <c r="C104" s="9">
        <v>7638.65</v>
      </c>
      <c r="D104" s="9">
        <v>7591.75</v>
      </c>
      <c r="E104" s="9">
        <v>7614.35</v>
      </c>
      <c r="F104" s="9">
        <v>1.70653808E8</v>
      </c>
      <c r="G104" s="47">
        <v>6802.69</v>
      </c>
    </row>
    <row r="105" ht="14.25" customHeight="1">
      <c r="A105" s="46">
        <v>42467.0</v>
      </c>
      <c r="B105" s="9">
        <v>7630.4</v>
      </c>
      <c r="C105" s="9">
        <v>7630.75</v>
      </c>
      <c r="D105" s="9">
        <v>7535.85</v>
      </c>
      <c r="E105" s="9">
        <v>7546.45</v>
      </c>
      <c r="F105" s="9">
        <v>2.4168405E8</v>
      </c>
      <c r="G105" s="47">
        <v>7709.23</v>
      </c>
    </row>
    <row r="106" ht="14.25" customHeight="1">
      <c r="A106" s="46">
        <v>42468.0</v>
      </c>
      <c r="B106" s="9">
        <v>7542.35</v>
      </c>
      <c r="C106" s="9">
        <v>7569.35</v>
      </c>
      <c r="D106" s="9">
        <v>7526.7</v>
      </c>
      <c r="E106" s="9">
        <v>7555.2</v>
      </c>
      <c r="F106" s="9">
        <v>1.4781646E8</v>
      </c>
      <c r="G106" s="47">
        <v>5981.23</v>
      </c>
    </row>
    <row r="107" ht="14.25" customHeight="1">
      <c r="A107" s="46">
        <v>42471.0</v>
      </c>
      <c r="B107" s="9">
        <v>7577.8</v>
      </c>
      <c r="C107" s="9">
        <v>7678.8</v>
      </c>
      <c r="D107" s="9">
        <v>7516.85</v>
      </c>
      <c r="E107" s="9">
        <v>7671.4</v>
      </c>
      <c r="F107" s="9">
        <v>1.85353268E8</v>
      </c>
      <c r="G107" s="47">
        <v>7055.61</v>
      </c>
    </row>
    <row r="108" ht="14.25" customHeight="1">
      <c r="A108" s="46">
        <v>42472.0</v>
      </c>
      <c r="B108" s="9">
        <v>7669.25</v>
      </c>
      <c r="C108" s="9">
        <v>7717.4</v>
      </c>
      <c r="D108" s="9">
        <v>7663.35</v>
      </c>
      <c r="E108" s="9">
        <v>7708.95</v>
      </c>
      <c r="F108" s="9">
        <v>1.68508978E8</v>
      </c>
      <c r="G108" s="47">
        <v>6945.44</v>
      </c>
    </row>
    <row r="109" ht="14.25" customHeight="1">
      <c r="A109" s="46">
        <v>42473.0</v>
      </c>
      <c r="B109" s="9">
        <v>7777.15</v>
      </c>
      <c r="C109" s="9">
        <v>7864.8</v>
      </c>
      <c r="D109" s="9">
        <v>7772.2</v>
      </c>
      <c r="E109" s="9">
        <v>7850.45</v>
      </c>
      <c r="F109" s="9">
        <v>2.27217288E8</v>
      </c>
      <c r="G109" s="47">
        <v>10071.44</v>
      </c>
    </row>
    <row r="110" ht="14.25" customHeight="1">
      <c r="A110" s="46">
        <v>42478.0</v>
      </c>
      <c r="B110" s="9">
        <v>7908.15</v>
      </c>
      <c r="C110" s="9">
        <v>7920.6</v>
      </c>
      <c r="D110" s="9">
        <v>7842.75</v>
      </c>
      <c r="E110" s="9">
        <v>7914.7</v>
      </c>
      <c r="F110" s="9">
        <v>1.90258561E8</v>
      </c>
      <c r="G110" s="47">
        <v>10356.03</v>
      </c>
    </row>
    <row r="111" ht="14.25" customHeight="1">
      <c r="A111" s="46">
        <v>42480.0</v>
      </c>
      <c r="B111" s="9">
        <v>7950.05</v>
      </c>
      <c r="C111" s="9">
        <v>7950.4</v>
      </c>
      <c r="D111" s="9">
        <v>7877.55</v>
      </c>
      <c r="E111" s="9">
        <v>7914.75</v>
      </c>
      <c r="F111" s="9">
        <v>2.1163006E8</v>
      </c>
      <c r="G111" s="47">
        <v>10069.83</v>
      </c>
    </row>
    <row r="112" ht="14.25" customHeight="1">
      <c r="A112" s="46">
        <v>42481.0</v>
      </c>
      <c r="B112" s="9">
        <v>7953.65</v>
      </c>
      <c r="C112" s="9">
        <v>7978.45</v>
      </c>
      <c r="D112" s="9">
        <v>7884.1</v>
      </c>
      <c r="E112" s="9">
        <v>7912.05</v>
      </c>
      <c r="F112" s="9">
        <v>2.30577117E8</v>
      </c>
      <c r="G112" s="47">
        <v>9613.3</v>
      </c>
    </row>
    <row r="113" ht="14.25" customHeight="1">
      <c r="A113" s="46">
        <v>42482.0</v>
      </c>
      <c r="B113" s="9">
        <v>7891.8</v>
      </c>
      <c r="C113" s="9">
        <v>7923.35</v>
      </c>
      <c r="D113" s="9">
        <v>7873.35</v>
      </c>
      <c r="E113" s="9">
        <v>7899.3</v>
      </c>
      <c r="F113" s="9">
        <v>1.8898854E8</v>
      </c>
      <c r="G113" s="47">
        <v>7714.04</v>
      </c>
    </row>
    <row r="114" ht="14.25" customHeight="1">
      <c r="A114" s="46">
        <v>42485.0</v>
      </c>
      <c r="B114" s="9">
        <v>7894.8</v>
      </c>
      <c r="C114" s="9">
        <v>7911.0</v>
      </c>
      <c r="D114" s="9">
        <v>7827.0</v>
      </c>
      <c r="E114" s="9">
        <v>7855.05</v>
      </c>
      <c r="F114" s="9">
        <v>1.50776959E8</v>
      </c>
      <c r="G114" s="47">
        <v>7362.13</v>
      </c>
    </row>
    <row r="115" ht="14.25" customHeight="1">
      <c r="A115" s="46">
        <v>42486.0</v>
      </c>
      <c r="B115" s="9">
        <v>7828.15</v>
      </c>
      <c r="C115" s="9">
        <v>7974.5</v>
      </c>
      <c r="D115" s="9">
        <v>7822.55</v>
      </c>
      <c r="E115" s="9">
        <v>7962.65</v>
      </c>
      <c r="F115" s="9">
        <v>2.08656803E8</v>
      </c>
      <c r="G115" s="47">
        <v>9686.21</v>
      </c>
    </row>
    <row r="116" ht="14.25" customHeight="1">
      <c r="A116" s="46">
        <v>42487.0</v>
      </c>
      <c r="B116" s="9">
        <v>7942.0</v>
      </c>
      <c r="C116" s="9">
        <v>7991.0</v>
      </c>
      <c r="D116" s="9">
        <v>7940.55</v>
      </c>
      <c r="E116" s="9">
        <v>7979.9</v>
      </c>
      <c r="F116" s="9">
        <v>2.13174058E8</v>
      </c>
      <c r="G116" s="47">
        <v>9669.04</v>
      </c>
    </row>
    <row r="117" ht="14.25" customHeight="1">
      <c r="A117" s="46">
        <v>42488.0</v>
      </c>
      <c r="B117" s="9">
        <v>7967.4</v>
      </c>
      <c r="C117" s="9">
        <v>7992.0</v>
      </c>
      <c r="D117" s="9">
        <v>7834.45</v>
      </c>
      <c r="E117" s="9">
        <v>7847.25</v>
      </c>
      <c r="F117" s="9">
        <v>3.01485186E8</v>
      </c>
      <c r="G117" s="47">
        <v>14943.3</v>
      </c>
    </row>
    <row r="118" ht="14.25" customHeight="1">
      <c r="A118" s="46">
        <v>42489.0</v>
      </c>
      <c r="B118" s="9">
        <v>7844.25</v>
      </c>
      <c r="C118" s="9">
        <v>7889.05</v>
      </c>
      <c r="D118" s="9">
        <v>7788.7</v>
      </c>
      <c r="E118" s="9">
        <v>7849.8</v>
      </c>
      <c r="F118" s="9">
        <v>2.51227047E8</v>
      </c>
      <c r="G118" s="47">
        <v>9872.58</v>
      </c>
    </row>
    <row r="119" ht="14.25" customHeight="1">
      <c r="A119" s="46">
        <v>42492.0</v>
      </c>
      <c r="B119" s="9">
        <v>7822.7</v>
      </c>
      <c r="C119" s="9">
        <v>7829.8</v>
      </c>
      <c r="D119" s="9">
        <v>7777.3</v>
      </c>
      <c r="E119" s="9">
        <v>7805.9</v>
      </c>
      <c r="F119" s="9">
        <v>1.50818181E8</v>
      </c>
      <c r="G119" s="47">
        <v>6079.16</v>
      </c>
    </row>
    <row r="120" ht="14.25" customHeight="1">
      <c r="A120" s="46">
        <v>42493.0</v>
      </c>
      <c r="B120" s="9">
        <v>7824.8</v>
      </c>
      <c r="C120" s="9">
        <v>7890.25</v>
      </c>
      <c r="D120" s="9">
        <v>7735.15</v>
      </c>
      <c r="E120" s="9">
        <v>7747.0</v>
      </c>
      <c r="F120" s="9">
        <v>1.9227137E8</v>
      </c>
      <c r="G120" s="47">
        <v>8536.83</v>
      </c>
    </row>
    <row r="121" ht="14.25" customHeight="1">
      <c r="A121" s="46">
        <v>42494.0</v>
      </c>
      <c r="B121" s="9">
        <v>7724.15</v>
      </c>
      <c r="C121" s="9">
        <v>7749.0</v>
      </c>
      <c r="D121" s="9">
        <v>7697.25</v>
      </c>
      <c r="E121" s="9">
        <v>7706.55</v>
      </c>
      <c r="F121" s="9">
        <v>2.05939089E8</v>
      </c>
      <c r="G121" s="47">
        <v>7816.27</v>
      </c>
    </row>
    <row r="122" ht="14.25" customHeight="1">
      <c r="A122" s="46">
        <v>42495.0</v>
      </c>
      <c r="B122" s="9">
        <v>7731.0</v>
      </c>
      <c r="C122" s="9">
        <v>7777.55</v>
      </c>
      <c r="D122" s="9">
        <v>7706.85</v>
      </c>
      <c r="E122" s="9">
        <v>7735.5</v>
      </c>
      <c r="F122" s="9">
        <v>1.90792828E8</v>
      </c>
      <c r="G122" s="47">
        <v>8089.45</v>
      </c>
    </row>
    <row r="123" ht="14.25" customHeight="1">
      <c r="A123" s="46">
        <v>42496.0</v>
      </c>
      <c r="B123" s="9">
        <v>7717.65</v>
      </c>
      <c r="C123" s="9">
        <v>7738.9</v>
      </c>
      <c r="D123" s="9">
        <v>7678.35</v>
      </c>
      <c r="E123" s="9">
        <v>7733.45</v>
      </c>
      <c r="F123" s="9">
        <v>1.68662226E8</v>
      </c>
      <c r="G123" s="47">
        <v>6296.51</v>
      </c>
    </row>
    <row r="124" ht="14.25" customHeight="1">
      <c r="A124" s="46">
        <v>42499.0</v>
      </c>
      <c r="B124" s="9">
        <v>7755.25</v>
      </c>
      <c r="C124" s="9">
        <v>7873.65</v>
      </c>
      <c r="D124" s="9">
        <v>7753.55</v>
      </c>
      <c r="E124" s="9">
        <v>7866.05</v>
      </c>
      <c r="F124" s="9">
        <v>1.65616829E8</v>
      </c>
      <c r="G124" s="47">
        <v>7559.77</v>
      </c>
    </row>
    <row r="125" ht="14.25" customHeight="1">
      <c r="A125" s="46">
        <v>42500.0</v>
      </c>
      <c r="B125" s="9">
        <v>7873.55</v>
      </c>
      <c r="C125" s="9">
        <v>7896.9</v>
      </c>
      <c r="D125" s="9">
        <v>7837.7</v>
      </c>
      <c r="E125" s="9">
        <v>7887.8</v>
      </c>
      <c r="F125" s="9">
        <v>1.66957276E8</v>
      </c>
      <c r="G125" s="47">
        <v>7306.72</v>
      </c>
    </row>
    <row r="126" ht="14.25" customHeight="1">
      <c r="A126" s="46">
        <v>42501.0</v>
      </c>
      <c r="B126" s="9">
        <v>7804.65</v>
      </c>
      <c r="C126" s="9">
        <v>7893.1</v>
      </c>
      <c r="D126" s="9">
        <v>7780.9</v>
      </c>
      <c r="E126" s="9">
        <v>7848.85</v>
      </c>
      <c r="F126" s="9">
        <v>2.20712496E8</v>
      </c>
      <c r="G126" s="47">
        <v>9394.05</v>
      </c>
    </row>
    <row r="127" ht="14.25" customHeight="1">
      <c r="A127" s="46">
        <v>42502.0</v>
      </c>
      <c r="B127" s="9">
        <v>7871.45</v>
      </c>
      <c r="C127" s="9">
        <v>7916.05</v>
      </c>
      <c r="D127" s="9">
        <v>7849.65</v>
      </c>
      <c r="E127" s="9">
        <v>7900.4</v>
      </c>
      <c r="F127" s="9">
        <v>1.57444918E8</v>
      </c>
      <c r="G127" s="47">
        <v>7171.91</v>
      </c>
    </row>
    <row r="128" ht="14.25" customHeight="1">
      <c r="A128" s="46">
        <v>42503.0</v>
      </c>
      <c r="B128" s="9">
        <v>7881.0</v>
      </c>
      <c r="C128" s="9">
        <v>7881.0</v>
      </c>
      <c r="D128" s="9">
        <v>7784.2</v>
      </c>
      <c r="E128" s="9">
        <v>7814.9</v>
      </c>
      <c r="F128" s="9">
        <v>1.85061782E8</v>
      </c>
      <c r="G128" s="47">
        <v>10152.08</v>
      </c>
    </row>
    <row r="129" ht="14.25" customHeight="1">
      <c r="A129" s="46">
        <v>42506.0</v>
      </c>
      <c r="B129" s="9">
        <v>7831.2</v>
      </c>
      <c r="C129" s="9">
        <v>7873.9</v>
      </c>
      <c r="D129" s="9">
        <v>7772.15</v>
      </c>
      <c r="E129" s="9">
        <v>7860.75</v>
      </c>
      <c r="F129" s="9">
        <v>2.11547775E8</v>
      </c>
      <c r="G129" s="47">
        <v>7790.24</v>
      </c>
    </row>
    <row r="130" ht="14.25" customHeight="1">
      <c r="A130" s="46">
        <v>42507.0</v>
      </c>
      <c r="B130" s="9">
        <v>7896.85</v>
      </c>
      <c r="C130" s="9">
        <v>7940.1</v>
      </c>
      <c r="D130" s="9">
        <v>7879.7</v>
      </c>
      <c r="E130" s="9">
        <v>7890.75</v>
      </c>
      <c r="F130" s="9">
        <v>1.8914081E8</v>
      </c>
      <c r="G130" s="47">
        <v>8195.95</v>
      </c>
    </row>
    <row r="131" ht="14.25" customHeight="1">
      <c r="A131" s="46">
        <v>42508.0</v>
      </c>
      <c r="B131" s="9">
        <v>7846.75</v>
      </c>
      <c r="C131" s="9">
        <v>7882.05</v>
      </c>
      <c r="D131" s="9">
        <v>7810.75</v>
      </c>
      <c r="E131" s="9">
        <v>7870.15</v>
      </c>
      <c r="F131" s="9">
        <v>1.61169418E8</v>
      </c>
      <c r="G131" s="47">
        <v>7333.13</v>
      </c>
    </row>
    <row r="132" ht="14.25" customHeight="1">
      <c r="A132" s="46">
        <v>42509.0</v>
      </c>
      <c r="B132" s="9">
        <v>7875.5</v>
      </c>
      <c r="C132" s="9">
        <v>7876.2</v>
      </c>
      <c r="D132" s="9">
        <v>7766.8</v>
      </c>
      <c r="E132" s="9">
        <v>7783.4</v>
      </c>
      <c r="F132" s="9">
        <v>1.75711829E8</v>
      </c>
      <c r="G132" s="47">
        <v>7163.38</v>
      </c>
    </row>
    <row r="133" ht="14.25" customHeight="1">
      <c r="A133" s="46">
        <v>42510.0</v>
      </c>
      <c r="B133" s="9">
        <v>7792.2</v>
      </c>
      <c r="C133" s="9">
        <v>7812.4</v>
      </c>
      <c r="D133" s="9">
        <v>7735.75</v>
      </c>
      <c r="E133" s="9">
        <v>7749.7</v>
      </c>
      <c r="F133" s="9">
        <v>1.61889432E8</v>
      </c>
      <c r="G133" s="47">
        <v>6798.89</v>
      </c>
    </row>
    <row r="134" ht="14.25" customHeight="1">
      <c r="A134" s="46">
        <v>42513.0</v>
      </c>
      <c r="B134" s="9">
        <v>7813.95</v>
      </c>
      <c r="C134" s="9">
        <v>7820.6</v>
      </c>
      <c r="D134" s="9">
        <v>7722.2</v>
      </c>
      <c r="E134" s="9">
        <v>7731.05</v>
      </c>
      <c r="F134" s="9">
        <v>1.77347948E8</v>
      </c>
      <c r="G134" s="47">
        <v>7141.74</v>
      </c>
    </row>
    <row r="135" ht="14.25" customHeight="1">
      <c r="A135" s="46">
        <v>42514.0</v>
      </c>
      <c r="B135" s="9">
        <v>7738.05</v>
      </c>
      <c r="C135" s="9">
        <v>7761.55</v>
      </c>
      <c r="D135" s="9">
        <v>7715.8</v>
      </c>
      <c r="E135" s="9">
        <v>7748.85</v>
      </c>
      <c r="F135" s="9">
        <v>1.51538169E8</v>
      </c>
      <c r="G135" s="47">
        <v>6119.23</v>
      </c>
    </row>
    <row r="136" ht="14.25" customHeight="1">
      <c r="A136" s="46">
        <v>42515.0</v>
      </c>
      <c r="B136" s="9">
        <v>7811.8</v>
      </c>
      <c r="C136" s="9">
        <v>7941.2</v>
      </c>
      <c r="D136" s="9">
        <v>7809.3</v>
      </c>
      <c r="E136" s="9">
        <v>7934.9</v>
      </c>
      <c r="F136" s="9">
        <v>1.81636649E8</v>
      </c>
      <c r="G136" s="47">
        <v>8202.39</v>
      </c>
    </row>
    <row r="137" ht="14.25" customHeight="1">
      <c r="A137" s="46">
        <v>42516.0</v>
      </c>
      <c r="B137" s="9">
        <v>7974.45</v>
      </c>
      <c r="C137" s="9">
        <v>8083.0</v>
      </c>
      <c r="D137" s="9">
        <v>7948.5</v>
      </c>
      <c r="E137" s="9">
        <v>8069.65</v>
      </c>
      <c r="F137" s="9">
        <v>2.72456307E8</v>
      </c>
      <c r="G137" s="47">
        <v>12422.0</v>
      </c>
    </row>
    <row r="138" ht="14.25" customHeight="1">
      <c r="A138" s="46">
        <v>42517.0</v>
      </c>
      <c r="B138" s="9">
        <v>8081.95</v>
      </c>
      <c r="C138" s="9">
        <v>8164.2</v>
      </c>
      <c r="D138" s="9">
        <v>8077.05</v>
      </c>
      <c r="E138" s="9">
        <v>8156.65</v>
      </c>
      <c r="F138" s="9">
        <v>2.68963949E8</v>
      </c>
      <c r="G138" s="47">
        <v>10607.22</v>
      </c>
    </row>
    <row r="139" ht="14.25" customHeight="1">
      <c r="A139" s="46">
        <v>42520.0</v>
      </c>
      <c r="B139" s="9">
        <v>8166.5</v>
      </c>
      <c r="C139" s="9">
        <v>8200.0</v>
      </c>
      <c r="D139" s="9">
        <v>8150.8</v>
      </c>
      <c r="E139" s="9">
        <v>8178.5</v>
      </c>
      <c r="F139" s="9">
        <v>2.55086293E8</v>
      </c>
      <c r="G139" s="47">
        <v>9199.38</v>
      </c>
    </row>
    <row r="140" ht="14.25" customHeight="1">
      <c r="A140" s="46">
        <v>42521.0</v>
      </c>
      <c r="B140" s="9">
        <v>8209.85</v>
      </c>
      <c r="C140" s="9">
        <v>8213.6</v>
      </c>
      <c r="D140" s="9">
        <v>8134.3</v>
      </c>
      <c r="E140" s="9">
        <v>8160.1</v>
      </c>
      <c r="F140" s="9">
        <v>4.85645737E8</v>
      </c>
      <c r="G140" s="47">
        <v>21491.53</v>
      </c>
    </row>
    <row r="141" ht="14.25" customHeight="1">
      <c r="A141" s="46">
        <v>42522.0</v>
      </c>
      <c r="B141" s="9">
        <v>8179.2</v>
      </c>
      <c r="C141" s="9">
        <v>8215.35</v>
      </c>
      <c r="D141" s="9">
        <v>8171.05</v>
      </c>
      <c r="E141" s="9">
        <v>8179.95</v>
      </c>
      <c r="F141" s="9">
        <v>2.00371829E8</v>
      </c>
      <c r="G141" s="47">
        <v>8408.53</v>
      </c>
    </row>
    <row r="142" ht="14.25" customHeight="1">
      <c r="A142" s="46">
        <v>42523.0</v>
      </c>
      <c r="B142" s="9">
        <v>8156.9</v>
      </c>
      <c r="C142" s="9">
        <v>8229.5</v>
      </c>
      <c r="D142" s="9">
        <v>8154.75</v>
      </c>
      <c r="E142" s="9">
        <v>8218.95</v>
      </c>
      <c r="F142" s="9">
        <v>1.87316365E8</v>
      </c>
      <c r="G142" s="47">
        <v>8389.69</v>
      </c>
    </row>
    <row r="143" ht="14.25" customHeight="1">
      <c r="A143" s="46">
        <v>42524.0</v>
      </c>
      <c r="B143" s="9">
        <v>8246.2</v>
      </c>
      <c r="C143" s="9">
        <v>8262.0</v>
      </c>
      <c r="D143" s="9">
        <v>8209.85</v>
      </c>
      <c r="E143" s="9">
        <v>8220.8</v>
      </c>
      <c r="F143" s="9">
        <v>3.90652017E8</v>
      </c>
      <c r="G143" s="47">
        <v>10762.52</v>
      </c>
    </row>
    <row r="144" ht="14.25" customHeight="1">
      <c r="A144" s="46">
        <v>42527.0</v>
      </c>
      <c r="B144" s="9">
        <v>8228.75</v>
      </c>
      <c r="C144" s="9">
        <v>8234.7</v>
      </c>
      <c r="D144" s="9">
        <v>8186.05</v>
      </c>
      <c r="E144" s="9">
        <v>8201.05</v>
      </c>
      <c r="F144" s="9">
        <v>1.76885226E8</v>
      </c>
      <c r="G144" s="47">
        <v>7657.92</v>
      </c>
    </row>
    <row r="145" ht="14.25" customHeight="1">
      <c r="A145" s="46">
        <v>42528.0</v>
      </c>
      <c r="B145" s="9">
        <v>8235.55</v>
      </c>
      <c r="C145" s="9">
        <v>8294.95</v>
      </c>
      <c r="D145" s="9">
        <v>8216.4</v>
      </c>
      <c r="E145" s="9">
        <v>8266.45</v>
      </c>
      <c r="F145" s="9">
        <v>2.49365706E8</v>
      </c>
      <c r="G145" s="47">
        <v>10462.49</v>
      </c>
    </row>
    <row r="146" ht="14.25" customHeight="1">
      <c r="A146" s="46">
        <v>42529.0</v>
      </c>
      <c r="B146" s="9">
        <v>8285.5</v>
      </c>
      <c r="C146" s="9">
        <v>8288.9</v>
      </c>
      <c r="D146" s="9">
        <v>8252.05</v>
      </c>
      <c r="E146" s="9">
        <v>8273.05</v>
      </c>
      <c r="F146" s="9">
        <v>1.79710369E8</v>
      </c>
      <c r="G146" s="47">
        <v>7614.02</v>
      </c>
    </row>
    <row r="147" ht="14.25" customHeight="1">
      <c r="A147" s="46">
        <v>42530.0</v>
      </c>
      <c r="B147" s="9">
        <v>8273.35</v>
      </c>
      <c r="C147" s="9">
        <v>8273.35</v>
      </c>
      <c r="D147" s="9">
        <v>8184.6</v>
      </c>
      <c r="E147" s="9">
        <v>8203.6</v>
      </c>
      <c r="F147" s="9">
        <v>1.80293039E8</v>
      </c>
      <c r="G147" s="47">
        <v>7973.1</v>
      </c>
    </row>
    <row r="148" ht="14.25" customHeight="1">
      <c r="A148" s="46">
        <v>42531.0</v>
      </c>
      <c r="B148" s="9">
        <v>8180.25</v>
      </c>
      <c r="C148" s="9">
        <v>8265.6</v>
      </c>
      <c r="D148" s="9">
        <v>8162.85</v>
      </c>
      <c r="E148" s="9">
        <v>8170.05</v>
      </c>
      <c r="F148" s="9">
        <v>1.87757375E8</v>
      </c>
      <c r="G148" s="47">
        <v>7853.83</v>
      </c>
    </row>
    <row r="149" ht="14.25" customHeight="1">
      <c r="A149" s="46">
        <v>42534.0</v>
      </c>
      <c r="B149" s="9">
        <v>8102.25</v>
      </c>
      <c r="C149" s="9">
        <v>8125.25</v>
      </c>
      <c r="D149" s="9">
        <v>8063.9</v>
      </c>
      <c r="E149" s="9">
        <v>8110.6</v>
      </c>
      <c r="F149" s="9">
        <v>1.74916286E8</v>
      </c>
      <c r="G149" s="47">
        <v>7343.99</v>
      </c>
    </row>
    <row r="150" ht="14.25" customHeight="1">
      <c r="A150" s="46">
        <v>42535.0</v>
      </c>
      <c r="B150" s="9">
        <v>8134.4</v>
      </c>
      <c r="C150" s="9">
        <v>8134.95</v>
      </c>
      <c r="D150" s="9">
        <v>8069.5</v>
      </c>
      <c r="E150" s="9">
        <v>8108.85</v>
      </c>
      <c r="F150" s="9">
        <v>1.50042362E8</v>
      </c>
      <c r="G150" s="47">
        <v>6003.23</v>
      </c>
    </row>
    <row r="151" ht="14.25" customHeight="1">
      <c r="A151" s="46">
        <v>42536.0</v>
      </c>
      <c r="B151" s="9">
        <v>8139.4</v>
      </c>
      <c r="C151" s="9">
        <v>8213.2</v>
      </c>
      <c r="D151" s="9">
        <v>8123.15</v>
      </c>
      <c r="E151" s="9">
        <v>8206.6</v>
      </c>
      <c r="F151" s="9">
        <v>1.74953935E8</v>
      </c>
      <c r="G151" s="47">
        <v>6945.89</v>
      </c>
    </row>
    <row r="152" ht="14.25" customHeight="1">
      <c r="A152" s="46">
        <v>42537.0</v>
      </c>
      <c r="B152" s="9">
        <v>8180.65</v>
      </c>
      <c r="C152" s="9">
        <v>8180.65</v>
      </c>
      <c r="D152" s="9">
        <v>8074.45</v>
      </c>
      <c r="E152" s="9">
        <v>8140.75</v>
      </c>
      <c r="F152" s="9">
        <v>1.95028743E8</v>
      </c>
      <c r="G152" s="47">
        <v>7764.57</v>
      </c>
    </row>
    <row r="153" ht="14.25" customHeight="1">
      <c r="A153" s="46">
        <v>42538.0</v>
      </c>
      <c r="B153" s="9">
        <v>8176.65</v>
      </c>
      <c r="C153" s="9">
        <v>8195.25</v>
      </c>
      <c r="D153" s="9">
        <v>8135.8</v>
      </c>
      <c r="E153" s="9">
        <v>8170.2</v>
      </c>
      <c r="F153" s="9">
        <v>1.7184276E8</v>
      </c>
      <c r="G153" s="47">
        <v>7741.9</v>
      </c>
    </row>
    <row r="154" ht="14.25" customHeight="1">
      <c r="A154" s="46">
        <v>42541.0</v>
      </c>
      <c r="B154" s="9">
        <v>8115.75</v>
      </c>
      <c r="C154" s="9">
        <v>8244.15</v>
      </c>
      <c r="D154" s="9">
        <v>8107.35</v>
      </c>
      <c r="E154" s="9">
        <v>8238.5</v>
      </c>
      <c r="F154" s="9">
        <v>1.73750792E8</v>
      </c>
      <c r="G154" s="47">
        <v>7392.97</v>
      </c>
    </row>
    <row r="155" ht="14.25" customHeight="1">
      <c r="A155" s="46">
        <v>42542.0</v>
      </c>
      <c r="B155" s="9">
        <v>8255.4</v>
      </c>
      <c r="C155" s="9">
        <v>8257.25</v>
      </c>
      <c r="D155" s="9">
        <v>8202.15</v>
      </c>
      <c r="E155" s="9">
        <v>8219.9</v>
      </c>
      <c r="F155" s="9">
        <v>1.41161921E8</v>
      </c>
      <c r="G155" s="47">
        <v>5978.26</v>
      </c>
    </row>
    <row r="156" ht="14.25" customHeight="1">
      <c r="A156" s="46">
        <v>42543.0</v>
      </c>
      <c r="B156" s="9">
        <v>8213.65</v>
      </c>
      <c r="C156" s="9">
        <v>8238.35</v>
      </c>
      <c r="D156" s="9">
        <v>8153.25</v>
      </c>
      <c r="E156" s="9">
        <v>8203.7</v>
      </c>
      <c r="F156" s="9">
        <v>1.40268297E8</v>
      </c>
      <c r="G156" s="47">
        <v>6377.69</v>
      </c>
    </row>
    <row r="157" ht="14.25" customHeight="1">
      <c r="A157" s="46">
        <v>42544.0</v>
      </c>
      <c r="B157" s="9">
        <v>8201.15</v>
      </c>
      <c r="C157" s="9">
        <v>8285.6</v>
      </c>
      <c r="D157" s="9">
        <v>8188.3</v>
      </c>
      <c r="E157" s="9">
        <v>8270.45</v>
      </c>
      <c r="F157" s="9">
        <v>1.58852677E8</v>
      </c>
      <c r="G157" s="47">
        <v>6805.86</v>
      </c>
    </row>
    <row r="158" ht="14.25" customHeight="1">
      <c r="A158" s="46">
        <v>42545.0</v>
      </c>
      <c r="B158" s="9">
        <v>8029.1</v>
      </c>
      <c r="C158" s="9">
        <v>8100.7</v>
      </c>
      <c r="D158" s="9">
        <v>7927.05</v>
      </c>
      <c r="E158" s="9">
        <v>8088.6</v>
      </c>
      <c r="F158" s="9">
        <v>3.06803641E8</v>
      </c>
      <c r="G158" s="47">
        <v>13263.08</v>
      </c>
    </row>
    <row r="159" ht="14.25" customHeight="1">
      <c r="A159" s="46">
        <v>42548.0</v>
      </c>
      <c r="B159" s="9">
        <v>8039.35</v>
      </c>
      <c r="C159" s="9">
        <v>8120.65</v>
      </c>
      <c r="D159" s="9">
        <v>8039.35</v>
      </c>
      <c r="E159" s="9">
        <v>8094.7</v>
      </c>
      <c r="F159" s="9">
        <v>1.67462711E8</v>
      </c>
      <c r="G159" s="47">
        <v>7614.06</v>
      </c>
    </row>
    <row r="160" ht="14.25" customHeight="1">
      <c r="A160" s="46">
        <v>42549.0</v>
      </c>
      <c r="B160" s="9">
        <v>8096.05</v>
      </c>
      <c r="C160" s="9">
        <v>8146.35</v>
      </c>
      <c r="D160" s="9">
        <v>8086.85</v>
      </c>
      <c r="E160" s="9">
        <v>8127.85</v>
      </c>
      <c r="F160" s="9">
        <v>1.75724276E8</v>
      </c>
      <c r="G160" s="47">
        <v>7777.39</v>
      </c>
    </row>
    <row r="161" ht="14.25" customHeight="1">
      <c r="A161" s="46">
        <v>42550.0</v>
      </c>
      <c r="B161" s="9">
        <v>8173.1</v>
      </c>
      <c r="C161" s="9">
        <v>8212.4</v>
      </c>
      <c r="D161" s="9">
        <v>8157.65</v>
      </c>
      <c r="E161" s="9">
        <v>8204.0</v>
      </c>
      <c r="F161" s="9">
        <v>1.51499716E8</v>
      </c>
      <c r="G161" s="47">
        <v>6940.87</v>
      </c>
    </row>
    <row r="162" ht="14.25" customHeight="1">
      <c r="A162" s="46">
        <v>42551.0</v>
      </c>
      <c r="B162" s="9">
        <v>8260.25</v>
      </c>
      <c r="C162" s="9">
        <v>8308.15</v>
      </c>
      <c r="D162" s="9">
        <v>8242.1</v>
      </c>
      <c r="E162" s="9">
        <v>8287.75</v>
      </c>
      <c r="F162" s="9">
        <v>2.88031935E8</v>
      </c>
      <c r="G162" s="47">
        <v>12346.32</v>
      </c>
    </row>
    <row r="163" ht="14.25" customHeight="1">
      <c r="A163" s="46">
        <v>42552.0</v>
      </c>
      <c r="B163" s="9">
        <v>8313.05</v>
      </c>
      <c r="C163" s="9">
        <v>8356.75</v>
      </c>
      <c r="D163" s="9">
        <v>8308.65</v>
      </c>
      <c r="E163" s="9">
        <v>8328.35</v>
      </c>
      <c r="F163" s="9">
        <v>1.70581881E8</v>
      </c>
      <c r="G163" s="47">
        <v>7358.38</v>
      </c>
    </row>
    <row r="164" ht="14.25" customHeight="1">
      <c r="A164" s="46">
        <v>42555.0</v>
      </c>
      <c r="B164" s="9">
        <v>8376.75</v>
      </c>
      <c r="C164" s="9">
        <v>8398.45</v>
      </c>
      <c r="D164" s="9">
        <v>8364.7</v>
      </c>
      <c r="E164" s="9">
        <v>8370.7</v>
      </c>
      <c r="F164" s="9">
        <v>1.58955823E8</v>
      </c>
      <c r="G164" s="47">
        <v>6662.92</v>
      </c>
    </row>
    <row r="165" ht="14.25" customHeight="1">
      <c r="A165" s="46">
        <v>42556.0</v>
      </c>
      <c r="B165" s="9">
        <v>8379.3</v>
      </c>
      <c r="C165" s="9">
        <v>8381.45</v>
      </c>
      <c r="D165" s="9">
        <v>8319.95</v>
      </c>
      <c r="E165" s="9">
        <v>8335.95</v>
      </c>
      <c r="F165" s="9">
        <v>1.43253937E8</v>
      </c>
      <c r="G165" s="47">
        <v>5976.01</v>
      </c>
    </row>
    <row r="166" ht="14.25" customHeight="1">
      <c r="A166" s="46">
        <v>42558.0</v>
      </c>
      <c r="B166" s="9">
        <v>8342.0</v>
      </c>
      <c r="C166" s="9">
        <v>8361.95</v>
      </c>
      <c r="D166" s="9">
        <v>8317.7</v>
      </c>
      <c r="E166" s="9">
        <v>8337.9</v>
      </c>
      <c r="F166" s="9">
        <v>1.60327315E8</v>
      </c>
      <c r="G166" s="47">
        <v>7592.94</v>
      </c>
    </row>
    <row r="167" ht="14.25" customHeight="1">
      <c r="A167" s="46">
        <v>42559.0</v>
      </c>
      <c r="B167" s="9">
        <v>8350.0</v>
      </c>
      <c r="C167" s="9">
        <v>8353.3</v>
      </c>
      <c r="D167" s="9">
        <v>8287.55</v>
      </c>
      <c r="E167" s="9">
        <v>8323.2</v>
      </c>
      <c r="F167" s="9">
        <v>1.42159935E8</v>
      </c>
      <c r="G167" s="47">
        <v>6886.33</v>
      </c>
    </row>
    <row r="168" ht="14.25" customHeight="1">
      <c r="A168" s="46">
        <v>42562.0</v>
      </c>
      <c r="B168" s="9">
        <v>8413.35</v>
      </c>
      <c r="C168" s="9">
        <v>8475.25</v>
      </c>
      <c r="D168" s="9">
        <v>8407.05</v>
      </c>
      <c r="E168" s="9">
        <v>8467.9</v>
      </c>
      <c r="F168" s="9">
        <v>1.54399933E8</v>
      </c>
      <c r="G168" s="47">
        <v>7576.69</v>
      </c>
    </row>
    <row r="169" ht="14.25" customHeight="1">
      <c r="A169" s="46">
        <v>42563.0</v>
      </c>
      <c r="B169" s="9">
        <v>8502.6</v>
      </c>
      <c r="C169" s="9">
        <v>8526.6</v>
      </c>
      <c r="D169" s="9">
        <v>8479.2</v>
      </c>
      <c r="E169" s="9">
        <v>8521.05</v>
      </c>
      <c r="F169" s="9">
        <v>1.8933975E8</v>
      </c>
      <c r="G169" s="47">
        <v>7873.74</v>
      </c>
    </row>
    <row r="170" ht="14.25" customHeight="1">
      <c r="A170" s="46">
        <v>42564.0</v>
      </c>
      <c r="B170" s="9">
        <v>8540.45</v>
      </c>
      <c r="C170" s="9">
        <v>8550.25</v>
      </c>
      <c r="D170" s="9">
        <v>8493.55</v>
      </c>
      <c r="E170" s="9">
        <v>8519.5</v>
      </c>
      <c r="F170" s="9">
        <v>2.01492184E8</v>
      </c>
      <c r="G170" s="47">
        <v>8284.38</v>
      </c>
    </row>
    <row r="171" ht="14.25" customHeight="1">
      <c r="A171" s="46">
        <v>42565.0</v>
      </c>
      <c r="B171" s="9">
        <v>8515.75</v>
      </c>
      <c r="C171" s="9">
        <v>8571.4</v>
      </c>
      <c r="D171" s="9">
        <v>8500.7</v>
      </c>
      <c r="E171" s="9">
        <v>8565.0</v>
      </c>
      <c r="F171" s="9">
        <v>1.58738499E8</v>
      </c>
      <c r="G171" s="47">
        <v>6890.07</v>
      </c>
    </row>
    <row r="172" ht="14.25" customHeight="1">
      <c r="A172" s="46">
        <v>42566.0</v>
      </c>
      <c r="B172" s="9">
        <v>8565.45</v>
      </c>
      <c r="C172" s="9">
        <v>8594.8</v>
      </c>
      <c r="D172" s="9">
        <v>8510.05</v>
      </c>
      <c r="E172" s="9">
        <v>8541.4</v>
      </c>
      <c r="F172" s="9">
        <v>2.28598684E8</v>
      </c>
      <c r="G172" s="47">
        <v>12375.84</v>
      </c>
    </row>
    <row r="173" ht="14.25" customHeight="1">
      <c r="A173" s="46">
        <v>42569.0</v>
      </c>
      <c r="B173" s="9">
        <v>8564.05</v>
      </c>
      <c r="C173" s="9">
        <v>8587.1</v>
      </c>
      <c r="D173" s="9">
        <v>8494.35</v>
      </c>
      <c r="E173" s="9">
        <v>8508.7</v>
      </c>
      <c r="F173" s="9">
        <v>1.69400452E8</v>
      </c>
      <c r="G173" s="47">
        <v>8200.06</v>
      </c>
    </row>
    <row r="174" ht="14.25" customHeight="1">
      <c r="A174" s="46">
        <v>42570.0</v>
      </c>
      <c r="B174" s="9">
        <v>8514.3</v>
      </c>
      <c r="C174" s="9">
        <v>8540.05</v>
      </c>
      <c r="D174" s="9">
        <v>8476.7</v>
      </c>
      <c r="E174" s="9">
        <v>8528.55</v>
      </c>
      <c r="F174" s="9">
        <v>1.73050805E8</v>
      </c>
      <c r="G174" s="47">
        <v>7928.14</v>
      </c>
    </row>
    <row r="175" ht="14.25" customHeight="1">
      <c r="A175" s="46">
        <v>42571.0</v>
      </c>
      <c r="B175" s="9">
        <v>8515.45</v>
      </c>
      <c r="C175" s="9">
        <v>8569.9</v>
      </c>
      <c r="D175" s="9">
        <v>8512.55</v>
      </c>
      <c r="E175" s="9">
        <v>8565.85</v>
      </c>
      <c r="F175" s="9">
        <v>1.6534938E8</v>
      </c>
      <c r="G175" s="47">
        <v>7936.36</v>
      </c>
    </row>
    <row r="176" ht="14.25" customHeight="1">
      <c r="A176" s="46">
        <v>42572.0</v>
      </c>
      <c r="B176" s="9">
        <v>8582.7</v>
      </c>
      <c r="C176" s="9">
        <v>8585.25</v>
      </c>
      <c r="D176" s="9">
        <v>8503.45</v>
      </c>
      <c r="E176" s="9">
        <v>8510.1</v>
      </c>
      <c r="F176" s="9">
        <v>1.54575685E8</v>
      </c>
      <c r="G176" s="47">
        <v>7399.71</v>
      </c>
    </row>
    <row r="177" ht="14.25" customHeight="1">
      <c r="A177" s="46">
        <v>42573.0</v>
      </c>
      <c r="B177" s="9">
        <v>8519.65</v>
      </c>
      <c r="C177" s="9">
        <v>8548.95</v>
      </c>
      <c r="D177" s="9">
        <v>8489.8</v>
      </c>
      <c r="E177" s="9">
        <v>8541.2</v>
      </c>
      <c r="F177" s="9">
        <v>1.47619642E8</v>
      </c>
      <c r="G177" s="47">
        <v>6504.0</v>
      </c>
    </row>
    <row r="178" ht="14.25" customHeight="1">
      <c r="A178" s="46">
        <v>42576.0</v>
      </c>
      <c r="B178" s="9">
        <v>8519.95</v>
      </c>
      <c r="C178" s="9">
        <v>8641.15</v>
      </c>
      <c r="D178" s="9">
        <v>8517.2</v>
      </c>
      <c r="E178" s="9">
        <v>8635.65</v>
      </c>
      <c r="F178" s="9">
        <v>1.54631398E8</v>
      </c>
      <c r="G178" s="47">
        <v>7850.12</v>
      </c>
    </row>
    <row r="179" ht="14.25" customHeight="1">
      <c r="A179" s="46">
        <v>42577.0</v>
      </c>
      <c r="B179" s="9">
        <v>8633.75</v>
      </c>
      <c r="C179" s="9">
        <v>8644.9</v>
      </c>
      <c r="D179" s="9">
        <v>8577.15</v>
      </c>
      <c r="E179" s="9">
        <v>8590.65</v>
      </c>
      <c r="F179" s="9">
        <v>1.59563469E8</v>
      </c>
      <c r="G179" s="47">
        <v>8765.45</v>
      </c>
    </row>
    <row r="180" ht="14.25" customHeight="1">
      <c r="A180" s="46">
        <v>42578.0</v>
      </c>
      <c r="B180" s="9">
        <v>8599.4</v>
      </c>
      <c r="C180" s="9">
        <v>8665.0</v>
      </c>
      <c r="D180" s="9">
        <v>8572.05</v>
      </c>
      <c r="E180" s="9">
        <v>8615.8</v>
      </c>
      <c r="F180" s="9">
        <v>1.8979638E8</v>
      </c>
      <c r="G180" s="47">
        <v>10885.88</v>
      </c>
    </row>
    <row r="181" ht="14.25" customHeight="1">
      <c r="A181" s="46">
        <v>42579.0</v>
      </c>
      <c r="B181" s="9">
        <v>8636.95</v>
      </c>
      <c r="C181" s="9">
        <v>8674.7</v>
      </c>
      <c r="D181" s="9">
        <v>8625.25</v>
      </c>
      <c r="E181" s="9">
        <v>8666.3</v>
      </c>
      <c r="F181" s="9">
        <v>2.40721865E8</v>
      </c>
      <c r="G181" s="47">
        <v>12998.06</v>
      </c>
    </row>
    <row r="182" ht="14.25" customHeight="1">
      <c r="A182" s="46">
        <v>42580.0</v>
      </c>
      <c r="B182" s="9">
        <v>8668.3</v>
      </c>
      <c r="C182" s="9">
        <v>8670.35</v>
      </c>
      <c r="D182" s="9">
        <v>8631.15</v>
      </c>
      <c r="E182" s="9">
        <v>8638.5</v>
      </c>
      <c r="F182" s="9">
        <v>1.61935155E8</v>
      </c>
      <c r="G182" s="47">
        <v>8428.8</v>
      </c>
    </row>
    <row r="183" ht="14.25" customHeight="1">
      <c r="A183" s="46">
        <v>42583.0</v>
      </c>
      <c r="B183" s="9">
        <v>8654.3</v>
      </c>
      <c r="C183" s="9">
        <v>8711.3</v>
      </c>
      <c r="D183" s="9">
        <v>8590.5</v>
      </c>
      <c r="E183" s="9">
        <v>8636.55</v>
      </c>
      <c r="F183" s="9">
        <v>1.94186858E8</v>
      </c>
      <c r="G183" s="47">
        <v>9881.67</v>
      </c>
    </row>
    <row r="184" ht="14.25" customHeight="1">
      <c r="A184" s="46">
        <v>42584.0</v>
      </c>
      <c r="B184" s="9">
        <v>8647.45</v>
      </c>
      <c r="C184" s="9">
        <v>8687.2</v>
      </c>
      <c r="D184" s="9">
        <v>8611.4</v>
      </c>
      <c r="E184" s="9">
        <v>8622.9</v>
      </c>
      <c r="F184" s="9">
        <v>1.74556789E8</v>
      </c>
      <c r="G184" s="47">
        <v>8652.31</v>
      </c>
    </row>
    <row r="185" ht="14.25" customHeight="1">
      <c r="A185" s="46">
        <v>42585.0</v>
      </c>
      <c r="B185" s="9">
        <v>8635.2</v>
      </c>
      <c r="C185" s="9">
        <v>8635.45</v>
      </c>
      <c r="D185" s="9">
        <v>8529.6</v>
      </c>
      <c r="E185" s="9">
        <v>8544.85</v>
      </c>
      <c r="F185" s="9">
        <v>1.68033073E8</v>
      </c>
      <c r="G185" s="47">
        <v>8507.82</v>
      </c>
    </row>
    <row r="186" ht="14.25" customHeight="1">
      <c r="A186" s="46">
        <v>42586.0</v>
      </c>
      <c r="B186" s="9">
        <v>8599.95</v>
      </c>
      <c r="C186" s="9">
        <v>8601.4</v>
      </c>
      <c r="D186" s="9">
        <v>8518.15</v>
      </c>
      <c r="E186" s="9">
        <v>8551.1</v>
      </c>
      <c r="F186" s="9">
        <v>1.69780463E8</v>
      </c>
      <c r="G186" s="47">
        <v>7399.03</v>
      </c>
    </row>
    <row r="187" ht="14.25" customHeight="1">
      <c r="A187" s="46">
        <v>42587.0</v>
      </c>
      <c r="B187" s="9">
        <v>8600.2</v>
      </c>
      <c r="C187" s="9">
        <v>8689.4</v>
      </c>
      <c r="D187" s="9">
        <v>8590.15</v>
      </c>
      <c r="E187" s="9">
        <v>8683.15</v>
      </c>
      <c r="F187" s="9">
        <v>1.62784913E8</v>
      </c>
      <c r="G187" s="47">
        <v>7635.01</v>
      </c>
    </row>
    <row r="188" ht="14.25" customHeight="1">
      <c r="A188" s="46">
        <v>42590.0</v>
      </c>
      <c r="B188" s="9">
        <v>8712.85</v>
      </c>
      <c r="C188" s="9">
        <v>8723.5</v>
      </c>
      <c r="D188" s="9">
        <v>8697.6</v>
      </c>
      <c r="E188" s="9">
        <v>8711.35</v>
      </c>
      <c r="F188" s="9">
        <v>1.77877012E8</v>
      </c>
      <c r="G188" s="47">
        <v>7862.15</v>
      </c>
    </row>
    <row r="189" ht="14.25" customHeight="1">
      <c r="A189" s="46">
        <v>42591.0</v>
      </c>
      <c r="B189" s="9">
        <v>8727.8</v>
      </c>
      <c r="C189" s="9">
        <v>8728.35</v>
      </c>
      <c r="D189" s="9">
        <v>8638.2</v>
      </c>
      <c r="E189" s="9">
        <v>8678.25</v>
      </c>
      <c r="F189" s="9">
        <v>2.06261255E8</v>
      </c>
      <c r="G189" s="47">
        <v>9111.4</v>
      </c>
    </row>
    <row r="190" ht="14.25" customHeight="1">
      <c r="A190" s="46">
        <v>42592.0</v>
      </c>
      <c r="B190" s="9">
        <v>8686.7</v>
      </c>
      <c r="C190" s="9">
        <v>8690.1</v>
      </c>
      <c r="D190" s="9">
        <v>8564.6</v>
      </c>
      <c r="E190" s="9">
        <v>8575.3</v>
      </c>
      <c r="F190" s="9">
        <v>1.78963496E8</v>
      </c>
      <c r="G190" s="47">
        <v>8206.18</v>
      </c>
    </row>
    <row r="191" ht="14.25" customHeight="1">
      <c r="A191" s="46">
        <v>42593.0</v>
      </c>
      <c r="B191" s="9">
        <v>8572.8</v>
      </c>
      <c r="C191" s="9">
        <v>8601.15</v>
      </c>
      <c r="D191" s="9">
        <v>8540.05</v>
      </c>
      <c r="E191" s="9">
        <v>8592.15</v>
      </c>
      <c r="F191" s="9">
        <v>1.95114539E8</v>
      </c>
      <c r="G191" s="47">
        <v>8634.8</v>
      </c>
    </row>
    <row r="192" ht="14.25" customHeight="1">
      <c r="A192" s="46">
        <v>42594.0</v>
      </c>
      <c r="B192" s="9">
        <v>8605.45</v>
      </c>
      <c r="C192" s="9">
        <v>8684.3</v>
      </c>
      <c r="D192" s="9">
        <v>8604.45</v>
      </c>
      <c r="E192" s="9">
        <v>8672.15</v>
      </c>
      <c r="F192" s="9">
        <v>2.72014034E8</v>
      </c>
      <c r="G192" s="47">
        <v>11998.86</v>
      </c>
    </row>
    <row r="193" ht="14.25" customHeight="1">
      <c r="A193" s="46">
        <v>42598.0</v>
      </c>
      <c r="B193" s="9">
        <v>8670.25</v>
      </c>
      <c r="C193" s="9">
        <v>8682.35</v>
      </c>
      <c r="D193" s="9">
        <v>8600.45</v>
      </c>
      <c r="E193" s="9">
        <v>8642.55</v>
      </c>
      <c r="F193" s="9">
        <v>2.31771409E8</v>
      </c>
      <c r="G193" s="47">
        <v>10937.35</v>
      </c>
    </row>
    <row r="194" ht="14.25" customHeight="1">
      <c r="A194" s="46">
        <v>42599.0</v>
      </c>
      <c r="B194" s="9">
        <v>8639.8</v>
      </c>
      <c r="C194" s="9">
        <v>8667.1</v>
      </c>
      <c r="D194" s="9">
        <v>8603.6</v>
      </c>
      <c r="E194" s="9">
        <v>8624.05</v>
      </c>
      <c r="F194" s="9">
        <v>1.79540691E8</v>
      </c>
      <c r="G194" s="47">
        <v>8161.38</v>
      </c>
    </row>
    <row r="195" ht="14.25" customHeight="1">
      <c r="A195" s="46">
        <v>42600.0</v>
      </c>
      <c r="B195" s="9">
        <v>8648.85</v>
      </c>
      <c r="C195" s="9">
        <v>8690.7</v>
      </c>
      <c r="D195" s="9">
        <v>8645.05</v>
      </c>
      <c r="E195" s="9">
        <v>8673.25</v>
      </c>
      <c r="F195" s="9">
        <v>1.69431656E8</v>
      </c>
      <c r="G195" s="47">
        <v>7900.6</v>
      </c>
    </row>
    <row r="196" ht="14.25" customHeight="1">
      <c r="A196" s="46">
        <v>42601.0</v>
      </c>
      <c r="B196" s="9">
        <v>8694.3</v>
      </c>
      <c r="C196" s="9">
        <v>8696.6</v>
      </c>
      <c r="D196" s="9">
        <v>8647.1</v>
      </c>
      <c r="E196" s="9">
        <v>8666.9</v>
      </c>
      <c r="F196" s="9">
        <v>1.97770568E8</v>
      </c>
      <c r="G196" s="47">
        <v>8354.88</v>
      </c>
    </row>
    <row r="197" ht="14.25" customHeight="1">
      <c r="A197" s="46">
        <v>42604.0</v>
      </c>
      <c r="B197" s="9">
        <v>8667.0</v>
      </c>
      <c r="C197" s="9">
        <v>8684.85</v>
      </c>
      <c r="D197" s="9">
        <v>8614.0</v>
      </c>
      <c r="E197" s="9">
        <v>8629.15</v>
      </c>
      <c r="F197" s="9">
        <v>1.56976546E8</v>
      </c>
      <c r="G197" s="47">
        <v>7394.57</v>
      </c>
    </row>
    <row r="198" ht="14.25" customHeight="1">
      <c r="A198" s="46">
        <v>42605.0</v>
      </c>
      <c r="B198" s="9">
        <v>8628.35</v>
      </c>
      <c r="C198" s="9">
        <v>8642.15</v>
      </c>
      <c r="D198" s="9">
        <v>8580.0</v>
      </c>
      <c r="E198" s="9">
        <v>8632.6</v>
      </c>
      <c r="F198" s="9">
        <v>1.93302503E8</v>
      </c>
      <c r="G198" s="47">
        <v>7309.82</v>
      </c>
    </row>
    <row r="199" ht="14.25" customHeight="1">
      <c r="A199" s="46">
        <v>42606.0</v>
      </c>
      <c r="B199" s="9">
        <v>8648.5</v>
      </c>
      <c r="C199" s="9">
        <v>8661.05</v>
      </c>
      <c r="D199" s="9">
        <v>8620.9</v>
      </c>
      <c r="E199" s="9">
        <v>8650.3</v>
      </c>
      <c r="F199" s="9">
        <v>1.54168043E8</v>
      </c>
      <c r="G199" s="47">
        <v>7199.72</v>
      </c>
    </row>
    <row r="200" ht="14.25" customHeight="1">
      <c r="A200" s="46">
        <v>42607.0</v>
      </c>
      <c r="B200" s="9">
        <v>8668.85</v>
      </c>
      <c r="C200" s="9">
        <v>8683.05</v>
      </c>
      <c r="D200" s="9">
        <v>8583.65</v>
      </c>
      <c r="E200" s="9">
        <v>8592.2</v>
      </c>
      <c r="F200" s="9">
        <v>2.19736214E8</v>
      </c>
      <c r="G200" s="47">
        <v>10508.32</v>
      </c>
    </row>
    <row r="201" ht="14.25" customHeight="1">
      <c r="A201" s="46">
        <v>42608.0</v>
      </c>
      <c r="B201" s="9">
        <v>8614.35</v>
      </c>
      <c r="C201" s="9">
        <v>8622.95</v>
      </c>
      <c r="D201" s="9">
        <v>8547.55</v>
      </c>
      <c r="E201" s="9">
        <v>8572.55</v>
      </c>
      <c r="F201" s="9">
        <v>1.52146666E8</v>
      </c>
      <c r="G201" s="47">
        <v>7153.37</v>
      </c>
    </row>
    <row r="202" ht="14.25" customHeight="1">
      <c r="A202" s="46">
        <v>42611.0</v>
      </c>
      <c r="B202" s="9">
        <v>8583.75</v>
      </c>
      <c r="C202" s="9">
        <v>8622.0</v>
      </c>
      <c r="D202" s="9">
        <v>8543.75</v>
      </c>
      <c r="E202" s="9">
        <v>8607.45</v>
      </c>
      <c r="F202" s="9">
        <v>1.33723771E8</v>
      </c>
      <c r="G202" s="47">
        <v>6857.99</v>
      </c>
    </row>
    <row r="203" ht="14.25" customHeight="1">
      <c r="A203" s="46">
        <v>42612.0</v>
      </c>
      <c r="B203" s="9">
        <v>8646.75</v>
      </c>
      <c r="C203" s="9">
        <v>8750.6</v>
      </c>
      <c r="D203" s="9">
        <v>8642.25</v>
      </c>
      <c r="E203" s="9">
        <v>8744.35</v>
      </c>
      <c r="F203" s="9">
        <v>1.54828719E8</v>
      </c>
      <c r="G203" s="47">
        <v>8392.76</v>
      </c>
    </row>
    <row r="204" ht="14.25" customHeight="1">
      <c r="A204" s="46">
        <v>42613.0</v>
      </c>
      <c r="B204" s="9">
        <v>8754.05</v>
      </c>
      <c r="C204" s="9">
        <v>8819.2</v>
      </c>
      <c r="D204" s="9">
        <v>8754.05</v>
      </c>
      <c r="E204" s="9">
        <v>8786.2</v>
      </c>
      <c r="F204" s="9">
        <v>3.73422334E8</v>
      </c>
      <c r="G204" s="47">
        <v>22534.29</v>
      </c>
    </row>
    <row r="205" ht="14.25" customHeight="1">
      <c r="A205" s="46">
        <v>42614.0</v>
      </c>
      <c r="B205" s="9">
        <v>8793.6</v>
      </c>
      <c r="C205" s="9">
        <v>8813.25</v>
      </c>
      <c r="D205" s="9">
        <v>8759.95</v>
      </c>
      <c r="E205" s="9">
        <v>8774.65</v>
      </c>
      <c r="F205" s="9">
        <v>2.46336047E8</v>
      </c>
      <c r="G205" s="47">
        <v>9653.93</v>
      </c>
    </row>
    <row r="206" ht="14.25" customHeight="1">
      <c r="A206" s="46">
        <v>42615.0</v>
      </c>
      <c r="B206" s="9">
        <v>8796.35</v>
      </c>
      <c r="C206" s="9">
        <v>8824.1</v>
      </c>
      <c r="D206" s="9">
        <v>8768.2</v>
      </c>
      <c r="E206" s="9">
        <v>8809.65</v>
      </c>
      <c r="F206" s="9">
        <v>1.97385217E8</v>
      </c>
      <c r="G206" s="47">
        <v>8231.93</v>
      </c>
    </row>
    <row r="207" ht="14.25" customHeight="1">
      <c r="A207" s="46">
        <v>42619.0</v>
      </c>
      <c r="B207" s="9">
        <v>8852.7</v>
      </c>
      <c r="C207" s="9">
        <v>8950.85</v>
      </c>
      <c r="D207" s="9">
        <v>8848.45</v>
      </c>
      <c r="E207" s="9">
        <v>8943.0</v>
      </c>
      <c r="F207" s="9">
        <v>2.01617132E8</v>
      </c>
      <c r="G207" s="47">
        <v>9571.31</v>
      </c>
    </row>
    <row r="208" ht="14.25" customHeight="1">
      <c r="A208" s="46">
        <v>42620.0</v>
      </c>
      <c r="B208" s="9">
        <v>8968.7</v>
      </c>
      <c r="C208" s="9">
        <v>8968.7</v>
      </c>
      <c r="D208" s="9">
        <v>8913.35</v>
      </c>
      <c r="E208" s="9">
        <v>8917.95</v>
      </c>
      <c r="F208" s="9">
        <v>2.99145644E8</v>
      </c>
      <c r="G208" s="47">
        <v>11430.95</v>
      </c>
    </row>
    <row r="209" ht="14.25" customHeight="1">
      <c r="A209" s="46">
        <v>42621.0</v>
      </c>
      <c r="B209" s="9">
        <v>8915.5</v>
      </c>
      <c r="C209" s="9">
        <v>8960.35</v>
      </c>
      <c r="D209" s="9">
        <v>8896.0</v>
      </c>
      <c r="E209" s="9">
        <v>8952.5</v>
      </c>
      <c r="F209" s="9">
        <v>2.23937056E8</v>
      </c>
      <c r="G209" s="47">
        <v>10773.98</v>
      </c>
    </row>
    <row r="210" ht="14.25" customHeight="1">
      <c r="A210" s="46">
        <v>42622.0</v>
      </c>
      <c r="B210" s="9">
        <v>8934.3</v>
      </c>
      <c r="C210" s="9">
        <v>8939.15</v>
      </c>
      <c r="D210" s="9">
        <v>8858.7</v>
      </c>
      <c r="E210" s="9">
        <v>8866.7</v>
      </c>
      <c r="F210" s="9">
        <v>1.81344327E8</v>
      </c>
      <c r="G210" s="47">
        <v>9976.28</v>
      </c>
    </row>
    <row r="211" ht="14.25" customHeight="1">
      <c r="A211" s="46">
        <v>42625.0</v>
      </c>
      <c r="B211" s="9">
        <v>8732.95</v>
      </c>
      <c r="C211" s="9">
        <v>8746.95</v>
      </c>
      <c r="D211" s="9">
        <v>8699.4</v>
      </c>
      <c r="E211" s="9">
        <v>8715.6</v>
      </c>
      <c r="F211" s="9">
        <v>1.90199613E8</v>
      </c>
      <c r="G211" s="47">
        <v>9248.73</v>
      </c>
    </row>
    <row r="212" ht="14.25" customHeight="1">
      <c r="A212" s="46">
        <v>42627.0</v>
      </c>
      <c r="B212" s="9">
        <v>8710.65</v>
      </c>
      <c r="C212" s="9">
        <v>8739.85</v>
      </c>
      <c r="D212" s="9">
        <v>8688.9</v>
      </c>
      <c r="E212" s="9">
        <v>8726.6</v>
      </c>
      <c r="F212" s="9">
        <v>1.89984289E8</v>
      </c>
      <c r="G212" s="47">
        <v>9112.57</v>
      </c>
    </row>
    <row r="213" ht="14.25" customHeight="1">
      <c r="A213" s="46">
        <v>42628.0</v>
      </c>
      <c r="B213" s="9">
        <v>8743.85</v>
      </c>
      <c r="C213" s="9">
        <v>8751.95</v>
      </c>
      <c r="D213" s="9">
        <v>8704.35</v>
      </c>
      <c r="E213" s="9">
        <v>8742.55</v>
      </c>
      <c r="F213" s="9">
        <v>1.49889703E8</v>
      </c>
      <c r="G213" s="47">
        <v>7347.34</v>
      </c>
    </row>
    <row r="214" ht="14.25" customHeight="1">
      <c r="A214" s="46">
        <v>42629.0</v>
      </c>
      <c r="B214" s="9">
        <v>8780.85</v>
      </c>
      <c r="C214" s="9">
        <v>8847.65</v>
      </c>
      <c r="D214" s="9">
        <v>8750.5</v>
      </c>
      <c r="E214" s="9">
        <v>8779.85</v>
      </c>
      <c r="F214" s="9">
        <v>2.74039556E8</v>
      </c>
      <c r="G214" s="47">
        <v>14430.63</v>
      </c>
    </row>
    <row r="215" ht="14.25" customHeight="1">
      <c r="A215" s="46">
        <v>42632.0</v>
      </c>
      <c r="B215" s="9">
        <v>8788.45</v>
      </c>
      <c r="C215" s="9">
        <v>8824.3</v>
      </c>
      <c r="D215" s="9">
        <v>8774.2</v>
      </c>
      <c r="E215" s="9">
        <v>8808.4</v>
      </c>
      <c r="F215" s="9">
        <v>1.35814177E8</v>
      </c>
      <c r="G215" s="47">
        <v>7364.64</v>
      </c>
    </row>
    <row r="216" ht="14.25" customHeight="1">
      <c r="A216" s="46">
        <v>42633.0</v>
      </c>
      <c r="B216" s="9">
        <v>8816.1</v>
      </c>
      <c r="C216" s="9">
        <v>8816.45</v>
      </c>
      <c r="D216" s="9">
        <v>8759.3</v>
      </c>
      <c r="E216" s="9">
        <v>8775.9</v>
      </c>
      <c r="F216" s="9">
        <v>1.40718486E8</v>
      </c>
      <c r="G216" s="47">
        <v>7035.07</v>
      </c>
    </row>
    <row r="217" ht="14.25" customHeight="1">
      <c r="A217" s="46">
        <v>42634.0</v>
      </c>
      <c r="B217" s="9">
        <v>8790.3</v>
      </c>
      <c r="C217" s="9">
        <v>8826.85</v>
      </c>
      <c r="D217" s="9">
        <v>8757.3</v>
      </c>
      <c r="E217" s="9">
        <v>8777.15</v>
      </c>
      <c r="F217" s="9">
        <v>1.5344133E8</v>
      </c>
      <c r="G217" s="47">
        <v>7572.41</v>
      </c>
    </row>
    <row r="218" ht="14.25" customHeight="1">
      <c r="A218" s="46">
        <v>42635.0</v>
      </c>
      <c r="B218" s="9">
        <v>8873.35</v>
      </c>
      <c r="C218" s="9">
        <v>8893.35</v>
      </c>
      <c r="D218" s="9">
        <v>8837.8</v>
      </c>
      <c r="E218" s="9">
        <v>8867.45</v>
      </c>
      <c r="F218" s="9">
        <v>1.78136644E8</v>
      </c>
      <c r="G218" s="47">
        <v>9305.56</v>
      </c>
    </row>
    <row r="219" ht="14.25" customHeight="1">
      <c r="A219" s="46">
        <v>42636.0</v>
      </c>
      <c r="B219" s="9">
        <v>8880.75</v>
      </c>
      <c r="C219" s="9">
        <v>8885.2</v>
      </c>
      <c r="D219" s="9">
        <v>8820.3</v>
      </c>
      <c r="E219" s="9">
        <v>8831.55</v>
      </c>
      <c r="F219" s="9">
        <v>1.91618169E8</v>
      </c>
      <c r="G219" s="47">
        <v>9793.98</v>
      </c>
    </row>
    <row r="220" ht="14.25" customHeight="1">
      <c r="A220" s="46">
        <v>42639.0</v>
      </c>
      <c r="B220" s="9">
        <v>8807.9</v>
      </c>
      <c r="C220" s="9">
        <v>8809.55</v>
      </c>
      <c r="D220" s="9">
        <v>8715.1</v>
      </c>
      <c r="E220" s="9">
        <v>8723.05</v>
      </c>
      <c r="F220" s="9">
        <v>1.69050086E8</v>
      </c>
      <c r="G220" s="47">
        <v>8518.5</v>
      </c>
    </row>
    <row r="221" ht="14.25" customHeight="1">
      <c r="A221" s="46">
        <v>42640.0</v>
      </c>
      <c r="B221" s="9">
        <v>8748.9</v>
      </c>
      <c r="C221" s="9">
        <v>8768.5</v>
      </c>
      <c r="D221" s="9">
        <v>8690.5</v>
      </c>
      <c r="E221" s="9">
        <v>8706.4</v>
      </c>
      <c r="F221" s="9">
        <v>1.56100521E8</v>
      </c>
      <c r="G221" s="47">
        <v>7446.12</v>
      </c>
    </row>
    <row r="222" ht="14.25" customHeight="1">
      <c r="A222" s="46">
        <v>42641.0</v>
      </c>
      <c r="B222" s="9">
        <v>8711.2</v>
      </c>
      <c r="C222" s="9">
        <v>8767.05</v>
      </c>
      <c r="D222" s="9">
        <v>8703.15</v>
      </c>
      <c r="E222" s="9">
        <v>8745.15</v>
      </c>
      <c r="F222" s="9">
        <v>1.70643694E8</v>
      </c>
      <c r="G222" s="47">
        <v>8348.19</v>
      </c>
    </row>
    <row r="223" ht="14.25" customHeight="1">
      <c r="A223" s="46">
        <v>42642.0</v>
      </c>
      <c r="B223" s="9">
        <v>8792.7</v>
      </c>
      <c r="C223" s="9">
        <v>8800.65</v>
      </c>
      <c r="D223" s="9">
        <v>8558.25</v>
      </c>
      <c r="E223" s="9">
        <v>8591.25</v>
      </c>
      <c r="F223" s="9">
        <v>3.84395249E8</v>
      </c>
      <c r="G223" s="47">
        <v>19467.3</v>
      </c>
    </row>
    <row r="224" ht="14.25" customHeight="1">
      <c r="A224" s="46">
        <v>42643.0</v>
      </c>
      <c r="B224" s="9">
        <v>8581.5</v>
      </c>
      <c r="C224" s="9">
        <v>8637.15</v>
      </c>
      <c r="D224" s="9">
        <v>8555.2</v>
      </c>
      <c r="E224" s="9">
        <v>8611.15</v>
      </c>
      <c r="F224" s="9">
        <v>1.87333285E8</v>
      </c>
      <c r="G224" s="47">
        <v>8849.27</v>
      </c>
    </row>
    <row r="225" ht="14.25" customHeight="1">
      <c r="A225" s="46">
        <v>42646.0</v>
      </c>
      <c r="B225" s="9">
        <v>8666.15</v>
      </c>
      <c r="C225" s="9">
        <v>8745.2</v>
      </c>
      <c r="D225" s="9">
        <v>8635.0</v>
      </c>
      <c r="E225" s="9">
        <v>8738.1</v>
      </c>
      <c r="F225" s="9">
        <v>1.41472076E8</v>
      </c>
      <c r="G225" s="47">
        <v>7173.62</v>
      </c>
    </row>
    <row r="226" ht="14.25" customHeight="1">
      <c r="A226" s="46">
        <v>42647.0</v>
      </c>
      <c r="B226" s="9">
        <v>8770.0</v>
      </c>
      <c r="C226" s="9">
        <v>8783.65</v>
      </c>
      <c r="D226" s="9">
        <v>8736.1</v>
      </c>
      <c r="E226" s="9">
        <v>8769.15</v>
      </c>
      <c r="F226" s="9">
        <v>1.89990151E8</v>
      </c>
      <c r="G226" s="47">
        <v>8251.59</v>
      </c>
    </row>
    <row r="227" ht="14.25" customHeight="1">
      <c r="A227" s="46">
        <v>42648.0</v>
      </c>
      <c r="B227" s="9">
        <v>8806.35</v>
      </c>
      <c r="C227" s="9">
        <v>8806.95</v>
      </c>
      <c r="D227" s="9">
        <v>8731.4</v>
      </c>
      <c r="E227" s="9">
        <v>8743.95</v>
      </c>
      <c r="F227" s="9">
        <v>1.62103951E8</v>
      </c>
      <c r="G227" s="47">
        <v>6866.33</v>
      </c>
    </row>
    <row r="228" ht="14.25" customHeight="1">
      <c r="A228" s="46">
        <v>42649.0</v>
      </c>
      <c r="B228" s="9">
        <v>8768.7</v>
      </c>
      <c r="C228" s="9">
        <v>8781.15</v>
      </c>
      <c r="D228" s="9">
        <v>8684.65</v>
      </c>
      <c r="E228" s="9">
        <v>8709.55</v>
      </c>
      <c r="F228" s="9">
        <v>1.68713605E8</v>
      </c>
      <c r="G228" s="47">
        <v>8114.93</v>
      </c>
    </row>
    <row r="229" ht="14.25" customHeight="1">
      <c r="A229" s="46">
        <v>42650.0</v>
      </c>
      <c r="B229" s="9">
        <v>8721.7</v>
      </c>
      <c r="C229" s="9">
        <v>8723.7</v>
      </c>
      <c r="D229" s="9">
        <v>8663.8</v>
      </c>
      <c r="E229" s="9">
        <v>8697.6</v>
      </c>
      <c r="F229" s="9">
        <v>1.550538E8</v>
      </c>
      <c r="G229" s="47">
        <v>8144.3</v>
      </c>
    </row>
    <row r="230" ht="14.25" customHeight="1">
      <c r="A230" s="46">
        <v>42653.0</v>
      </c>
      <c r="B230" s="9">
        <v>8735.35</v>
      </c>
      <c r="C230" s="9">
        <v>8745.8</v>
      </c>
      <c r="D230" s="9">
        <v>8703.95</v>
      </c>
      <c r="E230" s="9">
        <v>8708.8</v>
      </c>
      <c r="F230" s="9">
        <v>1.11794053E8</v>
      </c>
      <c r="G230" s="47">
        <v>5159.83</v>
      </c>
    </row>
    <row r="231" ht="14.25" customHeight="1">
      <c r="A231" s="46">
        <v>42656.0</v>
      </c>
      <c r="B231" s="9">
        <v>8671.5</v>
      </c>
      <c r="C231" s="9">
        <v>8681.55</v>
      </c>
      <c r="D231" s="9">
        <v>8541.35</v>
      </c>
      <c r="E231" s="9">
        <v>8573.35</v>
      </c>
      <c r="F231" s="9">
        <v>2.18861324E8</v>
      </c>
      <c r="G231" s="47">
        <v>10581.55</v>
      </c>
    </row>
    <row r="232" ht="14.25" customHeight="1">
      <c r="A232" s="46">
        <v>42657.0</v>
      </c>
      <c r="B232" s="9">
        <v>8594.0</v>
      </c>
      <c r="C232" s="9">
        <v>8604.45</v>
      </c>
      <c r="D232" s="9">
        <v>8549.8</v>
      </c>
      <c r="E232" s="9">
        <v>8583.4</v>
      </c>
      <c r="F232" s="9">
        <v>1.67848947E8</v>
      </c>
      <c r="G232" s="47">
        <v>9613.47</v>
      </c>
    </row>
    <row r="233" ht="14.25" customHeight="1">
      <c r="A233" s="46">
        <v>42660.0</v>
      </c>
      <c r="B233" s="9">
        <v>8612.95</v>
      </c>
      <c r="C233" s="9">
        <v>8615.4</v>
      </c>
      <c r="D233" s="9">
        <v>8506.15</v>
      </c>
      <c r="E233" s="9">
        <v>8520.4</v>
      </c>
      <c r="F233" s="9">
        <v>2.03516577E8</v>
      </c>
      <c r="G233" s="47">
        <v>8590.35</v>
      </c>
    </row>
    <row r="234" ht="14.25" customHeight="1">
      <c r="A234" s="46">
        <v>42661.0</v>
      </c>
      <c r="B234" s="9">
        <v>8556.05</v>
      </c>
      <c r="C234" s="9">
        <v>8685.1</v>
      </c>
      <c r="D234" s="9">
        <v>8555.9</v>
      </c>
      <c r="E234" s="9">
        <v>8677.9</v>
      </c>
      <c r="F234" s="9">
        <v>2.16626083E8</v>
      </c>
      <c r="G234" s="47">
        <v>9162.11</v>
      </c>
    </row>
    <row r="235" ht="14.25" customHeight="1">
      <c r="A235" s="46">
        <v>42662.0</v>
      </c>
      <c r="B235" s="9">
        <v>8697.5</v>
      </c>
      <c r="C235" s="9">
        <v>8698.75</v>
      </c>
      <c r="D235" s="9">
        <v>8636.7</v>
      </c>
      <c r="E235" s="9">
        <v>8659.1</v>
      </c>
      <c r="F235" s="9">
        <v>1.77397872E8</v>
      </c>
      <c r="G235" s="47">
        <v>7790.01</v>
      </c>
    </row>
    <row r="236" ht="14.25" customHeight="1">
      <c r="A236" s="46">
        <v>42663.0</v>
      </c>
      <c r="B236" s="9">
        <v>8693.35</v>
      </c>
      <c r="C236" s="9">
        <v>8727.0</v>
      </c>
      <c r="D236" s="9">
        <v>8678.3</v>
      </c>
      <c r="E236" s="9">
        <v>8699.4</v>
      </c>
      <c r="F236" s="9">
        <v>1.65952091E8</v>
      </c>
      <c r="G236" s="47">
        <v>7120.32</v>
      </c>
    </row>
    <row r="237" ht="14.25" customHeight="1">
      <c r="A237" s="46">
        <v>42664.0</v>
      </c>
      <c r="B237" s="9">
        <v>8708.6</v>
      </c>
      <c r="C237" s="9">
        <v>8709.1</v>
      </c>
      <c r="D237" s="9">
        <v>8652.05</v>
      </c>
      <c r="E237" s="9">
        <v>8693.05</v>
      </c>
      <c r="F237" s="9">
        <v>1.62162047E8</v>
      </c>
      <c r="G237" s="47">
        <v>8022.44</v>
      </c>
    </row>
    <row r="238" ht="14.25" customHeight="1">
      <c r="A238" s="46">
        <v>42667.0</v>
      </c>
      <c r="B238" s="9">
        <v>8709.85</v>
      </c>
      <c r="C238" s="9">
        <v>8736.95</v>
      </c>
      <c r="D238" s="9">
        <v>8684.15</v>
      </c>
      <c r="E238" s="9">
        <v>8708.95</v>
      </c>
      <c r="F238" s="9">
        <v>1.61966274E8</v>
      </c>
      <c r="G238" s="47">
        <v>6876.28</v>
      </c>
    </row>
    <row r="239" ht="14.25" customHeight="1">
      <c r="A239" s="46">
        <v>42668.0</v>
      </c>
      <c r="B239" s="9">
        <v>8721.7</v>
      </c>
      <c r="C239" s="9">
        <v>8722.65</v>
      </c>
      <c r="D239" s="9">
        <v>8663.45</v>
      </c>
      <c r="E239" s="9">
        <v>8691.3</v>
      </c>
      <c r="F239" s="9">
        <v>1.95696479E8</v>
      </c>
      <c r="G239" s="47">
        <v>8718.02</v>
      </c>
    </row>
    <row r="240" ht="14.25" customHeight="1">
      <c r="A240" s="46">
        <v>42669.0</v>
      </c>
      <c r="B240" s="9">
        <v>8657.3</v>
      </c>
      <c r="C240" s="9">
        <v>8657.3</v>
      </c>
      <c r="D240" s="9">
        <v>8596.6</v>
      </c>
      <c r="E240" s="9">
        <v>8615.25</v>
      </c>
      <c r="F240" s="9">
        <v>2.26133074E8</v>
      </c>
      <c r="G240" s="47">
        <v>9696.9</v>
      </c>
    </row>
    <row r="241" ht="14.25" customHeight="1">
      <c r="A241" s="46">
        <v>42670.0</v>
      </c>
      <c r="B241" s="9">
        <v>8607.1</v>
      </c>
      <c r="C241" s="9">
        <v>8624.85</v>
      </c>
      <c r="D241" s="9">
        <v>8550.25</v>
      </c>
      <c r="E241" s="9">
        <v>8615.25</v>
      </c>
      <c r="F241" s="9">
        <v>2.50336333E8</v>
      </c>
      <c r="G241" s="47">
        <v>12300.53</v>
      </c>
    </row>
    <row r="242" ht="14.25" customHeight="1">
      <c r="A242" s="46">
        <v>42671.0</v>
      </c>
      <c r="B242" s="9">
        <v>8625.0</v>
      </c>
      <c r="C242" s="9">
        <v>8653.75</v>
      </c>
      <c r="D242" s="9">
        <v>8581.75</v>
      </c>
      <c r="E242" s="9">
        <v>8638.0</v>
      </c>
      <c r="F242" s="9">
        <v>1.80906084E8</v>
      </c>
      <c r="G242" s="47">
        <v>8953.72</v>
      </c>
    </row>
    <row r="243" ht="14.25" customHeight="1">
      <c r="A243" s="46">
        <v>42673.0</v>
      </c>
      <c r="B243" s="9">
        <v>8672.35</v>
      </c>
      <c r="C243" s="9">
        <v>8678.25</v>
      </c>
      <c r="D243" s="9">
        <v>8616.25</v>
      </c>
      <c r="E243" s="9">
        <v>8625.7</v>
      </c>
      <c r="F243" s="9">
        <v>1.6610872E7</v>
      </c>
      <c r="G243" s="47">
        <v>805.89</v>
      </c>
    </row>
    <row r="244" ht="14.25" customHeight="1">
      <c r="A244" s="46">
        <v>42675.0</v>
      </c>
      <c r="B244" s="9">
        <v>8653.15</v>
      </c>
      <c r="C244" s="9">
        <v>8669.6</v>
      </c>
      <c r="D244" s="9">
        <v>8614.5</v>
      </c>
      <c r="E244" s="9">
        <v>8626.25</v>
      </c>
      <c r="F244" s="9">
        <v>1.70068995E8</v>
      </c>
      <c r="G244" s="47">
        <v>8441.3</v>
      </c>
    </row>
    <row r="245" ht="14.25" customHeight="1">
      <c r="A245" s="46">
        <v>42676.0</v>
      </c>
      <c r="B245" s="9">
        <v>8542.8</v>
      </c>
      <c r="C245" s="9">
        <v>8549.5</v>
      </c>
      <c r="D245" s="9">
        <v>8504.85</v>
      </c>
      <c r="E245" s="9">
        <v>8514.0</v>
      </c>
      <c r="F245" s="9">
        <v>1.6013048E8</v>
      </c>
      <c r="G245" s="47">
        <v>7683.07</v>
      </c>
    </row>
    <row r="246" ht="14.25" customHeight="1">
      <c r="A246" s="46">
        <v>42677.0</v>
      </c>
      <c r="B246" s="9">
        <v>8499.85</v>
      </c>
      <c r="C246" s="9">
        <v>8537.65</v>
      </c>
      <c r="D246" s="9">
        <v>8476.15</v>
      </c>
      <c r="E246" s="9">
        <v>8484.95</v>
      </c>
      <c r="F246" s="9">
        <v>1.75773254E8</v>
      </c>
      <c r="G246" s="47">
        <v>7558.06</v>
      </c>
    </row>
    <row r="247" ht="14.25" customHeight="1">
      <c r="A247" s="46">
        <v>42678.0</v>
      </c>
      <c r="B247" s="9">
        <v>8503.6</v>
      </c>
      <c r="C247" s="9">
        <v>8504.0</v>
      </c>
      <c r="D247" s="9">
        <v>8400.25</v>
      </c>
      <c r="E247" s="9">
        <v>8433.75</v>
      </c>
      <c r="F247" s="9">
        <v>2.31783152E8</v>
      </c>
      <c r="G247" s="47">
        <v>11798.48</v>
      </c>
    </row>
    <row r="248" ht="14.25" customHeight="1">
      <c r="A248" s="46">
        <v>42681.0</v>
      </c>
      <c r="B248" s="9">
        <v>8535.75</v>
      </c>
      <c r="C248" s="9">
        <v>8535.85</v>
      </c>
      <c r="D248" s="9">
        <v>8481.45</v>
      </c>
      <c r="E248" s="9">
        <v>8497.05</v>
      </c>
      <c r="F248" s="9">
        <v>1.78070534E8</v>
      </c>
      <c r="G248" s="47">
        <v>8436.7</v>
      </c>
    </row>
    <row r="249" ht="14.25" customHeight="1">
      <c r="A249" s="46">
        <v>42682.0</v>
      </c>
      <c r="B249" s="9">
        <v>8540.0</v>
      </c>
      <c r="C249" s="9">
        <v>8559.4</v>
      </c>
      <c r="D249" s="9">
        <v>8480.1</v>
      </c>
      <c r="E249" s="9">
        <v>8543.55</v>
      </c>
      <c r="F249" s="9">
        <v>2.01759648E8</v>
      </c>
      <c r="G249" s="47">
        <v>8515.57</v>
      </c>
    </row>
    <row r="250" ht="14.25" customHeight="1">
      <c r="A250" s="46">
        <v>42683.0</v>
      </c>
      <c r="B250" s="9">
        <v>8067.5</v>
      </c>
      <c r="C250" s="9">
        <v>8476.2</v>
      </c>
      <c r="D250" s="9">
        <v>8002.25</v>
      </c>
      <c r="E250" s="9">
        <v>8432.0</v>
      </c>
      <c r="F250" s="9">
        <v>3.23968654E8</v>
      </c>
      <c r="G250" s="47">
        <v>15536.37</v>
      </c>
    </row>
    <row r="251" ht="14.25" customHeight="1">
      <c r="A251" s="46">
        <v>42684.0</v>
      </c>
      <c r="B251" s="9">
        <v>8555.6</v>
      </c>
      <c r="C251" s="9">
        <v>8598.45</v>
      </c>
      <c r="D251" s="9">
        <v>8510.7</v>
      </c>
      <c r="E251" s="9">
        <v>8525.75</v>
      </c>
      <c r="F251" s="9">
        <v>2.7119693E8</v>
      </c>
      <c r="G251" s="47">
        <v>12386.39</v>
      </c>
    </row>
    <row r="252" ht="14.25" customHeight="1">
      <c r="A252" s="46">
        <v>42685.0</v>
      </c>
      <c r="B252" s="9">
        <v>8456.65</v>
      </c>
      <c r="C252" s="9">
        <v>8460.6</v>
      </c>
      <c r="D252" s="9">
        <v>8284.95</v>
      </c>
      <c r="E252" s="9">
        <v>8296.3</v>
      </c>
      <c r="F252" s="9">
        <v>2.75221694E8</v>
      </c>
      <c r="G252" s="47">
        <v>12485.11</v>
      </c>
    </row>
    <row r="253" ht="14.25" customHeight="1">
      <c r="A253" s="46">
        <v>42689.0</v>
      </c>
      <c r="B253" s="9">
        <v>8284.85</v>
      </c>
      <c r="C253" s="9">
        <v>8288.55</v>
      </c>
      <c r="D253" s="9">
        <v>8093.2</v>
      </c>
      <c r="E253" s="9">
        <v>8108.45</v>
      </c>
      <c r="F253" s="9">
        <v>3.70298063E8</v>
      </c>
      <c r="G253" s="47">
        <v>17387.22</v>
      </c>
    </row>
    <row r="254" ht="14.25" customHeight="1">
      <c r="A254" s="46">
        <v>42690.0</v>
      </c>
      <c r="B254" s="9">
        <v>8205.65</v>
      </c>
      <c r="C254" s="9">
        <v>8210.05</v>
      </c>
      <c r="D254" s="9">
        <v>8089.4</v>
      </c>
      <c r="E254" s="9">
        <v>8111.6</v>
      </c>
      <c r="F254" s="9">
        <v>2.77801233E8</v>
      </c>
      <c r="G254" s="47">
        <v>13705.03</v>
      </c>
    </row>
    <row r="255" ht="14.25" customHeight="1">
      <c r="A255" s="46">
        <v>42691.0</v>
      </c>
      <c r="B255" s="9">
        <v>8105.1</v>
      </c>
      <c r="C255" s="9">
        <v>8151.25</v>
      </c>
      <c r="D255" s="9">
        <v>8060.3</v>
      </c>
      <c r="E255" s="9">
        <v>8079.95</v>
      </c>
      <c r="F255" s="9">
        <v>1.97183084E8</v>
      </c>
      <c r="G255" s="47">
        <v>8713.06</v>
      </c>
    </row>
    <row r="256" ht="14.25" customHeight="1">
      <c r="A256" s="46">
        <v>42692.0</v>
      </c>
      <c r="B256" s="9">
        <v>8097.55</v>
      </c>
      <c r="C256" s="9">
        <v>8128.95</v>
      </c>
      <c r="D256" s="9">
        <v>8048.3</v>
      </c>
      <c r="E256" s="9">
        <v>8074.1</v>
      </c>
      <c r="F256" s="9">
        <v>1.66199545E8</v>
      </c>
      <c r="G256" s="47">
        <v>7901.64</v>
      </c>
    </row>
    <row r="257" ht="14.25" customHeight="1">
      <c r="A257" s="46">
        <v>42695.0</v>
      </c>
      <c r="B257" s="9">
        <v>8102.1</v>
      </c>
      <c r="C257" s="9">
        <v>8102.45</v>
      </c>
      <c r="D257" s="9">
        <v>7916.4</v>
      </c>
      <c r="E257" s="9">
        <v>7929.1</v>
      </c>
      <c r="F257" s="9">
        <v>2.25608889E8</v>
      </c>
      <c r="G257" s="47">
        <v>9199.11</v>
      </c>
    </row>
    <row r="258" ht="14.25" customHeight="1">
      <c r="A258" s="46">
        <v>42696.0</v>
      </c>
      <c r="B258" s="9">
        <v>7989.15</v>
      </c>
      <c r="C258" s="9">
        <v>8019.05</v>
      </c>
      <c r="D258" s="9">
        <v>7938.15</v>
      </c>
      <c r="E258" s="9">
        <v>8002.3</v>
      </c>
      <c r="F258" s="9">
        <v>2.16677654E8</v>
      </c>
      <c r="G258" s="47">
        <v>9000.44</v>
      </c>
    </row>
    <row r="259" ht="14.25" customHeight="1">
      <c r="A259" s="46">
        <v>42697.0</v>
      </c>
      <c r="B259" s="9">
        <v>8051.2</v>
      </c>
      <c r="C259" s="9">
        <v>8055.2</v>
      </c>
      <c r="D259" s="9">
        <v>7973.1</v>
      </c>
      <c r="E259" s="9">
        <v>8033.3</v>
      </c>
      <c r="F259" s="9">
        <v>1.86602328E8</v>
      </c>
      <c r="G259" s="47">
        <v>8681.67</v>
      </c>
    </row>
    <row r="260" ht="14.25" customHeight="1">
      <c r="A260" s="46">
        <v>42698.0</v>
      </c>
      <c r="B260" s="9">
        <v>8011.8</v>
      </c>
      <c r="C260" s="9">
        <v>8024.85</v>
      </c>
      <c r="D260" s="9">
        <v>7952.55</v>
      </c>
      <c r="E260" s="9">
        <v>7965.5</v>
      </c>
      <c r="F260" s="9">
        <v>2.68619026E8</v>
      </c>
      <c r="G260" s="47">
        <v>11868.11</v>
      </c>
    </row>
    <row r="261" ht="14.25" customHeight="1">
      <c r="A261" s="46">
        <v>42699.0</v>
      </c>
      <c r="B261" s="9">
        <v>8007.95</v>
      </c>
      <c r="C261" s="9">
        <v>8122.25</v>
      </c>
      <c r="D261" s="9">
        <v>7976.75</v>
      </c>
      <c r="E261" s="9">
        <v>8114.3</v>
      </c>
      <c r="F261" s="9">
        <v>1.83355873E8</v>
      </c>
      <c r="G261" s="47">
        <v>8920.79</v>
      </c>
    </row>
    <row r="262" ht="14.25" customHeight="1">
      <c r="A262" s="46">
        <v>42702.0</v>
      </c>
      <c r="B262" s="9">
        <v>8080.65</v>
      </c>
      <c r="C262" s="9">
        <v>8146.5</v>
      </c>
      <c r="D262" s="9">
        <v>8066.5</v>
      </c>
      <c r="E262" s="9">
        <v>8126.9</v>
      </c>
      <c r="F262" s="9">
        <v>1.95595287E8</v>
      </c>
      <c r="G262" s="47">
        <v>8666.87</v>
      </c>
    </row>
    <row r="263" ht="14.25" customHeight="1">
      <c r="A263" s="46">
        <v>42703.0</v>
      </c>
      <c r="B263" s="9">
        <v>8131.55</v>
      </c>
      <c r="C263" s="9">
        <v>8197.35</v>
      </c>
      <c r="D263" s="9">
        <v>8128.7</v>
      </c>
      <c r="E263" s="9">
        <v>8142.15</v>
      </c>
      <c r="F263" s="9">
        <v>1.95618384E8</v>
      </c>
      <c r="G263" s="47">
        <v>8486.32</v>
      </c>
    </row>
    <row r="264" ht="14.25" customHeight="1">
      <c r="A264" s="46">
        <v>42704.0</v>
      </c>
      <c r="B264" s="9">
        <v>8172.15</v>
      </c>
      <c r="C264" s="9">
        <v>8234.25</v>
      </c>
      <c r="D264" s="9">
        <v>8139.25</v>
      </c>
      <c r="E264" s="9">
        <v>8224.5</v>
      </c>
      <c r="F264" s="9">
        <v>2.55725357E8</v>
      </c>
      <c r="G264" s="47">
        <v>14473.78</v>
      </c>
    </row>
    <row r="265" ht="14.25" customHeight="1">
      <c r="A265" s="46">
        <v>42705.0</v>
      </c>
      <c r="B265" s="9">
        <v>8244.0</v>
      </c>
      <c r="C265" s="9">
        <v>8250.8</v>
      </c>
      <c r="D265" s="9">
        <v>8185.05</v>
      </c>
      <c r="E265" s="9">
        <v>8192.9</v>
      </c>
      <c r="F265" s="9">
        <v>1.62597213E8</v>
      </c>
      <c r="G265" s="47">
        <v>7720.96</v>
      </c>
    </row>
    <row r="266" ht="14.25" customHeight="1">
      <c r="A266" s="46">
        <v>42706.0</v>
      </c>
      <c r="B266" s="9">
        <v>8153.55</v>
      </c>
      <c r="C266" s="9">
        <v>8159.3</v>
      </c>
      <c r="D266" s="9">
        <v>8070.05</v>
      </c>
      <c r="E266" s="9">
        <v>8086.8</v>
      </c>
      <c r="F266" s="9">
        <v>1.76767415E8</v>
      </c>
      <c r="G266" s="47">
        <v>8050.5</v>
      </c>
    </row>
    <row r="267" ht="14.25" customHeight="1">
      <c r="A267" s="46">
        <v>42709.0</v>
      </c>
      <c r="B267" s="9">
        <v>8088.75</v>
      </c>
      <c r="C267" s="9">
        <v>8141.9</v>
      </c>
      <c r="D267" s="9">
        <v>8056.85</v>
      </c>
      <c r="E267" s="9">
        <v>8128.75</v>
      </c>
      <c r="F267" s="9">
        <v>1.30435865E8</v>
      </c>
      <c r="G267" s="47">
        <v>6432.02</v>
      </c>
    </row>
    <row r="268" ht="14.25" customHeight="1">
      <c r="A268" s="46">
        <v>42710.0</v>
      </c>
      <c r="B268" s="9">
        <v>8153.15</v>
      </c>
      <c r="C268" s="9">
        <v>8178.7</v>
      </c>
      <c r="D268" s="9">
        <v>8130.85</v>
      </c>
      <c r="E268" s="9">
        <v>8143.15</v>
      </c>
      <c r="F268" s="9">
        <v>1.18854323E8</v>
      </c>
      <c r="G268" s="47">
        <v>5417.56</v>
      </c>
    </row>
    <row r="269" ht="14.25" customHeight="1">
      <c r="A269" s="46">
        <v>42711.0</v>
      </c>
      <c r="B269" s="9">
        <v>8168.4</v>
      </c>
      <c r="C269" s="9">
        <v>8190.45</v>
      </c>
      <c r="D269" s="9">
        <v>8077.5</v>
      </c>
      <c r="E269" s="9">
        <v>8102.05</v>
      </c>
      <c r="F269" s="9">
        <v>1.75024334E8</v>
      </c>
      <c r="G269" s="47">
        <v>7900.03</v>
      </c>
    </row>
    <row r="270" ht="14.25" customHeight="1">
      <c r="A270" s="46">
        <v>42712.0</v>
      </c>
      <c r="B270" s="9">
        <v>8152.1</v>
      </c>
      <c r="C270" s="9">
        <v>8256.25</v>
      </c>
      <c r="D270" s="9">
        <v>8151.75</v>
      </c>
      <c r="E270" s="9">
        <v>8246.85</v>
      </c>
      <c r="F270" s="9">
        <v>1.46857616E8</v>
      </c>
      <c r="G270" s="47">
        <v>7275.01</v>
      </c>
    </row>
    <row r="271" ht="14.25" customHeight="1">
      <c r="A271" s="46">
        <v>42713.0</v>
      </c>
      <c r="B271" s="9">
        <v>8271.7</v>
      </c>
      <c r="C271" s="9">
        <v>8274.95</v>
      </c>
      <c r="D271" s="9">
        <v>8241.95</v>
      </c>
      <c r="E271" s="9">
        <v>8261.75</v>
      </c>
      <c r="F271" s="9">
        <v>1.54344775E8</v>
      </c>
      <c r="G271" s="47">
        <v>6866.81</v>
      </c>
    </row>
    <row r="272" ht="14.25" customHeight="1">
      <c r="A272" s="46">
        <v>42716.0</v>
      </c>
      <c r="B272" s="9">
        <v>8230.65</v>
      </c>
      <c r="C272" s="9">
        <v>8230.65</v>
      </c>
      <c r="D272" s="9">
        <v>8154.45</v>
      </c>
      <c r="E272" s="9">
        <v>8170.8</v>
      </c>
      <c r="F272" s="9">
        <v>1.11432551E8</v>
      </c>
      <c r="G272" s="47">
        <v>5026.02</v>
      </c>
    </row>
    <row r="273" ht="14.25" customHeight="1">
      <c r="A273" s="46">
        <v>42717.0</v>
      </c>
      <c r="B273" s="9">
        <v>8196.15</v>
      </c>
      <c r="C273" s="9">
        <v>8228.85</v>
      </c>
      <c r="D273" s="9">
        <v>8155.8</v>
      </c>
      <c r="E273" s="9">
        <v>8221.8</v>
      </c>
      <c r="F273" s="9">
        <v>1.89739559E8</v>
      </c>
      <c r="G273" s="47">
        <v>8976.54</v>
      </c>
    </row>
    <row r="274" ht="14.25" customHeight="1">
      <c r="A274" s="46">
        <v>42718.0</v>
      </c>
      <c r="B274" s="9">
        <v>8229.35</v>
      </c>
      <c r="C274" s="9">
        <v>8229.4</v>
      </c>
      <c r="D274" s="9">
        <v>8165.1</v>
      </c>
      <c r="E274" s="9">
        <v>8182.45</v>
      </c>
      <c r="F274" s="9">
        <v>1.4913252E8</v>
      </c>
      <c r="G274" s="47">
        <v>6763.63</v>
      </c>
    </row>
    <row r="275" ht="14.25" customHeight="1">
      <c r="A275" s="46">
        <v>42719.0</v>
      </c>
      <c r="B275" s="9">
        <v>8128.4</v>
      </c>
      <c r="C275" s="9">
        <v>8225.9</v>
      </c>
      <c r="D275" s="9">
        <v>8121.95</v>
      </c>
      <c r="E275" s="9">
        <v>8153.6</v>
      </c>
      <c r="F275" s="9">
        <v>1.87425988E8</v>
      </c>
      <c r="G275" s="47">
        <v>8579.44</v>
      </c>
    </row>
    <row r="276" ht="14.25" customHeight="1">
      <c r="A276" s="46">
        <v>42720.0</v>
      </c>
      <c r="B276" s="9">
        <v>8178.2</v>
      </c>
      <c r="C276" s="9">
        <v>8178.7</v>
      </c>
      <c r="D276" s="9">
        <v>8127.45</v>
      </c>
      <c r="E276" s="9">
        <v>8139.45</v>
      </c>
      <c r="F276" s="9">
        <v>2.09268331E8</v>
      </c>
      <c r="G276" s="47">
        <v>9854.07</v>
      </c>
    </row>
    <row r="277" ht="14.25" customHeight="1">
      <c r="A277" s="46">
        <v>42723.0</v>
      </c>
      <c r="B277" s="9">
        <v>8126.0</v>
      </c>
      <c r="C277" s="9">
        <v>8132.5</v>
      </c>
      <c r="D277" s="9">
        <v>8094.85</v>
      </c>
      <c r="E277" s="9">
        <v>8104.35</v>
      </c>
      <c r="F277" s="9">
        <v>1.10669713E8</v>
      </c>
      <c r="G277" s="47">
        <v>5272.2</v>
      </c>
    </row>
    <row r="278" ht="14.25" customHeight="1">
      <c r="A278" s="46">
        <v>42724.0</v>
      </c>
      <c r="B278" s="9">
        <v>8110.6</v>
      </c>
      <c r="C278" s="9">
        <v>8124.1</v>
      </c>
      <c r="D278" s="9">
        <v>8062.75</v>
      </c>
      <c r="E278" s="9">
        <v>8082.4</v>
      </c>
      <c r="F278" s="9">
        <v>1.32026742E8</v>
      </c>
      <c r="G278" s="47">
        <v>6296.67</v>
      </c>
    </row>
    <row r="279" ht="14.25" customHeight="1">
      <c r="A279" s="46">
        <v>42725.0</v>
      </c>
      <c r="B279" s="9">
        <v>8105.85</v>
      </c>
      <c r="C279" s="9">
        <v>8112.55</v>
      </c>
      <c r="D279" s="9">
        <v>8053.25</v>
      </c>
      <c r="E279" s="9">
        <v>8061.3</v>
      </c>
      <c r="F279" s="9">
        <v>1.27543733E8</v>
      </c>
      <c r="G279" s="47">
        <v>6304.6</v>
      </c>
    </row>
    <row r="280" ht="14.25" customHeight="1">
      <c r="A280" s="46">
        <v>42726.0</v>
      </c>
      <c r="B280" s="9">
        <v>8043.85</v>
      </c>
      <c r="C280" s="9">
        <v>8046.45</v>
      </c>
      <c r="D280" s="9">
        <v>7964.95</v>
      </c>
      <c r="E280" s="9">
        <v>7979.1</v>
      </c>
      <c r="F280" s="9">
        <v>1.2640958E8</v>
      </c>
      <c r="G280" s="47">
        <v>6206.58</v>
      </c>
    </row>
    <row r="281" ht="14.25" customHeight="1">
      <c r="A281" s="46">
        <v>42727.0</v>
      </c>
      <c r="B281" s="9">
        <v>7972.5</v>
      </c>
      <c r="C281" s="9">
        <v>8022.6</v>
      </c>
      <c r="D281" s="9">
        <v>7942.05</v>
      </c>
      <c r="E281" s="9">
        <v>7985.75</v>
      </c>
      <c r="F281" s="9">
        <v>1.27921701E8</v>
      </c>
      <c r="G281" s="47">
        <v>5907.28</v>
      </c>
    </row>
    <row r="282" ht="14.25" customHeight="1">
      <c r="A282" s="46">
        <v>42730.0</v>
      </c>
      <c r="B282" s="9">
        <v>7965.1</v>
      </c>
      <c r="C282" s="9">
        <v>7970.05</v>
      </c>
      <c r="D282" s="9">
        <v>7893.8</v>
      </c>
      <c r="E282" s="9">
        <v>7908.25</v>
      </c>
      <c r="F282" s="9">
        <v>1.10171222E8</v>
      </c>
      <c r="G282" s="47">
        <v>4808.67</v>
      </c>
    </row>
    <row r="283" ht="14.25" customHeight="1">
      <c r="A283" s="46">
        <v>42731.0</v>
      </c>
      <c r="B283" s="9">
        <v>7915.05</v>
      </c>
      <c r="C283" s="9">
        <v>8044.65</v>
      </c>
      <c r="D283" s="9">
        <v>7903.7</v>
      </c>
      <c r="E283" s="9">
        <v>8032.85</v>
      </c>
      <c r="F283" s="9">
        <v>1.22463312E8</v>
      </c>
      <c r="G283" s="47">
        <v>5282.66</v>
      </c>
    </row>
    <row r="284" ht="14.25" customHeight="1">
      <c r="A284" s="46">
        <v>42732.0</v>
      </c>
      <c r="B284" s="9">
        <v>8047.55</v>
      </c>
      <c r="C284" s="9">
        <v>8100.55</v>
      </c>
      <c r="D284" s="9">
        <v>8028.4</v>
      </c>
      <c r="E284" s="9">
        <v>8034.85</v>
      </c>
      <c r="F284" s="9">
        <v>1.30580701E8</v>
      </c>
      <c r="G284" s="47">
        <v>5816.34</v>
      </c>
    </row>
    <row r="285" ht="14.25" customHeight="1">
      <c r="A285" s="46">
        <v>42733.0</v>
      </c>
      <c r="B285" s="9">
        <v>8030.6</v>
      </c>
      <c r="C285" s="9">
        <v>8111.1</v>
      </c>
      <c r="D285" s="9">
        <v>8020.8</v>
      </c>
      <c r="E285" s="9">
        <v>8103.6</v>
      </c>
      <c r="F285" s="9">
        <v>1.83984077E8</v>
      </c>
      <c r="G285" s="47">
        <v>7635.4</v>
      </c>
    </row>
    <row r="286" ht="14.25" customHeight="1">
      <c r="A286" s="46">
        <v>42734.0</v>
      </c>
      <c r="B286" s="9">
        <v>8119.65</v>
      </c>
      <c r="C286" s="9">
        <v>8197.0</v>
      </c>
      <c r="D286" s="9">
        <v>8114.75</v>
      </c>
      <c r="E286" s="9">
        <v>8185.8</v>
      </c>
      <c r="F286" s="9">
        <v>1.3145725E8</v>
      </c>
      <c r="G286" s="47">
        <v>5800.7</v>
      </c>
    </row>
    <row r="287" ht="14.25" customHeight="1">
      <c r="A287" s="46">
        <v>42737.0</v>
      </c>
      <c r="B287" s="9">
        <v>8210.1</v>
      </c>
      <c r="C287" s="9">
        <v>8212.0</v>
      </c>
      <c r="D287" s="9">
        <v>8133.8</v>
      </c>
      <c r="E287" s="9">
        <v>8179.5</v>
      </c>
      <c r="F287" s="9">
        <v>1.22016111E8</v>
      </c>
      <c r="G287" s="47">
        <v>5255.49</v>
      </c>
    </row>
    <row r="288" ht="14.25" customHeight="1">
      <c r="A288" s="46">
        <v>42738.0</v>
      </c>
      <c r="B288" s="9">
        <v>8196.05</v>
      </c>
      <c r="C288" s="9">
        <v>8219.1</v>
      </c>
      <c r="D288" s="9">
        <v>8148.6</v>
      </c>
      <c r="E288" s="9">
        <v>8192.25</v>
      </c>
      <c r="F288" s="9">
        <v>1.31186021E8</v>
      </c>
      <c r="G288" s="47">
        <v>6053.67</v>
      </c>
    </row>
    <row r="289" ht="14.25" customHeight="1">
      <c r="A289" s="46">
        <v>42739.0</v>
      </c>
      <c r="B289" s="9">
        <v>8202.65</v>
      </c>
      <c r="C289" s="9">
        <v>8218.5</v>
      </c>
      <c r="D289" s="9">
        <v>8180.9</v>
      </c>
      <c r="E289" s="9">
        <v>8190.5</v>
      </c>
      <c r="F289" s="9">
        <v>1.36476345E8</v>
      </c>
      <c r="G289" s="47">
        <v>6543.13</v>
      </c>
    </row>
    <row r="290" ht="14.25" customHeight="1">
      <c r="A290" s="46">
        <v>42740.0</v>
      </c>
      <c r="B290" s="9">
        <v>8226.65</v>
      </c>
      <c r="C290" s="9">
        <v>8282.65</v>
      </c>
      <c r="D290" s="9">
        <v>8223.7</v>
      </c>
      <c r="E290" s="9">
        <v>8273.8</v>
      </c>
      <c r="F290" s="9">
        <v>1.63957452E8</v>
      </c>
      <c r="G290" s="47">
        <v>8180.68</v>
      </c>
    </row>
    <row r="291" ht="14.25" customHeight="1">
      <c r="A291" s="46">
        <v>42741.0</v>
      </c>
      <c r="B291" s="9">
        <v>8281.85</v>
      </c>
      <c r="C291" s="9">
        <v>8306.85</v>
      </c>
      <c r="D291" s="9">
        <v>8233.25</v>
      </c>
      <c r="E291" s="9">
        <v>8243.8</v>
      </c>
      <c r="F291" s="9">
        <v>1.4368985E8</v>
      </c>
      <c r="G291" s="47">
        <v>7298.74</v>
      </c>
    </row>
    <row r="292" ht="14.25" customHeight="1">
      <c r="A292" s="46">
        <v>42744.0</v>
      </c>
      <c r="B292" s="9">
        <v>8259.35</v>
      </c>
      <c r="C292" s="9">
        <v>8263.0</v>
      </c>
      <c r="D292" s="9">
        <v>8227.75</v>
      </c>
      <c r="E292" s="9">
        <v>8236.05</v>
      </c>
      <c r="F292" s="9">
        <v>1.0221119E8</v>
      </c>
      <c r="G292" s="47">
        <v>5197.62</v>
      </c>
    </row>
    <row r="293" ht="14.25" customHeight="1">
      <c r="A293" s="46">
        <v>42745.0</v>
      </c>
      <c r="B293" s="9">
        <v>8262.7</v>
      </c>
      <c r="C293" s="9">
        <v>8293.8</v>
      </c>
      <c r="D293" s="9">
        <v>8261.0</v>
      </c>
      <c r="E293" s="9">
        <v>8288.6</v>
      </c>
      <c r="F293" s="9">
        <v>1.47312927E8</v>
      </c>
      <c r="G293" s="47">
        <v>6904.57</v>
      </c>
    </row>
    <row r="294" ht="14.25" customHeight="1">
      <c r="A294" s="46">
        <v>42746.0</v>
      </c>
      <c r="B294" s="9">
        <v>8327.8</v>
      </c>
      <c r="C294" s="9">
        <v>8389.0</v>
      </c>
      <c r="D294" s="9">
        <v>8322.25</v>
      </c>
      <c r="E294" s="9">
        <v>8380.65</v>
      </c>
      <c r="F294" s="9">
        <v>1.92285417E8</v>
      </c>
      <c r="G294" s="47">
        <v>8938.68</v>
      </c>
    </row>
    <row r="295" ht="14.25" customHeight="1">
      <c r="A295" s="46">
        <v>42747.0</v>
      </c>
      <c r="B295" s="9">
        <v>8391.05</v>
      </c>
      <c r="C295" s="9">
        <v>8417.2</v>
      </c>
      <c r="D295" s="9">
        <v>8382.3</v>
      </c>
      <c r="E295" s="9">
        <v>8407.2</v>
      </c>
      <c r="F295" s="9">
        <v>1.77948383E8</v>
      </c>
      <c r="G295" s="47">
        <v>7359.24</v>
      </c>
    </row>
    <row r="296" ht="14.25" customHeight="1">
      <c r="A296" s="46">
        <v>42748.0</v>
      </c>
      <c r="B296" s="9">
        <v>8457.65</v>
      </c>
      <c r="C296" s="9">
        <v>8461.05</v>
      </c>
      <c r="D296" s="9">
        <v>8373.15</v>
      </c>
      <c r="E296" s="9">
        <v>8400.35</v>
      </c>
      <c r="F296" s="9">
        <v>1.90949616E8</v>
      </c>
      <c r="G296" s="47">
        <v>9156.16</v>
      </c>
    </row>
    <row r="297" ht="14.25" customHeight="1">
      <c r="A297" s="46">
        <v>42751.0</v>
      </c>
      <c r="B297" s="9">
        <v>8390.95</v>
      </c>
      <c r="C297" s="9">
        <v>8426.7</v>
      </c>
      <c r="D297" s="9">
        <v>8374.4</v>
      </c>
      <c r="E297" s="9">
        <v>8412.8</v>
      </c>
      <c r="F297" s="9">
        <v>1.27938836E8</v>
      </c>
      <c r="G297" s="47">
        <v>6043.67</v>
      </c>
    </row>
    <row r="298" ht="14.25" customHeight="1">
      <c r="A298" s="46">
        <v>42752.0</v>
      </c>
      <c r="B298" s="9">
        <v>8415.05</v>
      </c>
      <c r="C298" s="9">
        <v>8440.9</v>
      </c>
      <c r="D298" s="9">
        <v>8378.3</v>
      </c>
      <c r="E298" s="9">
        <v>8398.0</v>
      </c>
      <c r="F298" s="9">
        <v>1.25781216E8</v>
      </c>
      <c r="G298" s="47">
        <v>6389.21</v>
      </c>
    </row>
    <row r="299" ht="14.25" customHeight="1">
      <c r="A299" s="46">
        <v>42753.0</v>
      </c>
      <c r="B299" s="9">
        <v>8403.85</v>
      </c>
      <c r="C299" s="9">
        <v>8460.3</v>
      </c>
      <c r="D299" s="9">
        <v>8397.4</v>
      </c>
      <c r="E299" s="9">
        <v>8417.0</v>
      </c>
      <c r="F299" s="9">
        <v>1.68867039E8</v>
      </c>
      <c r="G299" s="47">
        <v>7411.23</v>
      </c>
    </row>
    <row r="300" ht="14.25" customHeight="1">
      <c r="A300" s="46">
        <v>42754.0</v>
      </c>
      <c r="B300" s="9">
        <v>8418.4</v>
      </c>
      <c r="C300" s="9">
        <v>8445.15</v>
      </c>
      <c r="D300" s="9">
        <v>8404.05</v>
      </c>
      <c r="E300" s="9">
        <v>8435.1</v>
      </c>
      <c r="F300" s="9">
        <v>1.70956149E8</v>
      </c>
      <c r="G300" s="47">
        <v>7324.14</v>
      </c>
    </row>
    <row r="301" ht="14.25" customHeight="1">
      <c r="A301" s="46">
        <v>42755.0</v>
      </c>
      <c r="B301" s="9">
        <v>8404.35</v>
      </c>
      <c r="C301" s="9">
        <v>8423.65</v>
      </c>
      <c r="D301" s="9">
        <v>8340.95</v>
      </c>
      <c r="E301" s="9">
        <v>8349.35</v>
      </c>
      <c r="F301" s="9">
        <v>2.08901233E8</v>
      </c>
      <c r="G301" s="47">
        <v>9014.51</v>
      </c>
    </row>
    <row r="302" ht="14.25" customHeight="1">
      <c r="A302" s="46">
        <v>42758.0</v>
      </c>
      <c r="B302" s="9">
        <v>8329.6</v>
      </c>
      <c r="C302" s="9">
        <v>8404.15</v>
      </c>
      <c r="D302" s="9">
        <v>8327.2</v>
      </c>
      <c r="E302" s="9">
        <v>8391.5</v>
      </c>
      <c r="F302" s="9">
        <v>2.009931E8</v>
      </c>
      <c r="G302" s="47">
        <v>8664.94</v>
      </c>
    </row>
    <row r="303" ht="14.25" customHeight="1">
      <c r="A303" s="46">
        <v>42759.0</v>
      </c>
      <c r="B303" s="9">
        <v>8407.05</v>
      </c>
      <c r="C303" s="9">
        <v>8480.95</v>
      </c>
      <c r="D303" s="9">
        <v>8398.15</v>
      </c>
      <c r="E303" s="9">
        <v>8475.8</v>
      </c>
      <c r="F303" s="9">
        <v>1.84745781E8</v>
      </c>
      <c r="G303" s="47">
        <v>8524.17</v>
      </c>
    </row>
    <row r="304" ht="14.25" customHeight="1">
      <c r="A304" s="46">
        <v>42760.0</v>
      </c>
      <c r="B304" s="9">
        <v>8499.45</v>
      </c>
      <c r="C304" s="9">
        <v>8612.6</v>
      </c>
      <c r="D304" s="9">
        <v>8493.95</v>
      </c>
      <c r="E304" s="9">
        <v>8602.75</v>
      </c>
      <c r="F304" s="9">
        <v>3.0149015E8</v>
      </c>
      <c r="G304" s="47">
        <v>13901.89</v>
      </c>
    </row>
    <row r="305" ht="14.25" customHeight="1">
      <c r="A305" s="46">
        <v>42762.0</v>
      </c>
      <c r="B305" s="9">
        <v>8610.5</v>
      </c>
      <c r="C305" s="9">
        <v>8672.7</v>
      </c>
      <c r="D305" s="9">
        <v>8606.9</v>
      </c>
      <c r="E305" s="9">
        <v>8641.25</v>
      </c>
      <c r="F305" s="9">
        <v>2.83905821E8</v>
      </c>
      <c r="G305" s="47">
        <v>11568.92</v>
      </c>
    </row>
    <row r="306" ht="14.25" customHeight="1">
      <c r="A306" s="46">
        <v>42765.0</v>
      </c>
      <c r="B306" s="9">
        <v>8635.55</v>
      </c>
      <c r="C306" s="9">
        <v>8662.6</v>
      </c>
      <c r="D306" s="9">
        <v>8617.75</v>
      </c>
      <c r="E306" s="9">
        <v>8632.75</v>
      </c>
      <c r="F306" s="9">
        <v>3.1411076E8</v>
      </c>
      <c r="G306" s="47">
        <v>9333.49</v>
      </c>
    </row>
    <row r="307" ht="14.25" customHeight="1">
      <c r="A307" s="46">
        <v>42766.0</v>
      </c>
      <c r="B307" s="9">
        <v>8629.45</v>
      </c>
      <c r="C307" s="9">
        <v>8631.75</v>
      </c>
      <c r="D307" s="9">
        <v>8552.4</v>
      </c>
      <c r="E307" s="9">
        <v>8561.3</v>
      </c>
      <c r="F307" s="9">
        <v>5.37110119E8</v>
      </c>
      <c r="G307" s="47">
        <v>14721.17</v>
      </c>
    </row>
    <row r="308" ht="14.25" customHeight="1">
      <c r="A308" s="46">
        <v>42767.0</v>
      </c>
      <c r="B308" s="9">
        <v>8570.35</v>
      </c>
      <c r="C308" s="9">
        <v>8722.4</v>
      </c>
      <c r="D308" s="9">
        <v>8537.5</v>
      </c>
      <c r="E308" s="9">
        <v>8716.4</v>
      </c>
      <c r="F308" s="9">
        <v>3.37797412E8</v>
      </c>
      <c r="G308" s="47">
        <v>13494.05</v>
      </c>
    </row>
    <row r="309" ht="14.25" customHeight="1">
      <c r="A309" s="46">
        <v>42768.0</v>
      </c>
      <c r="B309" s="9">
        <v>8724.75</v>
      </c>
      <c r="C309" s="9">
        <v>8757.6</v>
      </c>
      <c r="D309" s="9">
        <v>8685.8</v>
      </c>
      <c r="E309" s="9">
        <v>8734.25</v>
      </c>
      <c r="F309" s="9">
        <v>2.92329202E8</v>
      </c>
      <c r="G309" s="47">
        <v>11555.02</v>
      </c>
    </row>
    <row r="310" ht="14.25" customHeight="1">
      <c r="A310" s="46">
        <v>42769.0</v>
      </c>
      <c r="B310" s="9">
        <v>8735.15</v>
      </c>
      <c r="C310" s="9">
        <v>8748.25</v>
      </c>
      <c r="D310" s="9">
        <v>8707.75</v>
      </c>
      <c r="E310" s="9">
        <v>8740.95</v>
      </c>
      <c r="F310" s="9">
        <v>1.96936238E8</v>
      </c>
      <c r="G310" s="47">
        <v>8193.45</v>
      </c>
    </row>
    <row r="311" ht="14.25" customHeight="1">
      <c r="A311" s="46">
        <v>42772.0</v>
      </c>
      <c r="B311" s="9">
        <v>8785.45</v>
      </c>
      <c r="C311" s="9">
        <v>8814.1</v>
      </c>
      <c r="D311" s="9">
        <v>8770.2</v>
      </c>
      <c r="E311" s="9">
        <v>8801.05</v>
      </c>
      <c r="F311" s="9">
        <v>2.00403782E8</v>
      </c>
      <c r="G311" s="47">
        <v>8701.51</v>
      </c>
    </row>
    <row r="312" ht="14.25" customHeight="1">
      <c r="A312" s="46">
        <v>42773.0</v>
      </c>
      <c r="B312" s="9">
        <v>8805.7</v>
      </c>
      <c r="C312" s="9">
        <v>8809.3</v>
      </c>
      <c r="D312" s="9">
        <v>8741.05</v>
      </c>
      <c r="E312" s="9">
        <v>8768.3</v>
      </c>
      <c r="F312" s="9">
        <v>2.33294532E8</v>
      </c>
      <c r="G312" s="47">
        <v>9060.63</v>
      </c>
    </row>
    <row r="313" ht="14.25" customHeight="1">
      <c r="A313" s="46">
        <v>42774.0</v>
      </c>
      <c r="B313" s="9">
        <v>8774.55</v>
      </c>
      <c r="C313" s="9">
        <v>8791.25</v>
      </c>
      <c r="D313" s="9">
        <v>8715.0</v>
      </c>
      <c r="E313" s="9">
        <v>8769.05</v>
      </c>
      <c r="F313" s="9">
        <v>2.25485726E8</v>
      </c>
      <c r="G313" s="47">
        <v>9110.24</v>
      </c>
    </row>
    <row r="314" ht="14.25" customHeight="1">
      <c r="A314" s="46">
        <v>42775.0</v>
      </c>
      <c r="B314" s="9">
        <v>8795.55</v>
      </c>
      <c r="C314" s="9">
        <v>8821.4</v>
      </c>
      <c r="D314" s="9">
        <v>8724.1</v>
      </c>
      <c r="E314" s="9">
        <v>8778.4</v>
      </c>
      <c r="F314" s="9">
        <v>1.93282248E8</v>
      </c>
      <c r="G314" s="47">
        <v>8972.67</v>
      </c>
    </row>
    <row r="315" ht="14.25" customHeight="1">
      <c r="A315" s="46">
        <v>42776.0</v>
      </c>
      <c r="B315" s="9">
        <v>8812.35</v>
      </c>
      <c r="C315" s="9">
        <v>8822.1</v>
      </c>
      <c r="D315" s="9">
        <v>8771.2</v>
      </c>
      <c r="E315" s="9">
        <v>8793.55</v>
      </c>
      <c r="F315" s="9">
        <v>2.32947341E8</v>
      </c>
      <c r="G315" s="47">
        <v>10320.17</v>
      </c>
    </row>
    <row r="316" ht="14.25" customHeight="1">
      <c r="A316" s="46">
        <v>42779.0</v>
      </c>
      <c r="B316" s="9">
        <v>8819.8</v>
      </c>
      <c r="C316" s="9">
        <v>8826.9</v>
      </c>
      <c r="D316" s="9">
        <v>8754.2</v>
      </c>
      <c r="E316" s="9">
        <v>8805.05</v>
      </c>
      <c r="F316" s="9">
        <v>2.11180353E8</v>
      </c>
      <c r="G316" s="47">
        <v>8659.48</v>
      </c>
    </row>
    <row r="317" ht="14.25" customHeight="1">
      <c r="A317" s="46">
        <v>42780.0</v>
      </c>
      <c r="B317" s="9">
        <v>8819.9</v>
      </c>
      <c r="C317" s="9">
        <v>8820.45</v>
      </c>
      <c r="D317" s="9">
        <v>8772.5</v>
      </c>
      <c r="E317" s="9">
        <v>8792.3</v>
      </c>
      <c r="F317" s="9">
        <v>1.94133563E8</v>
      </c>
      <c r="G317" s="47">
        <v>8494.44</v>
      </c>
    </row>
    <row r="318" ht="14.25" customHeight="1">
      <c r="A318" s="46">
        <v>42781.0</v>
      </c>
      <c r="B318" s="9">
        <v>8778.95</v>
      </c>
      <c r="C318" s="9">
        <v>8807.9</v>
      </c>
      <c r="D318" s="9">
        <v>8712.85</v>
      </c>
      <c r="E318" s="9">
        <v>8724.7</v>
      </c>
      <c r="F318" s="9">
        <v>2.22828919E8</v>
      </c>
      <c r="G318" s="47">
        <v>10472.37</v>
      </c>
    </row>
    <row r="319" ht="14.25" customHeight="1">
      <c r="A319" s="46">
        <v>42782.0</v>
      </c>
      <c r="B319" s="9">
        <v>8739.0</v>
      </c>
      <c r="C319" s="9">
        <v>8783.95</v>
      </c>
      <c r="D319" s="9">
        <v>8719.6</v>
      </c>
      <c r="E319" s="9">
        <v>8778.0</v>
      </c>
      <c r="F319" s="9">
        <v>1.90277738E8</v>
      </c>
      <c r="G319" s="47">
        <v>9695.63</v>
      </c>
    </row>
    <row r="320" ht="14.25" customHeight="1">
      <c r="A320" s="46">
        <v>42783.0</v>
      </c>
      <c r="B320" s="9">
        <v>8883.7</v>
      </c>
      <c r="C320" s="9">
        <v>8896.45</v>
      </c>
      <c r="D320" s="9">
        <v>8804.25</v>
      </c>
      <c r="E320" s="9">
        <v>8821.7</v>
      </c>
      <c r="F320" s="9">
        <v>3.07526025E8</v>
      </c>
      <c r="G320" s="47">
        <v>23432.58</v>
      </c>
    </row>
    <row r="321" ht="14.25" customHeight="1">
      <c r="A321" s="46">
        <v>42786.0</v>
      </c>
      <c r="B321" s="9">
        <v>8818.55</v>
      </c>
      <c r="C321" s="9">
        <v>8886.25</v>
      </c>
      <c r="D321" s="9">
        <v>8809.8</v>
      </c>
      <c r="E321" s="9">
        <v>8879.2</v>
      </c>
      <c r="F321" s="9">
        <v>1.73022362E8</v>
      </c>
      <c r="G321" s="47">
        <v>7833.53</v>
      </c>
    </row>
    <row r="322" ht="14.25" customHeight="1">
      <c r="A322" s="46">
        <v>42787.0</v>
      </c>
      <c r="B322" s="9">
        <v>8890.75</v>
      </c>
      <c r="C322" s="9">
        <v>8920.8</v>
      </c>
      <c r="D322" s="9">
        <v>8860.95</v>
      </c>
      <c r="E322" s="9">
        <v>8907.85</v>
      </c>
      <c r="F322" s="9">
        <v>1.81091326E8</v>
      </c>
      <c r="G322" s="47">
        <v>8863.71</v>
      </c>
    </row>
    <row r="323" ht="14.25" customHeight="1">
      <c r="A323" s="46">
        <v>42788.0</v>
      </c>
      <c r="B323" s="9">
        <v>8931.6</v>
      </c>
      <c r="C323" s="9">
        <v>8960.75</v>
      </c>
      <c r="D323" s="9">
        <v>8905.25</v>
      </c>
      <c r="E323" s="9">
        <v>8926.9</v>
      </c>
      <c r="F323" s="9">
        <v>2.54677956E8</v>
      </c>
      <c r="G323" s="47">
        <v>13514.08</v>
      </c>
    </row>
    <row r="324" ht="14.25" customHeight="1">
      <c r="A324" s="46">
        <v>42789.0</v>
      </c>
      <c r="B324" s="9">
        <v>8956.4</v>
      </c>
      <c r="C324" s="9">
        <v>8982.15</v>
      </c>
      <c r="D324" s="9">
        <v>8927.55</v>
      </c>
      <c r="E324" s="9">
        <v>8939.5</v>
      </c>
      <c r="F324" s="9">
        <v>3.88874096E8</v>
      </c>
      <c r="G324" s="47">
        <v>17243.08</v>
      </c>
    </row>
    <row r="325" ht="14.25" customHeight="1">
      <c r="A325" s="46">
        <v>42793.0</v>
      </c>
      <c r="B325" s="9">
        <v>8943.7</v>
      </c>
      <c r="C325" s="9">
        <v>8951.8</v>
      </c>
      <c r="D325" s="9">
        <v>8888.65</v>
      </c>
      <c r="E325" s="9">
        <v>8896.7</v>
      </c>
      <c r="F325" s="9">
        <v>1.95847099E8</v>
      </c>
      <c r="G325" s="47">
        <v>10388.83</v>
      </c>
    </row>
    <row r="326" ht="14.25" customHeight="1">
      <c r="A326" s="46">
        <v>42794.0</v>
      </c>
      <c r="B326" s="9">
        <v>8898.95</v>
      </c>
      <c r="C326" s="9">
        <v>8914.75</v>
      </c>
      <c r="D326" s="9">
        <v>8867.6</v>
      </c>
      <c r="E326" s="9">
        <v>8879.6</v>
      </c>
      <c r="F326" s="9">
        <v>3.0272289E8</v>
      </c>
      <c r="G326" s="47">
        <v>13819.57</v>
      </c>
    </row>
    <row r="327" ht="14.25" customHeight="1">
      <c r="A327" s="46">
        <v>42795.0</v>
      </c>
      <c r="B327" s="9">
        <v>8904.4</v>
      </c>
      <c r="C327" s="9">
        <v>8960.8</v>
      </c>
      <c r="D327" s="9">
        <v>8898.6</v>
      </c>
      <c r="E327" s="9">
        <v>8945.8</v>
      </c>
      <c r="F327" s="9">
        <v>2.12328974E8</v>
      </c>
      <c r="G327" s="47">
        <v>9681.99</v>
      </c>
    </row>
    <row r="328" ht="14.25" customHeight="1">
      <c r="A328" s="46">
        <v>42796.0</v>
      </c>
      <c r="B328" s="9">
        <v>8982.85</v>
      </c>
      <c r="C328" s="9">
        <v>8992.5</v>
      </c>
      <c r="D328" s="9">
        <v>8879.8</v>
      </c>
      <c r="E328" s="9">
        <v>8899.75</v>
      </c>
      <c r="F328" s="9">
        <v>2.2560814E8</v>
      </c>
      <c r="G328" s="47">
        <v>10075.19</v>
      </c>
    </row>
    <row r="329" ht="14.25" customHeight="1">
      <c r="A329" s="46">
        <v>42797.0</v>
      </c>
      <c r="B329" s="9">
        <v>8883.5</v>
      </c>
      <c r="C329" s="9">
        <v>8907.1</v>
      </c>
      <c r="D329" s="9">
        <v>8860.1</v>
      </c>
      <c r="E329" s="9">
        <v>8897.55</v>
      </c>
      <c r="F329" s="9">
        <v>2.08915878E8</v>
      </c>
      <c r="G329" s="47">
        <v>9783.57</v>
      </c>
    </row>
    <row r="330" ht="14.25" customHeight="1">
      <c r="A330" s="46">
        <v>42800.0</v>
      </c>
      <c r="B330" s="9">
        <v>8915.1</v>
      </c>
      <c r="C330" s="9">
        <v>8967.8</v>
      </c>
      <c r="D330" s="9">
        <v>8914.0</v>
      </c>
      <c r="E330" s="9">
        <v>8963.45</v>
      </c>
      <c r="F330" s="9">
        <v>1.80194586E8</v>
      </c>
      <c r="G330" s="47">
        <v>8955.06</v>
      </c>
    </row>
    <row r="331" ht="14.25" customHeight="1">
      <c r="A331" s="46">
        <v>42801.0</v>
      </c>
      <c r="B331" s="9">
        <v>8977.75</v>
      </c>
      <c r="C331" s="9">
        <v>8977.85</v>
      </c>
      <c r="D331" s="9">
        <v>8932.8</v>
      </c>
      <c r="E331" s="9">
        <v>8946.9</v>
      </c>
      <c r="F331" s="9">
        <v>1.78827506E8</v>
      </c>
      <c r="G331" s="47">
        <v>8149.28</v>
      </c>
    </row>
    <row r="332" ht="14.25" customHeight="1">
      <c r="A332" s="46">
        <v>42802.0</v>
      </c>
      <c r="B332" s="9">
        <v>8950.7</v>
      </c>
      <c r="C332" s="9">
        <v>8957.05</v>
      </c>
      <c r="D332" s="9">
        <v>8891.95</v>
      </c>
      <c r="E332" s="9">
        <v>8924.3</v>
      </c>
      <c r="F332" s="9">
        <v>1.83325544E8</v>
      </c>
      <c r="G332" s="47">
        <v>9489.36</v>
      </c>
    </row>
    <row r="333" ht="14.25" customHeight="1">
      <c r="A333" s="46">
        <v>42803.0</v>
      </c>
      <c r="B333" s="9">
        <v>8914.5</v>
      </c>
      <c r="C333" s="9">
        <v>8945.8</v>
      </c>
      <c r="D333" s="9">
        <v>8899.5</v>
      </c>
      <c r="E333" s="9">
        <v>8927.0</v>
      </c>
      <c r="F333" s="9">
        <v>1.76810453E8</v>
      </c>
      <c r="G333" s="47">
        <v>8493.21</v>
      </c>
    </row>
    <row r="334" ht="14.25" customHeight="1">
      <c r="A334" s="46">
        <v>42804.0</v>
      </c>
      <c r="B334" s="9">
        <v>8953.7</v>
      </c>
      <c r="C334" s="9">
        <v>8975.7</v>
      </c>
      <c r="D334" s="9">
        <v>8903.95</v>
      </c>
      <c r="E334" s="9">
        <v>8934.55</v>
      </c>
      <c r="F334" s="9">
        <v>1.57419999E8</v>
      </c>
      <c r="G334" s="47">
        <v>7385.28</v>
      </c>
    </row>
    <row r="335" ht="14.25" customHeight="1">
      <c r="A335" s="46">
        <v>42808.0</v>
      </c>
      <c r="B335" s="9">
        <v>9091.65</v>
      </c>
      <c r="C335" s="9">
        <v>9122.75</v>
      </c>
      <c r="D335" s="9">
        <v>9060.5</v>
      </c>
      <c r="E335" s="9">
        <v>9087.0</v>
      </c>
      <c r="F335" s="9">
        <v>2.78726933E8</v>
      </c>
      <c r="G335" s="47">
        <v>14087.57</v>
      </c>
    </row>
    <row r="336" ht="14.25" customHeight="1">
      <c r="A336" s="46">
        <v>42809.0</v>
      </c>
      <c r="B336" s="9">
        <v>9086.85</v>
      </c>
      <c r="C336" s="9">
        <v>9106.55</v>
      </c>
      <c r="D336" s="9">
        <v>9075.5</v>
      </c>
      <c r="E336" s="9">
        <v>9084.8</v>
      </c>
      <c r="F336" s="9">
        <v>2.48033251E8</v>
      </c>
      <c r="G336" s="47">
        <v>9671.51</v>
      </c>
    </row>
    <row r="337" ht="14.25" customHeight="1">
      <c r="A337" s="46">
        <v>42810.0</v>
      </c>
      <c r="B337" s="9">
        <v>9129.65</v>
      </c>
      <c r="C337" s="9">
        <v>9158.45</v>
      </c>
      <c r="D337" s="9">
        <v>9128.55</v>
      </c>
      <c r="E337" s="9">
        <v>9153.7</v>
      </c>
      <c r="F337" s="9">
        <v>2.15096446E8</v>
      </c>
      <c r="G337" s="47">
        <v>9275.05</v>
      </c>
    </row>
    <row r="338" ht="14.25" customHeight="1">
      <c r="A338" s="46">
        <v>42811.0</v>
      </c>
      <c r="B338" s="9">
        <v>9207.8</v>
      </c>
      <c r="C338" s="9">
        <v>9218.4</v>
      </c>
      <c r="D338" s="9">
        <v>9147.6</v>
      </c>
      <c r="E338" s="9">
        <v>9160.05</v>
      </c>
      <c r="F338" s="9">
        <v>2.95554265E8</v>
      </c>
      <c r="G338" s="47">
        <v>13226.29</v>
      </c>
    </row>
    <row r="339" ht="14.25" customHeight="1">
      <c r="A339" s="46">
        <v>42814.0</v>
      </c>
      <c r="B339" s="9">
        <v>9166.95</v>
      </c>
      <c r="C339" s="9">
        <v>9167.6</v>
      </c>
      <c r="D339" s="9">
        <v>9116.3</v>
      </c>
      <c r="E339" s="9">
        <v>9126.85</v>
      </c>
      <c r="F339" s="9">
        <v>3.423959E8</v>
      </c>
      <c r="G339" s="47">
        <v>9251.16</v>
      </c>
    </row>
    <row r="340" ht="14.25" customHeight="1">
      <c r="A340" s="46">
        <v>42815.0</v>
      </c>
      <c r="B340" s="9">
        <v>9133.95</v>
      </c>
      <c r="C340" s="9">
        <v>9147.75</v>
      </c>
      <c r="D340" s="9">
        <v>9087.2</v>
      </c>
      <c r="E340" s="9">
        <v>9121.5</v>
      </c>
      <c r="F340" s="9">
        <v>2.55396073E8</v>
      </c>
      <c r="G340" s="47">
        <v>10191.6</v>
      </c>
    </row>
    <row r="341" ht="14.25" customHeight="1">
      <c r="A341" s="46">
        <v>42816.0</v>
      </c>
      <c r="B341" s="9">
        <v>9047.2</v>
      </c>
      <c r="C341" s="9">
        <v>9072.9</v>
      </c>
      <c r="D341" s="9">
        <v>9019.3</v>
      </c>
      <c r="E341" s="9">
        <v>9030.45</v>
      </c>
      <c r="F341" s="9">
        <v>2.39463699E8</v>
      </c>
      <c r="G341" s="47">
        <v>10065.92</v>
      </c>
    </row>
    <row r="342" ht="14.25" customHeight="1">
      <c r="A342" s="46">
        <v>42817.0</v>
      </c>
      <c r="B342" s="9">
        <v>9048.75</v>
      </c>
      <c r="C342" s="9">
        <v>9099.05</v>
      </c>
      <c r="D342" s="9">
        <v>9048.6</v>
      </c>
      <c r="E342" s="9">
        <v>9086.3</v>
      </c>
      <c r="F342" s="9">
        <v>1.97705274E8</v>
      </c>
      <c r="G342" s="47">
        <v>8699.36</v>
      </c>
    </row>
    <row r="343" ht="14.25" customHeight="1">
      <c r="A343" s="46">
        <v>42818.0</v>
      </c>
      <c r="B343" s="9">
        <v>9104.0</v>
      </c>
      <c r="C343" s="9">
        <v>9133.55</v>
      </c>
      <c r="D343" s="9">
        <v>9089.4</v>
      </c>
      <c r="E343" s="9">
        <v>9108.0</v>
      </c>
      <c r="F343" s="9">
        <v>2.10021581E8</v>
      </c>
      <c r="G343" s="47">
        <v>8853.03</v>
      </c>
    </row>
    <row r="344" ht="14.25" customHeight="1">
      <c r="A344" s="46">
        <v>42821.0</v>
      </c>
      <c r="B344" s="9">
        <v>9093.45</v>
      </c>
      <c r="C344" s="9">
        <v>9094.85</v>
      </c>
      <c r="D344" s="9">
        <v>9024.65</v>
      </c>
      <c r="E344" s="9">
        <v>9045.2</v>
      </c>
      <c r="F344" s="9">
        <v>2.09036051E8</v>
      </c>
      <c r="G344" s="47">
        <v>8921.57</v>
      </c>
    </row>
    <row r="345" ht="14.25" customHeight="1">
      <c r="A345" s="46">
        <v>42822.0</v>
      </c>
      <c r="B345" s="9">
        <v>9081.5</v>
      </c>
      <c r="C345" s="9">
        <v>9110.4</v>
      </c>
      <c r="D345" s="9">
        <v>9079.8</v>
      </c>
      <c r="E345" s="9">
        <v>9100.8</v>
      </c>
      <c r="F345" s="9">
        <v>1.88985603E8</v>
      </c>
      <c r="G345" s="47">
        <v>8139.28</v>
      </c>
    </row>
    <row r="346" ht="14.25" customHeight="1">
      <c r="A346" s="46">
        <v>42823.0</v>
      </c>
      <c r="B346" s="9">
        <v>9128.7</v>
      </c>
      <c r="C346" s="9">
        <v>9153.15</v>
      </c>
      <c r="D346" s="9">
        <v>9109.1</v>
      </c>
      <c r="E346" s="9">
        <v>9143.8</v>
      </c>
      <c r="F346" s="9">
        <v>2.50902906E8</v>
      </c>
      <c r="G346" s="47">
        <v>11089.43</v>
      </c>
    </row>
    <row r="347" ht="14.25" customHeight="1">
      <c r="A347" s="46">
        <v>42824.0</v>
      </c>
      <c r="B347" s="9">
        <v>9142.6</v>
      </c>
      <c r="C347" s="9">
        <v>9183.15</v>
      </c>
      <c r="D347" s="9">
        <v>9136.35</v>
      </c>
      <c r="E347" s="9">
        <v>9173.75</v>
      </c>
      <c r="F347" s="9">
        <v>3.33410368E8</v>
      </c>
      <c r="G347" s="47">
        <v>15585.42</v>
      </c>
    </row>
    <row r="348" ht="14.25" customHeight="1">
      <c r="A348" s="46">
        <v>42825.0</v>
      </c>
      <c r="B348" s="9">
        <v>9158.9</v>
      </c>
      <c r="C348" s="9">
        <v>9191.7</v>
      </c>
      <c r="D348" s="9">
        <v>9152.1</v>
      </c>
      <c r="E348" s="9">
        <v>9173.75</v>
      </c>
      <c r="F348" s="9">
        <v>1.96771674E8</v>
      </c>
      <c r="G348" s="47">
        <v>10955.05</v>
      </c>
    </row>
    <row r="349" ht="14.25" customHeight="1">
      <c r="A349" s="46">
        <v>42828.0</v>
      </c>
      <c r="B349" s="9">
        <v>9220.6</v>
      </c>
      <c r="C349" s="9">
        <v>9245.35</v>
      </c>
      <c r="D349" s="9">
        <v>9192.4</v>
      </c>
      <c r="E349" s="9">
        <v>9237.85</v>
      </c>
      <c r="F349" s="9">
        <v>1.43444541E8</v>
      </c>
      <c r="G349" s="47">
        <v>8337.06</v>
      </c>
    </row>
    <row r="350" ht="14.25" customHeight="1">
      <c r="A350" s="46">
        <v>42830.0</v>
      </c>
      <c r="B350" s="9">
        <v>9264.4</v>
      </c>
      <c r="C350" s="9">
        <v>9273.9</v>
      </c>
      <c r="D350" s="9">
        <v>9215.4</v>
      </c>
      <c r="E350" s="9">
        <v>9265.15</v>
      </c>
      <c r="F350" s="9">
        <v>1.90529461E8</v>
      </c>
      <c r="G350" s="47">
        <v>11461.96</v>
      </c>
    </row>
    <row r="351" ht="14.25" customHeight="1">
      <c r="A351" s="46">
        <v>42831.0</v>
      </c>
      <c r="B351" s="9">
        <v>9245.8</v>
      </c>
      <c r="C351" s="9">
        <v>9267.95</v>
      </c>
      <c r="D351" s="9">
        <v>9218.85</v>
      </c>
      <c r="E351" s="9">
        <v>9261.95</v>
      </c>
      <c r="F351" s="9">
        <v>1.91937207E8</v>
      </c>
      <c r="G351" s="47">
        <v>10332.6</v>
      </c>
    </row>
    <row r="352" ht="14.25" customHeight="1">
      <c r="A352" s="46">
        <v>42832.0</v>
      </c>
      <c r="B352" s="9">
        <v>9223.7</v>
      </c>
      <c r="C352" s="9">
        <v>9250.5</v>
      </c>
      <c r="D352" s="9">
        <v>9188.1</v>
      </c>
      <c r="E352" s="9">
        <v>9198.3</v>
      </c>
      <c r="F352" s="9">
        <v>1.95918747E8</v>
      </c>
      <c r="G352" s="47">
        <v>10217.13</v>
      </c>
    </row>
    <row r="353" ht="14.25" customHeight="1">
      <c r="A353" s="46">
        <v>42835.0</v>
      </c>
      <c r="B353" s="9">
        <v>9225.6</v>
      </c>
      <c r="C353" s="9">
        <v>9225.65</v>
      </c>
      <c r="D353" s="9">
        <v>9174.85</v>
      </c>
      <c r="E353" s="9">
        <v>9181.45</v>
      </c>
      <c r="F353" s="9">
        <v>1.3996875E8</v>
      </c>
      <c r="G353" s="47">
        <v>8140.08</v>
      </c>
    </row>
    <row r="354" ht="14.25" customHeight="1">
      <c r="A354" s="46">
        <v>42836.0</v>
      </c>
      <c r="B354" s="9">
        <v>9184.55</v>
      </c>
      <c r="C354" s="9">
        <v>9242.7</v>
      </c>
      <c r="D354" s="9">
        <v>9172.85</v>
      </c>
      <c r="E354" s="9">
        <v>9237.0</v>
      </c>
      <c r="F354" s="9">
        <v>2.06261727E8</v>
      </c>
      <c r="G354" s="47">
        <v>9385.2</v>
      </c>
    </row>
    <row r="355" ht="14.25" customHeight="1">
      <c r="A355" s="46">
        <v>42837.0</v>
      </c>
      <c r="B355" s="9">
        <v>9242.5</v>
      </c>
      <c r="C355" s="9">
        <v>9246.4</v>
      </c>
      <c r="D355" s="9">
        <v>9161.8</v>
      </c>
      <c r="E355" s="9">
        <v>9203.45</v>
      </c>
      <c r="F355" s="9">
        <v>1.66755013E8</v>
      </c>
      <c r="G355" s="47">
        <v>8412.97</v>
      </c>
    </row>
    <row r="356" ht="14.25" customHeight="1">
      <c r="A356" s="46">
        <v>42838.0</v>
      </c>
      <c r="B356" s="9">
        <v>9202.5</v>
      </c>
      <c r="C356" s="9">
        <v>9202.65</v>
      </c>
      <c r="D356" s="9">
        <v>9144.95</v>
      </c>
      <c r="E356" s="9">
        <v>9150.8</v>
      </c>
      <c r="F356" s="9">
        <v>1.716956E8</v>
      </c>
      <c r="G356" s="47">
        <v>8908.17</v>
      </c>
    </row>
    <row r="357" ht="14.25" customHeight="1">
      <c r="A357" s="46">
        <v>42842.0</v>
      </c>
      <c r="B357" s="9">
        <v>9144.75</v>
      </c>
      <c r="C357" s="9">
        <v>9160.0</v>
      </c>
      <c r="D357" s="9">
        <v>9120.25</v>
      </c>
      <c r="E357" s="9">
        <v>9139.3</v>
      </c>
      <c r="F357" s="9">
        <v>1.32244225E8</v>
      </c>
      <c r="G357" s="47">
        <v>6473.27</v>
      </c>
    </row>
    <row r="358" ht="14.25" customHeight="1">
      <c r="A358" s="46">
        <v>42843.0</v>
      </c>
      <c r="B358" s="9">
        <v>9163.0</v>
      </c>
      <c r="C358" s="9">
        <v>9217.9</v>
      </c>
      <c r="D358" s="9">
        <v>9095.45</v>
      </c>
      <c r="E358" s="9">
        <v>9105.15</v>
      </c>
      <c r="F358" s="9">
        <v>1.79569574E8</v>
      </c>
      <c r="G358" s="47">
        <v>8527.5</v>
      </c>
    </row>
    <row r="359" ht="14.25" customHeight="1">
      <c r="A359" s="46">
        <v>42844.0</v>
      </c>
      <c r="B359" s="9">
        <v>9112.2</v>
      </c>
      <c r="C359" s="9">
        <v>9120.5</v>
      </c>
      <c r="D359" s="9">
        <v>9075.15</v>
      </c>
      <c r="E359" s="9">
        <v>9103.5</v>
      </c>
      <c r="F359" s="9">
        <v>1.79117382E8</v>
      </c>
      <c r="G359" s="47">
        <v>8950.27</v>
      </c>
    </row>
    <row r="360" ht="14.25" customHeight="1">
      <c r="A360" s="46">
        <v>42845.0</v>
      </c>
      <c r="B360" s="9">
        <v>9108.1</v>
      </c>
      <c r="C360" s="9">
        <v>9143.9</v>
      </c>
      <c r="D360" s="9">
        <v>9102.65</v>
      </c>
      <c r="E360" s="9">
        <v>9136.4</v>
      </c>
      <c r="F360" s="9">
        <v>1.75629897E8</v>
      </c>
      <c r="G360" s="47">
        <v>8843.5</v>
      </c>
    </row>
    <row r="361" ht="14.25" customHeight="1">
      <c r="A361" s="46">
        <v>42846.0</v>
      </c>
      <c r="B361" s="9">
        <v>9179.1</v>
      </c>
      <c r="C361" s="9">
        <v>9183.65</v>
      </c>
      <c r="D361" s="9">
        <v>9088.75</v>
      </c>
      <c r="E361" s="9">
        <v>9119.4</v>
      </c>
      <c r="F361" s="9">
        <v>1.59981265E8</v>
      </c>
      <c r="G361" s="47">
        <v>8476.63</v>
      </c>
    </row>
    <row r="362" ht="14.25" customHeight="1">
      <c r="A362" s="46">
        <v>42849.0</v>
      </c>
      <c r="B362" s="9">
        <v>9135.35</v>
      </c>
      <c r="C362" s="9">
        <v>9225.4</v>
      </c>
      <c r="D362" s="9">
        <v>9130.55</v>
      </c>
      <c r="E362" s="9">
        <v>9217.95</v>
      </c>
      <c r="F362" s="9">
        <v>1.72908048E8</v>
      </c>
      <c r="G362" s="47">
        <v>9720.75</v>
      </c>
    </row>
    <row r="363" ht="14.25" customHeight="1">
      <c r="A363" s="46">
        <v>42850.0</v>
      </c>
      <c r="B363" s="9">
        <v>9273.05</v>
      </c>
      <c r="C363" s="9">
        <v>9309.2</v>
      </c>
      <c r="D363" s="9">
        <v>9250.35</v>
      </c>
      <c r="E363" s="9">
        <v>9306.6</v>
      </c>
      <c r="F363" s="9">
        <v>1.73896951E8</v>
      </c>
      <c r="G363" s="47">
        <v>10426.02</v>
      </c>
    </row>
    <row r="364" ht="14.25" customHeight="1">
      <c r="A364" s="46">
        <v>42851.0</v>
      </c>
      <c r="B364" s="9">
        <v>9336.2</v>
      </c>
      <c r="C364" s="9">
        <v>9367.0</v>
      </c>
      <c r="D364" s="9">
        <v>9301.35</v>
      </c>
      <c r="E364" s="9">
        <v>9351.85</v>
      </c>
      <c r="F364" s="9">
        <v>1.9139512E8</v>
      </c>
      <c r="G364" s="47">
        <v>10483.32</v>
      </c>
    </row>
    <row r="365" ht="14.25" customHeight="1">
      <c r="A365" s="46">
        <v>42852.0</v>
      </c>
      <c r="B365" s="9">
        <v>9359.15</v>
      </c>
      <c r="C365" s="9">
        <v>9367.15</v>
      </c>
      <c r="D365" s="9">
        <v>9322.65</v>
      </c>
      <c r="E365" s="9">
        <v>9342.15</v>
      </c>
      <c r="F365" s="9">
        <v>2.15881711E8</v>
      </c>
      <c r="G365" s="47">
        <v>12910.38</v>
      </c>
    </row>
    <row r="366" ht="14.25" customHeight="1">
      <c r="A366" s="46">
        <v>42853.0</v>
      </c>
      <c r="B366" s="9">
        <v>9340.95</v>
      </c>
      <c r="C366" s="9">
        <v>9342.65</v>
      </c>
      <c r="D366" s="9">
        <v>9282.25</v>
      </c>
      <c r="E366" s="9">
        <v>9304.05</v>
      </c>
      <c r="F366" s="9">
        <v>1.67229353E8</v>
      </c>
      <c r="G366" s="47">
        <v>8673.32</v>
      </c>
    </row>
    <row r="367" ht="14.25" customHeight="1">
      <c r="A367" s="46">
        <v>42857.0</v>
      </c>
      <c r="B367" s="9">
        <v>9339.85</v>
      </c>
      <c r="C367" s="9">
        <v>9352.55</v>
      </c>
      <c r="D367" s="9">
        <v>9269.9</v>
      </c>
      <c r="E367" s="9">
        <v>9313.8</v>
      </c>
      <c r="F367" s="9">
        <v>1.66558241E8</v>
      </c>
      <c r="G367" s="47">
        <v>9110.59</v>
      </c>
    </row>
    <row r="368" ht="14.25" customHeight="1">
      <c r="A368" s="46">
        <v>42858.0</v>
      </c>
      <c r="B368" s="9">
        <v>9344.7</v>
      </c>
      <c r="C368" s="9">
        <v>9346.3</v>
      </c>
      <c r="D368" s="9">
        <v>9298.4</v>
      </c>
      <c r="E368" s="9">
        <v>9311.95</v>
      </c>
      <c r="F368" s="9">
        <v>1.56342492E8</v>
      </c>
      <c r="G368" s="47">
        <v>7975.14</v>
      </c>
    </row>
    <row r="369" ht="14.25" customHeight="1">
      <c r="A369" s="46">
        <v>42859.0</v>
      </c>
      <c r="B369" s="9">
        <v>9360.95</v>
      </c>
      <c r="C369" s="9">
        <v>9365.65</v>
      </c>
      <c r="D369" s="9">
        <v>9323.25</v>
      </c>
      <c r="E369" s="9">
        <v>9359.9</v>
      </c>
      <c r="F369" s="9">
        <v>2.77895923E8</v>
      </c>
      <c r="G369" s="47">
        <v>12379.74</v>
      </c>
    </row>
    <row r="370" ht="14.25" customHeight="1">
      <c r="A370" s="46">
        <v>42860.0</v>
      </c>
      <c r="B370" s="9">
        <v>9374.55</v>
      </c>
      <c r="C370" s="9">
        <v>9377.1</v>
      </c>
      <c r="D370" s="9">
        <v>9272.0</v>
      </c>
      <c r="E370" s="9">
        <v>9285.3</v>
      </c>
      <c r="F370" s="9">
        <v>2.39133531E8</v>
      </c>
      <c r="G370" s="47">
        <v>10466.68</v>
      </c>
    </row>
    <row r="371" ht="14.25" customHeight="1">
      <c r="A371" s="46">
        <v>42863.0</v>
      </c>
      <c r="B371" s="9">
        <v>9311.45</v>
      </c>
      <c r="C371" s="9">
        <v>9338.7</v>
      </c>
      <c r="D371" s="9">
        <v>9297.95</v>
      </c>
      <c r="E371" s="9">
        <v>9314.05</v>
      </c>
      <c r="F371" s="9">
        <v>1.79709949E8</v>
      </c>
      <c r="G371" s="47">
        <v>8300.22</v>
      </c>
    </row>
    <row r="372" ht="14.25" customHeight="1">
      <c r="A372" s="46">
        <v>42864.0</v>
      </c>
      <c r="B372" s="9">
        <v>9337.35</v>
      </c>
      <c r="C372" s="9">
        <v>9338.95</v>
      </c>
      <c r="D372" s="9">
        <v>9307.7</v>
      </c>
      <c r="E372" s="9">
        <v>9316.85</v>
      </c>
      <c r="F372" s="9">
        <v>1.36417428E8</v>
      </c>
      <c r="G372" s="47">
        <v>7504.66</v>
      </c>
    </row>
    <row r="373" ht="14.25" customHeight="1">
      <c r="A373" s="46">
        <v>42865.0</v>
      </c>
      <c r="B373" s="9">
        <v>9339.65</v>
      </c>
      <c r="C373" s="9">
        <v>9414.75</v>
      </c>
      <c r="D373" s="9">
        <v>9336.0</v>
      </c>
      <c r="E373" s="9">
        <v>9407.3</v>
      </c>
      <c r="F373" s="9">
        <v>1.57363135E8</v>
      </c>
      <c r="G373" s="47">
        <v>8619.06</v>
      </c>
    </row>
    <row r="374" ht="14.25" customHeight="1">
      <c r="A374" s="46">
        <v>42866.0</v>
      </c>
      <c r="B374" s="9">
        <v>9448.6</v>
      </c>
      <c r="C374" s="9">
        <v>9450.65</v>
      </c>
      <c r="D374" s="9">
        <v>9411.3</v>
      </c>
      <c r="E374" s="9">
        <v>9422.4</v>
      </c>
      <c r="F374" s="9">
        <v>1.7643984E8</v>
      </c>
      <c r="G374" s="47">
        <v>9289.89</v>
      </c>
    </row>
    <row r="375" ht="14.25" customHeight="1">
      <c r="A375" s="46">
        <v>42867.0</v>
      </c>
      <c r="B375" s="9">
        <v>9436.65</v>
      </c>
      <c r="C375" s="9">
        <v>9437.75</v>
      </c>
      <c r="D375" s="9">
        <v>9372.55</v>
      </c>
      <c r="E375" s="9">
        <v>9400.9</v>
      </c>
      <c r="F375" s="9">
        <v>1.59079418E8</v>
      </c>
      <c r="G375" s="47">
        <v>9813.47</v>
      </c>
    </row>
    <row r="376" ht="14.25" customHeight="1">
      <c r="A376" s="46">
        <v>42870.0</v>
      </c>
      <c r="B376" s="9">
        <v>9433.55</v>
      </c>
      <c r="C376" s="9">
        <v>9449.25</v>
      </c>
      <c r="D376" s="9">
        <v>9423.1</v>
      </c>
      <c r="E376" s="9">
        <v>9445.4</v>
      </c>
      <c r="F376" s="9">
        <v>1.45163953E8</v>
      </c>
      <c r="G376" s="47">
        <v>7790.97</v>
      </c>
    </row>
    <row r="377" ht="14.25" customHeight="1">
      <c r="A377" s="46">
        <v>42871.0</v>
      </c>
      <c r="B377" s="9">
        <v>9461.0</v>
      </c>
      <c r="C377" s="9">
        <v>9517.2</v>
      </c>
      <c r="D377" s="9">
        <v>9456.35</v>
      </c>
      <c r="E377" s="9">
        <v>9512.25</v>
      </c>
      <c r="F377" s="9">
        <v>1.71709433E8</v>
      </c>
      <c r="G377" s="47">
        <v>9209.89</v>
      </c>
    </row>
    <row r="378" ht="14.25" customHeight="1">
      <c r="A378" s="46">
        <v>42872.0</v>
      </c>
      <c r="B378" s="9">
        <v>9517.6</v>
      </c>
      <c r="C378" s="9">
        <v>9532.6</v>
      </c>
      <c r="D378" s="9">
        <v>9486.1</v>
      </c>
      <c r="E378" s="9">
        <v>9525.75</v>
      </c>
      <c r="F378" s="9">
        <v>2.1185604E8</v>
      </c>
      <c r="G378" s="47">
        <v>10726.23</v>
      </c>
    </row>
    <row r="379" ht="14.25" customHeight="1">
      <c r="A379" s="46">
        <v>42873.0</v>
      </c>
      <c r="B379" s="9">
        <v>9453.2</v>
      </c>
      <c r="C379" s="9">
        <v>9489.1</v>
      </c>
      <c r="D379" s="9">
        <v>9418.1</v>
      </c>
      <c r="E379" s="9">
        <v>9429.45</v>
      </c>
      <c r="F379" s="9">
        <v>1.99340647E8</v>
      </c>
      <c r="G379" s="47">
        <v>10782.46</v>
      </c>
    </row>
    <row r="380" ht="14.25" customHeight="1">
      <c r="A380" s="46">
        <v>42874.0</v>
      </c>
      <c r="B380" s="9">
        <v>9469.9</v>
      </c>
      <c r="C380" s="9">
        <v>9505.75</v>
      </c>
      <c r="D380" s="9">
        <v>9390.75</v>
      </c>
      <c r="E380" s="9">
        <v>9427.9</v>
      </c>
      <c r="F380" s="9">
        <v>2.59861396E8</v>
      </c>
      <c r="G380" s="47">
        <v>11544.77</v>
      </c>
    </row>
    <row r="381" ht="14.25" customHeight="1">
      <c r="A381" s="46">
        <v>42877.0</v>
      </c>
      <c r="B381" s="9">
        <v>9480.25</v>
      </c>
      <c r="C381" s="9">
        <v>9498.65</v>
      </c>
      <c r="D381" s="9">
        <v>9427.9</v>
      </c>
      <c r="E381" s="9">
        <v>9438.25</v>
      </c>
      <c r="F381" s="9">
        <v>2.02874757E8</v>
      </c>
      <c r="G381" s="47">
        <v>9432.97</v>
      </c>
    </row>
    <row r="382" ht="14.25" customHeight="1">
      <c r="A382" s="46">
        <v>42878.0</v>
      </c>
      <c r="B382" s="9">
        <v>9445.05</v>
      </c>
      <c r="C382" s="9">
        <v>9448.05</v>
      </c>
      <c r="D382" s="9">
        <v>9370.0</v>
      </c>
      <c r="E382" s="9">
        <v>9386.15</v>
      </c>
      <c r="F382" s="9">
        <v>2.31345629E8</v>
      </c>
      <c r="G382" s="47">
        <v>11553.27</v>
      </c>
    </row>
    <row r="383" ht="14.25" customHeight="1">
      <c r="A383" s="46">
        <v>42879.0</v>
      </c>
      <c r="B383" s="9">
        <v>9410.9</v>
      </c>
      <c r="C383" s="9">
        <v>9431.9</v>
      </c>
      <c r="D383" s="9">
        <v>9341.65</v>
      </c>
      <c r="E383" s="9">
        <v>9360.55</v>
      </c>
      <c r="F383" s="9">
        <v>2.18265181E8</v>
      </c>
      <c r="G383" s="47">
        <v>11045.95</v>
      </c>
    </row>
    <row r="384" ht="14.25" customHeight="1">
      <c r="A384" s="46">
        <v>42880.0</v>
      </c>
      <c r="B384" s="9">
        <v>9384.05</v>
      </c>
      <c r="C384" s="9">
        <v>9523.3</v>
      </c>
      <c r="D384" s="9">
        <v>9379.2</v>
      </c>
      <c r="E384" s="9">
        <v>9509.75</v>
      </c>
      <c r="F384" s="9">
        <v>2.98147347E8</v>
      </c>
      <c r="G384" s="47">
        <v>16964.26</v>
      </c>
    </row>
    <row r="385" ht="14.25" customHeight="1">
      <c r="A385" s="46">
        <v>42881.0</v>
      </c>
      <c r="B385" s="9">
        <v>9507.75</v>
      </c>
      <c r="C385" s="9">
        <v>9604.9</v>
      </c>
      <c r="D385" s="9">
        <v>9495.4</v>
      </c>
      <c r="E385" s="9">
        <v>9595.1</v>
      </c>
      <c r="F385" s="9">
        <v>2.25647631E8</v>
      </c>
      <c r="G385" s="47">
        <v>11204.36</v>
      </c>
    </row>
    <row r="386" ht="14.25" customHeight="1">
      <c r="A386" s="46">
        <v>42884.0</v>
      </c>
      <c r="B386" s="9">
        <v>9560.05</v>
      </c>
      <c r="C386" s="9">
        <v>9637.75</v>
      </c>
      <c r="D386" s="9">
        <v>9547.7</v>
      </c>
      <c r="E386" s="9">
        <v>9604.9</v>
      </c>
      <c r="F386" s="9">
        <v>2.42266034E8</v>
      </c>
      <c r="G386" s="47">
        <v>12484.61</v>
      </c>
    </row>
    <row r="387" ht="14.25" customHeight="1">
      <c r="A387" s="46">
        <v>42885.0</v>
      </c>
      <c r="B387" s="9">
        <v>9590.65</v>
      </c>
      <c r="C387" s="9">
        <v>9635.3</v>
      </c>
      <c r="D387" s="9">
        <v>9581.2</v>
      </c>
      <c r="E387" s="9">
        <v>9624.55</v>
      </c>
      <c r="F387" s="9">
        <v>1.99894193E8</v>
      </c>
      <c r="G387" s="47">
        <v>9765.4</v>
      </c>
    </row>
    <row r="388" ht="14.25" customHeight="1">
      <c r="A388" s="46">
        <v>42886.0</v>
      </c>
      <c r="B388" s="9">
        <v>9636.55</v>
      </c>
      <c r="C388" s="9">
        <v>9649.6</v>
      </c>
      <c r="D388" s="9">
        <v>9609.25</v>
      </c>
      <c r="E388" s="9">
        <v>9621.25</v>
      </c>
      <c r="F388" s="9">
        <v>4.27053433E8</v>
      </c>
      <c r="G388" s="47">
        <v>19605.94</v>
      </c>
    </row>
    <row r="389" ht="14.25" customHeight="1">
      <c r="A389" s="46">
        <v>42887.0</v>
      </c>
      <c r="B389" s="9">
        <v>9603.55</v>
      </c>
      <c r="C389" s="9">
        <v>9634.65</v>
      </c>
      <c r="D389" s="9">
        <v>9589.9</v>
      </c>
      <c r="E389" s="9">
        <v>9616.1</v>
      </c>
      <c r="F389" s="9">
        <v>1.81533283E8</v>
      </c>
      <c r="G389" s="47">
        <v>9482.61</v>
      </c>
    </row>
    <row r="390" ht="14.25" customHeight="1">
      <c r="A390" s="46">
        <v>42888.0</v>
      </c>
      <c r="B390" s="9">
        <v>9657.15</v>
      </c>
      <c r="C390" s="9">
        <v>9673.5</v>
      </c>
      <c r="D390" s="9">
        <v>9637.45</v>
      </c>
      <c r="E390" s="9">
        <v>9653.5</v>
      </c>
      <c r="F390" s="9">
        <v>1.67195027E8</v>
      </c>
      <c r="G390" s="47">
        <v>8564.3</v>
      </c>
    </row>
    <row r="391" ht="14.25" customHeight="1">
      <c r="A391" s="46">
        <v>42891.0</v>
      </c>
      <c r="B391" s="9">
        <v>9656.3</v>
      </c>
      <c r="C391" s="9">
        <v>9687.2</v>
      </c>
      <c r="D391" s="9">
        <v>9640.7</v>
      </c>
      <c r="E391" s="9">
        <v>9675.1</v>
      </c>
      <c r="F391" s="9">
        <v>1.31685021E8</v>
      </c>
      <c r="G391" s="47">
        <v>7192.24</v>
      </c>
    </row>
    <row r="392" ht="14.25" customHeight="1">
      <c r="A392" s="46">
        <v>42892.0</v>
      </c>
      <c r="B392" s="9">
        <v>9704.25</v>
      </c>
      <c r="C392" s="9">
        <v>9709.3</v>
      </c>
      <c r="D392" s="9">
        <v>9630.2</v>
      </c>
      <c r="E392" s="9">
        <v>9637.15</v>
      </c>
      <c r="F392" s="9">
        <v>1.50379695E8</v>
      </c>
      <c r="G392" s="47">
        <v>8416.55</v>
      </c>
    </row>
    <row r="393" ht="14.25" customHeight="1">
      <c r="A393" s="46">
        <v>42893.0</v>
      </c>
      <c r="B393" s="9">
        <v>9663.95</v>
      </c>
      <c r="C393" s="9">
        <v>9678.55</v>
      </c>
      <c r="D393" s="9">
        <v>9630.55</v>
      </c>
      <c r="E393" s="9">
        <v>9663.9</v>
      </c>
      <c r="F393" s="9">
        <v>1.65669924E8</v>
      </c>
      <c r="G393" s="47">
        <v>8989.36</v>
      </c>
    </row>
    <row r="394" ht="14.25" customHeight="1">
      <c r="A394" s="46">
        <v>42894.0</v>
      </c>
      <c r="B394" s="9">
        <v>9682.4</v>
      </c>
      <c r="C394" s="9">
        <v>9688.7</v>
      </c>
      <c r="D394" s="9">
        <v>9641.5</v>
      </c>
      <c r="E394" s="9">
        <v>9647.25</v>
      </c>
      <c r="F394" s="9">
        <v>1.60165459E8</v>
      </c>
      <c r="G394" s="47">
        <v>8822.63</v>
      </c>
    </row>
    <row r="395" ht="14.25" customHeight="1">
      <c r="A395" s="46">
        <v>42895.0</v>
      </c>
      <c r="B395" s="9">
        <v>9638.55</v>
      </c>
      <c r="C395" s="9">
        <v>9676.25</v>
      </c>
      <c r="D395" s="9">
        <v>9608.15</v>
      </c>
      <c r="E395" s="9">
        <v>9668.25</v>
      </c>
      <c r="F395" s="9">
        <v>1.63897548E8</v>
      </c>
      <c r="G395" s="47">
        <v>9078.71</v>
      </c>
    </row>
    <row r="396" ht="14.25" customHeight="1">
      <c r="A396" s="46">
        <v>42898.0</v>
      </c>
      <c r="B396" s="9">
        <v>9646.7</v>
      </c>
      <c r="C396" s="9">
        <v>9647.05</v>
      </c>
      <c r="D396" s="9">
        <v>9598.5</v>
      </c>
      <c r="E396" s="9">
        <v>9616.4</v>
      </c>
      <c r="F396" s="9">
        <v>1.45786938E8</v>
      </c>
      <c r="G396" s="47">
        <v>7686.89</v>
      </c>
    </row>
    <row r="397" ht="14.25" customHeight="1">
      <c r="A397" s="46">
        <v>42899.0</v>
      </c>
      <c r="B397" s="9">
        <v>9615.55</v>
      </c>
      <c r="C397" s="9">
        <v>9654.15</v>
      </c>
      <c r="D397" s="9">
        <v>9595.4</v>
      </c>
      <c r="E397" s="9">
        <v>9606.9</v>
      </c>
      <c r="F397" s="9">
        <v>1.33734363E8</v>
      </c>
      <c r="G397" s="47">
        <v>7056.83</v>
      </c>
    </row>
    <row r="398" ht="14.25" customHeight="1">
      <c r="A398" s="46">
        <v>42900.0</v>
      </c>
      <c r="B398" s="9">
        <v>9621.55</v>
      </c>
      <c r="C398" s="9">
        <v>9627.4</v>
      </c>
      <c r="D398" s="9">
        <v>9580.45</v>
      </c>
      <c r="E398" s="9">
        <v>9618.15</v>
      </c>
      <c r="F398" s="9">
        <v>1.8737875E8</v>
      </c>
      <c r="G398" s="47">
        <v>10540.68</v>
      </c>
    </row>
    <row r="399" ht="14.25" customHeight="1">
      <c r="A399" s="46">
        <v>42901.0</v>
      </c>
      <c r="B399" s="9">
        <v>9617.9</v>
      </c>
      <c r="C399" s="9">
        <v>9621.4</v>
      </c>
      <c r="D399" s="9">
        <v>9560.8</v>
      </c>
      <c r="E399" s="9">
        <v>9578.05</v>
      </c>
      <c r="F399" s="9">
        <v>1.76423424E8</v>
      </c>
      <c r="G399" s="47">
        <v>9868.08</v>
      </c>
    </row>
    <row r="400" ht="14.25" customHeight="1">
      <c r="A400" s="46">
        <v>42902.0</v>
      </c>
      <c r="B400" s="9">
        <v>9595.45</v>
      </c>
      <c r="C400" s="9">
        <v>9615.85</v>
      </c>
      <c r="D400" s="9">
        <v>9565.5</v>
      </c>
      <c r="E400" s="9">
        <v>9588.05</v>
      </c>
      <c r="F400" s="9">
        <v>2.19808528E8</v>
      </c>
      <c r="G400" s="47">
        <v>11920.62</v>
      </c>
    </row>
    <row r="401" ht="14.25" customHeight="1">
      <c r="A401" s="46">
        <v>42905.0</v>
      </c>
      <c r="B401" s="9">
        <v>9626.4</v>
      </c>
      <c r="C401" s="9">
        <v>9673.3</v>
      </c>
      <c r="D401" s="9">
        <v>9614.9</v>
      </c>
      <c r="E401" s="9">
        <v>9657.55</v>
      </c>
      <c r="F401" s="9">
        <v>1.46146062E8</v>
      </c>
      <c r="G401" s="47">
        <v>8144.36</v>
      </c>
    </row>
    <row r="402" ht="14.25" customHeight="1">
      <c r="A402" s="46">
        <v>42906.0</v>
      </c>
      <c r="B402" s="9">
        <v>9670.5</v>
      </c>
      <c r="C402" s="9">
        <v>9676.5</v>
      </c>
      <c r="D402" s="9">
        <v>9643.75</v>
      </c>
      <c r="E402" s="9">
        <v>9653.5</v>
      </c>
      <c r="F402" s="9">
        <v>1.64437226E8</v>
      </c>
      <c r="G402" s="47">
        <v>8476.67</v>
      </c>
    </row>
    <row r="403" ht="14.25" customHeight="1">
      <c r="A403" s="46">
        <v>42907.0</v>
      </c>
      <c r="B403" s="9">
        <v>9648.1</v>
      </c>
      <c r="C403" s="9">
        <v>9650.45</v>
      </c>
      <c r="D403" s="9">
        <v>9608.6</v>
      </c>
      <c r="E403" s="9">
        <v>9633.6</v>
      </c>
      <c r="F403" s="9">
        <v>1.48490556E8</v>
      </c>
      <c r="G403" s="47">
        <v>8023.4</v>
      </c>
    </row>
    <row r="404" ht="14.25" customHeight="1">
      <c r="A404" s="46">
        <v>42908.0</v>
      </c>
      <c r="B404" s="9">
        <v>9642.65</v>
      </c>
      <c r="C404" s="9">
        <v>9698.85</v>
      </c>
      <c r="D404" s="9">
        <v>9617.75</v>
      </c>
      <c r="E404" s="9">
        <v>9630.0</v>
      </c>
      <c r="F404" s="9">
        <v>2.04888654E8</v>
      </c>
      <c r="G404" s="47">
        <v>10738.45</v>
      </c>
    </row>
    <row r="405" ht="14.25" customHeight="1">
      <c r="A405" s="46">
        <v>42909.0</v>
      </c>
      <c r="B405" s="9">
        <v>9643.25</v>
      </c>
      <c r="C405" s="9">
        <v>9647.65</v>
      </c>
      <c r="D405" s="9">
        <v>9565.3</v>
      </c>
      <c r="E405" s="9">
        <v>9574.95</v>
      </c>
      <c r="F405" s="9">
        <v>1.80580579E8</v>
      </c>
      <c r="G405" s="47">
        <v>9092.74</v>
      </c>
    </row>
    <row r="406" ht="14.25" customHeight="1">
      <c r="A406" s="46">
        <v>42913.0</v>
      </c>
      <c r="B406" s="9">
        <v>9594.05</v>
      </c>
      <c r="C406" s="9">
        <v>9615.4</v>
      </c>
      <c r="D406" s="9">
        <v>9473.45</v>
      </c>
      <c r="E406" s="9">
        <v>9511.4</v>
      </c>
      <c r="F406" s="9">
        <v>2.09593904E8</v>
      </c>
      <c r="G406" s="47">
        <v>11084.51</v>
      </c>
    </row>
    <row r="407" ht="14.25" customHeight="1">
      <c r="A407" s="46">
        <v>42914.0</v>
      </c>
      <c r="B407" s="9">
        <v>9520.2</v>
      </c>
      <c r="C407" s="9">
        <v>9522.5</v>
      </c>
      <c r="D407" s="9">
        <v>9474.35</v>
      </c>
      <c r="E407" s="9">
        <v>9491.25</v>
      </c>
      <c r="F407" s="9">
        <v>1.77652206E8</v>
      </c>
      <c r="G407" s="47">
        <v>9103.73</v>
      </c>
    </row>
    <row r="408" ht="14.25" customHeight="1">
      <c r="A408" s="46">
        <v>42915.0</v>
      </c>
      <c r="B408" s="9">
        <v>9522.95</v>
      </c>
      <c r="C408" s="9">
        <v>9575.8</v>
      </c>
      <c r="D408" s="9">
        <v>9493.8</v>
      </c>
      <c r="E408" s="9">
        <v>9504.1</v>
      </c>
      <c r="F408" s="9">
        <v>2.67283587E8</v>
      </c>
      <c r="G408" s="47">
        <v>13395.85</v>
      </c>
    </row>
    <row r="409" ht="14.25" customHeight="1">
      <c r="A409" s="46">
        <v>42916.0</v>
      </c>
      <c r="B409" s="9">
        <v>9478.5</v>
      </c>
      <c r="C409" s="9">
        <v>9535.8</v>
      </c>
      <c r="D409" s="9">
        <v>9448.75</v>
      </c>
      <c r="E409" s="9">
        <v>9520.9</v>
      </c>
      <c r="F409" s="9">
        <v>1.852026E8</v>
      </c>
      <c r="G409" s="47">
        <v>8783.59</v>
      </c>
    </row>
    <row r="410" ht="14.25" customHeight="1">
      <c r="A410" s="46">
        <v>42919.0</v>
      </c>
      <c r="B410" s="9">
        <v>9587.95</v>
      </c>
      <c r="C410" s="9">
        <v>9624.0</v>
      </c>
      <c r="D410" s="9">
        <v>9543.55</v>
      </c>
      <c r="E410" s="9">
        <v>9615.0</v>
      </c>
      <c r="F410" s="9">
        <v>1.88690599E8</v>
      </c>
      <c r="G410" s="47">
        <v>8720.76</v>
      </c>
    </row>
    <row r="411" ht="14.25" customHeight="1">
      <c r="A411" s="46">
        <v>42920.0</v>
      </c>
      <c r="B411" s="9">
        <v>9645.9</v>
      </c>
      <c r="C411" s="9">
        <v>9650.65</v>
      </c>
      <c r="D411" s="9">
        <v>9595.5</v>
      </c>
      <c r="E411" s="9">
        <v>9613.3</v>
      </c>
      <c r="F411" s="9">
        <v>1.49313755E8</v>
      </c>
      <c r="G411" s="47">
        <v>7774.69</v>
      </c>
    </row>
    <row r="412" ht="14.25" customHeight="1">
      <c r="A412" s="46">
        <v>42921.0</v>
      </c>
      <c r="B412" s="9">
        <v>9619.75</v>
      </c>
      <c r="C412" s="9">
        <v>9643.65</v>
      </c>
      <c r="D412" s="9">
        <v>9607.35</v>
      </c>
      <c r="E412" s="9">
        <v>9637.6</v>
      </c>
      <c r="F412" s="9">
        <v>1.34849476E8</v>
      </c>
      <c r="G412" s="47">
        <v>7311.1</v>
      </c>
    </row>
    <row r="413" ht="14.25" customHeight="1">
      <c r="A413" s="46">
        <v>42922.0</v>
      </c>
      <c r="B413" s="9">
        <v>9653.6</v>
      </c>
      <c r="C413" s="9">
        <v>9700.7</v>
      </c>
      <c r="D413" s="9">
        <v>9639.95</v>
      </c>
      <c r="E413" s="9">
        <v>9674.55</v>
      </c>
      <c r="F413" s="9">
        <v>1.5200194E8</v>
      </c>
      <c r="G413" s="47">
        <v>7539.21</v>
      </c>
    </row>
    <row r="414" ht="14.25" customHeight="1">
      <c r="A414" s="46">
        <v>42923.0</v>
      </c>
      <c r="B414" s="9">
        <v>9670.35</v>
      </c>
      <c r="C414" s="9">
        <v>9684.25</v>
      </c>
      <c r="D414" s="9">
        <v>9642.65</v>
      </c>
      <c r="E414" s="9">
        <v>9665.8</v>
      </c>
      <c r="F414" s="9">
        <v>1.46232151E8</v>
      </c>
      <c r="G414" s="47">
        <v>8514.53</v>
      </c>
    </row>
    <row r="415" ht="14.25" customHeight="1">
      <c r="A415" s="46">
        <v>42926.0</v>
      </c>
      <c r="B415" s="9">
        <v>9719.3</v>
      </c>
      <c r="C415" s="9">
        <v>9782.15</v>
      </c>
      <c r="D415" s="9">
        <v>9646.45</v>
      </c>
      <c r="E415" s="9">
        <v>9771.05</v>
      </c>
      <c r="F415" s="9">
        <v>4.0142973E7</v>
      </c>
      <c r="G415" s="47">
        <v>1920.78</v>
      </c>
    </row>
    <row r="416" ht="14.25" customHeight="1">
      <c r="A416" s="46">
        <v>42927.0</v>
      </c>
      <c r="B416" s="9">
        <v>9797.45</v>
      </c>
      <c r="C416" s="9">
        <v>9830.05</v>
      </c>
      <c r="D416" s="9">
        <v>9778.85</v>
      </c>
      <c r="E416" s="9">
        <v>9786.05</v>
      </c>
      <c r="F416" s="9">
        <v>1.85322358E8</v>
      </c>
      <c r="G416" s="47">
        <v>9908.41</v>
      </c>
    </row>
    <row r="417" ht="14.25" customHeight="1">
      <c r="A417" s="46">
        <v>42928.0</v>
      </c>
      <c r="B417" s="9">
        <v>9807.3</v>
      </c>
      <c r="C417" s="9">
        <v>9824.95</v>
      </c>
      <c r="D417" s="9">
        <v>9787.7</v>
      </c>
      <c r="E417" s="9">
        <v>9816.1</v>
      </c>
      <c r="F417" s="9">
        <v>1.50045594E8</v>
      </c>
      <c r="G417" s="47">
        <v>7966.44</v>
      </c>
    </row>
    <row r="418" ht="14.25" customHeight="1">
      <c r="A418" s="46">
        <v>42929.0</v>
      </c>
      <c r="B418" s="9">
        <v>9855.8</v>
      </c>
      <c r="C418" s="9">
        <v>9897.25</v>
      </c>
      <c r="D418" s="9">
        <v>9853.45</v>
      </c>
      <c r="E418" s="9">
        <v>9891.7</v>
      </c>
      <c r="F418" s="9">
        <v>1.86866752E8</v>
      </c>
      <c r="G418" s="47">
        <v>10244.56</v>
      </c>
    </row>
    <row r="419" ht="14.25" customHeight="1">
      <c r="A419" s="46">
        <v>42930.0</v>
      </c>
      <c r="B419" s="9">
        <v>9913.3</v>
      </c>
      <c r="C419" s="9">
        <v>9913.3</v>
      </c>
      <c r="D419" s="9">
        <v>9845.45</v>
      </c>
      <c r="E419" s="9">
        <v>9886.35</v>
      </c>
      <c r="F419" s="9">
        <v>1.64456602E8</v>
      </c>
      <c r="G419" s="47">
        <v>9187.71</v>
      </c>
    </row>
    <row r="420" ht="14.25" customHeight="1">
      <c r="A420" s="46">
        <v>42933.0</v>
      </c>
      <c r="B420" s="9">
        <v>9908.15</v>
      </c>
      <c r="C420" s="9">
        <v>9928.2</v>
      </c>
      <c r="D420" s="9">
        <v>9894.7</v>
      </c>
      <c r="E420" s="9">
        <v>9915.95</v>
      </c>
      <c r="F420" s="9">
        <v>1.68596771E8</v>
      </c>
      <c r="G420" s="47">
        <v>8310.48</v>
      </c>
    </row>
    <row r="421" ht="14.25" customHeight="1">
      <c r="A421" s="46">
        <v>42934.0</v>
      </c>
      <c r="B421" s="9">
        <v>9832.7</v>
      </c>
      <c r="C421" s="9">
        <v>9885.35</v>
      </c>
      <c r="D421" s="9">
        <v>9792.05</v>
      </c>
      <c r="E421" s="9">
        <v>9827.15</v>
      </c>
      <c r="F421" s="9">
        <v>3.0300786E8</v>
      </c>
      <c r="G421" s="47">
        <v>13184.22</v>
      </c>
    </row>
    <row r="422" ht="14.25" customHeight="1">
      <c r="A422" s="46">
        <v>42935.0</v>
      </c>
      <c r="B422" s="9">
        <v>9855.95</v>
      </c>
      <c r="C422" s="9">
        <v>9905.05</v>
      </c>
      <c r="D422" s="9">
        <v>9851.65</v>
      </c>
      <c r="E422" s="9">
        <v>9899.6</v>
      </c>
      <c r="F422" s="9">
        <v>2.06376192E8</v>
      </c>
      <c r="G422" s="47">
        <v>10935.6</v>
      </c>
    </row>
    <row r="423" ht="14.25" customHeight="1">
      <c r="A423" s="46">
        <v>42936.0</v>
      </c>
      <c r="B423" s="9">
        <v>9920.2</v>
      </c>
      <c r="C423" s="9">
        <v>9922.55</v>
      </c>
      <c r="D423" s="9">
        <v>9863.45</v>
      </c>
      <c r="E423" s="9">
        <v>9873.3</v>
      </c>
      <c r="F423" s="9">
        <v>1.66083004E8</v>
      </c>
      <c r="G423" s="47">
        <v>8942.56</v>
      </c>
    </row>
    <row r="424" ht="14.25" customHeight="1">
      <c r="A424" s="46">
        <v>42937.0</v>
      </c>
      <c r="B424" s="9">
        <v>9899.6</v>
      </c>
      <c r="C424" s="9">
        <v>9924.7</v>
      </c>
      <c r="D424" s="9">
        <v>9838.0</v>
      </c>
      <c r="E424" s="9">
        <v>9915.25</v>
      </c>
      <c r="F424" s="9">
        <v>1.93286125E8</v>
      </c>
      <c r="G424" s="47">
        <v>11860.28</v>
      </c>
    </row>
    <row r="425" ht="14.25" customHeight="1">
      <c r="A425" s="46">
        <v>42940.0</v>
      </c>
      <c r="B425" s="9">
        <v>9936.8</v>
      </c>
      <c r="C425" s="9">
        <v>9982.05</v>
      </c>
      <c r="D425" s="9">
        <v>9919.6</v>
      </c>
      <c r="E425" s="9">
        <v>9966.4</v>
      </c>
      <c r="F425" s="9">
        <v>1.79905535E8</v>
      </c>
      <c r="G425" s="47">
        <v>10837.2</v>
      </c>
    </row>
    <row r="426" ht="14.25" customHeight="1">
      <c r="A426" s="46">
        <v>42941.0</v>
      </c>
      <c r="B426" s="9">
        <v>10010.55</v>
      </c>
      <c r="C426" s="9">
        <v>10011.3</v>
      </c>
      <c r="D426" s="9">
        <v>9949.1</v>
      </c>
      <c r="E426" s="9">
        <v>9964.55</v>
      </c>
      <c r="F426" s="9">
        <v>1.91206247E8</v>
      </c>
      <c r="G426" s="47">
        <v>10491.32</v>
      </c>
    </row>
    <row r="427" ht="14.25" customHeight="1">
      <c r="A427" s="46">
        <v>42942.0</v>
      </c>
      <c r="B427" s="9">
        <v>9983.65</v>
      </c>
      <c r="C427" s="9">
        <v>10025.95</v>
      </c>
      <c r="D427" s="9">
        <v>9965.95</v>
      </c>
      <c r="E427" s="9">
        <v>10020.65</v>
      </c>
      <c r="F427" s="9">
        <v>2.03697844E8</v>
      </c>
      <c r="G427" s="47">
        <v>11403.3</v>
      </c>
    </row>
    <row r="428" ht="14.25" customHeight="1">
      <c r="A428" s="46">
        <v>42943.0</v>
      </c>
      <c r="B428" s="9">
        <v>10063.25</v>
      </c>
      <c r="C428" s="9">
        <v>10114.85</v>
      </c>
      <c r="D428" s="9">
        <v>10005.5</v>
      </c>
      <c r="E428" s="9">
        <v>10020.55</v>
      </c>
      <c r="F428" s="9">
        <v>2.96782048E8</v>
      </c>
      <c r="G428" s="47">
        <v>18601.99</v>
      </c>
    </row>
    <row r="429" ht="14.25" customHeight="1">
      <c r="A429" s="46">
        <v>42944.0</v>
      </c>
      <c r="B429" s="9">
        <v>9996.55</v>
      </c>
      <c r="C429" s="9">
        <v>10026.05</v>
      </c>
      <c r="D429" s="9">
        <v>9944.5</v>
      </c>
      <c r="E429" s="9">
        <v>10014.5</v>
      </c>
      <c r="F429" s="9">
        <v>1.97491415E8</v>
      </c>
      <c r="G429" s="47">
        <v>11996.8</v>
      </c>
    </row>
    <row r="430" ht="14.25" customHeight="1">
      <c r="A430" s="46">
        <v>42947.0</v>
      </c>
      <c r="B430" s="9">
        <v>10034.7</v>
      </c>
      <c r="C430" s="9">
        <v>10085.9</v>
      </c>
      <c r="D430" s="9">
        <v>10016.95</v>
      </c>
      <c r="E430" s="9">
        <v>10077.1</v>
      </c>
      <c r="F430" s="9">
        <v>2.45096535E8</v>
      </c>
      <c r="G430" s="47">
        <v>13131.89</v>
      </c>
    </row>
    <row r="431" ht="14.25" customHeight="1">
      <c r="A431" s="46">
        <v>42948.0</v>
      </c>
      <c r="B431" s="9">
        <v>10101.05</v>
      </c>
      <c r="C431" s="9">
        <v>10128.6</v>
      </c>
      <c r="D431" s="9">
        <v>10065.75</v>
      </c>
      <c r="E431" s="9">
        <v>10114.65</v>
      </c>
      <c r="F431" s="9">
        <v>1.90000516E8</v>
      </c>
      <c r="G431" s="47">
        <v>11515.29</v>
      </c>
    </row>
    <row r="432" ht="14.25" customHeight="1">
      <c r="A432" s="46">
        <v>42949.0</v>
      </c>
      <c r="B432" s="9">
        <v>10136.3</v>
      </c>
      <c r="C432" s="9">
        <v>10137.85</v>
      </c>
      <c r="D432" s="9">
        <v>10054.2</v>
      </c>
      <c r="E432" s="9">
        <v>10081.5</v>
      </c>
      <c r="F432" s="9">
        <v>1.66463276E8</v>
      </c>
      <c r="G432" s="47">
        <v>9165.92</v>
      </c>
    </row>
    <row r="433" ht="14.25" customHeight="1">
      <c r="A433" s="46">
        <v>42950.0</v>
      </c>
      <c r="B433" s="9">
        <v>10081.15</v>
      </c>
      <c r="C433" s="9">
        <v>10081.15</v>
      </c>
      <c r="D433" s="9">
        <v>9998.25</v>
      </c>
      <c r="E433" s="9">
        <v>10013.65</v>
      </c>
      <c r="F433" s="9">
        <v>1.98665837E8</v>
      </c>
      <c r="G433" s="47">
        <v>10714.1</v>
      </c>
    </row>
    <row r="434" ht="14.25" customHeight="1">
      <c r="A434" s="46">
        <v>42951.0</v>
      </c>
      <c r="B434" s="9">
        <v>10008.6</v>
      </c>
      <c r="C434" s="9">
        <v>10075.25</v>
      </c>
      <c r="D434" s="9">
        <v>9988.35</v>
      </c>
      <c r="E434" s="9">
        <v>10066.4</v>
      </c>
      <c r="F434" s="9">
        <v>1.84082134E8</v>
      </c>
      <c r="G434" s="47">
        <v>10397.88</v>
      </c>
    </row>
    <row r="435" ht="14.25" customHeight="1">
      <c r="A435" s="46">
        <v>42954.0</v>
      </c>
      <c r="B435" s="9">
        <v>10074.8</v>
      </c>
      <c r="C435" s="9">
        <v>10088.1</v>
      </c>
      <c r="D435" s="9">
        <v>10046.35</v>
      </c>
      <c r="E435" s="9">
        <v>10057.4</v>
      </c>
      <c r="F435" s="9">
        <v>1.41566282E8</v>
      </c>
      <c r="G435" s="47">
        <v>7827.95</v>
      </c>
    </row>
    <row r="436" ht="14.25" customHeight="1">
      <c r="A436" s="46">
        <v>42955.0</v>
      </c>
      <c r="B436" s="9">
        <v>10068.35</v>
      </c>
      <c r="C436" s="9">
        <v>10083.8</v>
      </c>
      <c r="D436" s="9">
        <v>9947.0</v>
      </c>
      <c r="E436" s="9">
        <v>9978.55</v>
      </c>
      <c r="F436" s="9">
        <v>2.09645343E8</v>
      </c>
      <c r="G436" s="47">
        <v>10780.41</v>
      </c>
    </row>
    <row r="437" ht="14.25" customHeight="1">
      <c r="A437" s="46">
        <v>42956.0</v>
      </c>
      <c r="B437" s="9">
        <v>9961.15</v>
      </c>
      <c r="C437" s="9">
        <v>9969.8</v>
      </c>
      <c r="D437" s="9">
        <v>9893.05</v>
      </c>
      <c r="E437" s="9">
        <v>9908.05</v>
      </c>
      <c r="F437" s="9">
        <v>1.74395293E8</v>
      </c>
      <c r="G437" s="47">
        <v>8831.72</v>
      </c>
    </row>
    <row r="438" ht="14.25" customHeight="1">
      <c r="A438" s="46">
        <v>42957.0</v>
      </c>
      <c r="B438" s="9">
        <v>9872.85</v>
      </c>
      <c r="C438" s="9">
        <v>9892.65</v>
      </c>
      <c r="D438" s="9">
        <v>9776.2</v>
      </c>
      <c r="E438" s="9">
        <v>9820.25</v>
      </c>
      <c r="F438" s="9">
        <v>2.42820594E8</v>
      </c>
      <c r="G438" s="47">
        <v>12040.13</v>
      </c>
    </row>
    <row r="439" ht="14.25" customHeight="1">
      <c r="A439" s="46">
        <v>42958.0</v>
      </c>
      <c r="B439" s="9">
        <v>9712.15</v>
      </c>
      <c r="C439" s="9">
        <v>9771.65</v>
      </c>
      <c r="D439" s="9">
        <v>9685.55</v>
      </c>
      <c r="E439" s="9">
        <v>9710.8</v>
      </c>
      <c r="F439" s="9">
        <v>2.94732998E8</v>
      </c>
      <c r="G439" s="47">
        <v>13435.56</v>
      </c>
    </row>
    <row r="440" ht="14.25" customHeight="1">
      <c r="A440" s="46">
        <v>42961.0</v>
      </c>
      <c r="B440" s="9">
        <v>9755.75</v>
      </c>
      <c r="C440" s="9">
        <v>9818.3</v>
      </c>
      <c r="D440" s="9">
        <v>9752.1</v>
      </c>
      <c r="E440" s="9">
        <v>9794.15</v>
      </c>
      <c r="F440" s="9">
        <v>2.01613585E8</v>
      </c>
      <c r="G440" s="47">
        <v>9486.82</v>
      </c>
    </row>
    <row r="441" ht="14.25" customHeight="1">
      <c r="A441" s="46">
        <v>42963.0</v>
      </c>
      <c r="B441" s="9">
        <v>9825.85</v>
      </c>
      <c r="C441" s="9">
        <v>9903.95</v>
      </c>
      <c r="D441" s="9">
        <v>9773.85</v>
      </c>
      <c r="E441" s="9">
        <v>9897.3</v>
      </c>
      <c r="F441" s="9">
        <v>2.26269013E8</v>
      </c>
      <c r="G441" s="47">
        <v>10815.38</v>
      </c>
    </row>
    <row r="442" ht="14.25" customHeight="1">
      <c r="A442" s="46">
        <v>42964.0</v>
      </c>
      <c r="B442" s="9">
        <v>9945.55</v>
      </c>
      <c r="C442" s="9">
        <v>9947.8</v>
      </c>
      <c r="D442" s="9">
        <v>9883.75</v>
      </c>
      <c r="E442" s="9">
        <v>9904.15</v>
      </c>
      <c r="F442" s="9">
        <v>2.03652311E8</v>
      </c>
      <c r="G442" s="47">
        <v>9927.47</v>
      </c>
    </row>
    <row r="443" ht="14.25" customHeight="1">
      <c r="A443" s="46">
        <v>42965.0</v>
      </c>
      <c r="B443" s="9">
        <v>9865.95</v>
      </c>
      <c r="C443" s="9">
        <v>9865.95</v>
      </c>
      <c r="D443" s="9">
        <v>9783.65</v>
      </c>
      <c r="E443" s="9">
        <v>9837.4</v>
      </c>
      <c r="F443" s="9">
        <v>2.53931517E8</v>
      </c>
      <c r="G443" s="47">
        <v>15636.16</v>
      </c>
    </row>
    <row r="444" ht="14.25" customHeight="1">
      <c r="A444" s="46">
        <v>42968.0</v>
      </c>
      <c r="B444" s="9">
        <v>9864.25</v>
      </c>
      <c r="C444" s="9">
        <v>9884.35</v>
      </c>
      <c r="D444" s="9">
        <v>9740.1</v>
      </c>
      <c r="E444" s="9">
        <v>9754.35</v>
      </c>
      <c r="F444" s="9">
        <v>2.11627775E8</v>
      </c>
      <c r="G444" s="47">
        <v>11764.0</v>
      </c>
    </row>
    <row r="445" ht="14.25" customHeight="1">
      <c r="A445" s="46">
        <v>42969.0</v>
      </c>
      <c r="B445" s="9">
        <v>9815.75</v>
      </c>
      <c r="C445" s="9">
        <v>9828.45</v>
      </c>
      <c r="D445" s="9">
        <v>9752.6</v>
      </c>
      <c r="E445" s="9">
        <v>9765.55</v>
      </c>
      <c r="F445" s="9">
        <v>1.89267122E8</v>
      </c>
      <c r="G445" s="47">
        <v>9850.89</v>
      </c>
    </row>
    <row r="446" ht="14.25" customHeight="1">
      <c r="A446" s="46">
        <v>42970.0</v>
      </c>
      <c r="B446" s="9">
        <v>9803.05</v>
      </c>
      <c r="C446" s="9">
        <v>9857.9</v>
      </c>
      <c r="D446" s="9">
        <v>9786.75</v>
      </c>
      <c r="E446" s="9">
        <v>9852.5</v>
      </c>
      <c r="F446" s="9">
        <v>1.73815509E8</v>
      </c>
      <c r="G446" s="47">
        <v>9961.13</v>
      </c>
    </row>
    <row r="447" ht="14.25" customHeight="1">
      <c r="A447" s="46">
        <v>42971.0</v>
      </c>
      <c r="B447" s="9">
        <v>9881.2</v>
      </c>
      <c r="C447" s="9">
        <v>9881.5</v>
      </c>
      <c r="D447" s="9">
        <v>9848.85</v>
      </c>
      <c r="E447" s="9">
        <v>9857.05</v>
      </c>
      <c r="F447" s="9">
        <v>1.90398702E8</v>
      </c>
      <c r="G447" s="47">
        <v>10392.63</v>
      </c>
    </row>
    <row r="448" ht="14.25" customHeight="1">
      <c r="A448" s="46">
        <v>42975.0</v>
      </c>
      <c r="B448" s="9">
        <v>9907.15</v>
      </c>
      <c r="C448" s="9">
        <v>9925.75</v>
      </c>
      <c r="D448" s="9">
        <v>9882.0</v>
      </c>
      <c r="E448" s="9">
        <v>9912.8</v>
      </c>
      <c r="F448" s="9">
        <v>1.64493772E8</v>
      </c>
      <c r="G448" s="47">
        <v>9900.06</v>
      </c>
    </row>
    <row r="449" ht="14.25" customHeight="1">
      <c r="A449" s="46">
        <v>42976.0</v>
      </c>
      <c r="B449" s="9">
        <v>9886.4</v>
      </c>
      <c r="C449" s="9">
        <v>9887.35</v>
      </c>
      <c r="D449" s="9">
        <v>9783.75</v>
      </c>
      <c r="E449" s="9">
        <v>9796.05</v>
      </c>
      <c r="F449" s="9">
        <v>1.78668444E8</v>
      </c>
      <c r="G449" s="47">
        <v>8469.09</v>
      </c>
    </row>
    <row r="450" ht="14.25" customHeight="1">
      <c r="A450" s="46">
        <v>42977.0</v>
      </c>
      <c r="B450" s="9">
        <v>9859.5</v>
      </c>
      <c r="C450" s="9">
        <v>9909.45</v>
      </c>
      <c r="D450" s="9">
        <v>9850.8</v>
      </c>
      <c r="E450" s="9">
        <v>9884.4</v>
      </c>
      <c r="F450" s="9">
        <v>1.62704136E8</v>
      </c>
      <c r="G450" s="47">
        <v>8008.72</v>
      </c>
    </row>
    <row r="451" ht="14.25" customHeight="1">
      <c r="A451" s="46">
        <v>42978.0</v>
      </c>
      <c r="B451" s="9">
        <v>9905.7</v>
      </c>
      <c r="C451" s="9">
        <v>9925.1</v>
      </c>
      <c r="D451" s="9">
        <v>9856.95</v>
      </c>
      <c r="E451" s="9">
        <v>9917.9</v>
      </c>
      <c r="F451" s="9">
        <v>3.37782004E8</v>
      </c>
      <c r="G451" s="47">
        <v>14619.43</v>
      </c>
    </row>
    <row r="452" ht="14.25" customHeight="1">
      <c r="A452" s="46">
        <v>42979.0</v>
      </c>
      <c r="B452" s="9">
        <v>9937.65</v>
      </c>
      <c r="C452" s="9">
        <v>9983.45</v>
      </c>
      <c r="D452" s="9">
        <v>9909.85</v>
      </c>
      <c r="E452" s="9">
        <v>9974.4</v>
      </c>
      <c r="F452" s="9">
        <v>1.62730656E8</v>
      </c>
      <c r="G452" s="47">
        <v>9314.82</v>
      </c>
    </row>
    <row r="453" ht="14.25" customHeight="1">
      <c r="A453" s="46">
        <v>42982.0</v>
      </c>
      <c r="B453" s="9">
        <v>9984.15</v>
      </c>
      <c r="C453" s="9">
        <v>9988.4</v>
      </c>
      <c r="D453" s="9">
        <v>9861.0</v>
      </c>
      <c r="E453" s="9">
        <v>9912.85</v>
      </c>
      <c r="F453" s="9">
        <v>1.53369495E8</v>
      </c>
      <c r="G453" s="47">
        <v>8069.64</v>
      </c>
    </row>
    <row r="454" ht="14.25" customHeight="1">
      <c r="A454" s="46">
        <v>42983.0</v>
      </c>
      <c r="B454" s="9">
        <v>9933.25</v>
      </c>
      <c r="C454" s="9">
        <v>9963.1</v>
      </c>
      <c r="D454" s="9">
        <v>9901.05</v>
      </c>
      <c r="E454" s="9">
        <v>9952.2</v>
      </c>
      <c r="F454" s="9">
        <v>1.43522342E8</v>
      </c>
      <c r="G454" s="47">
        <v>7566.62</v>
      </c>
    </row>
    <row r="455" ht="14.25" customHeight="1">
      <c r="A455" s="46">
        <v>42984.0</v>
      </c>
      <c r="B455" s="9">
        <v>9899.25</v>
      </c>
      <c r="C455" s="9">
        <v>9931.55</v>
      </c>
      <c r="D455" s="9">
        <v>9882.55</v>
      </c>
      <c r="E455" s="9">
        <v>9916.2</v>
      </c>
      <c r="F455" s="9">
        <v>1.53767846E8</v>
      </c>
      <c r="G455" s="47">
        <v>8926.98</v>
      </c>
    </row>
    <row r="456" ht="14.25" customHeight="1">
      <c r="A456" s="46">
        <v>42985.0</v>
      </c>
      <c r="B456" s="9">
        <v>9945.85</v>
      </c>
      <c r="C456" s="9">
        <v>9964.85</v>
      </c>
      <c r="D456" s="9">
        <v>9917.2</v>
      </c>
      <c r="E456" s="9">
        <v>9929.9</v>
      </c>
      <c r="F456" s="9">
        <v>1.94626599E8</v>
      </c>
      <c r="G456" s="47">
        <v>9455.48</v>
      </c>
    </row>
    <row r="457" ht="14.25" customHeight="1">
      <c r="A457" s="46">
        <v>42986.0</v>
      </c>
      <c r="B457" s="9">
        <v>9958.65</v>
      </c>
      <c r="C457" s="9">
        <v>9963.6</v>
      </c>
      <c r="D457" s="9">
        <v>9913.3</v>
      </c>
      <c r="E457" s="9">
        <v>9934.8</v>
      </c>
      <c r="F457" s="9">
        <v>1.68698771E8</v>
      </c>
      <c r="G457" s="47">
        <v>8792.49</v>
      </c>
    </row>
    <row r="458" ht="14.25" customHeight="1">
      <c r="A458" s="46">
        <v>42989.0</v>
      </c>
      <c r="B458" s="9">
        <v>9971.75</v>
      </c>
      <c r="C458" s="9">
        <v>10028.65</v>
      </c>
      <c r="D458" s="9">
        <v>9968.8</v>
      </c>
      <c r="E458" s="9">
        <v>10006.05</v>
      </c>
      <c r="F458" s="9">
        <v>1.78409875E8</v>
      </c>
      <c r="G458" s="47">
        <v>9545.94</v>
      </c>
    </row>
    <row r="459" ht="14.25" customHeight="1">
      <c r="A459" s="46">
        <v>42990.0</v>
      </c>
      <c r="B459" s="9">
        <v>10056.85</v>
      </c>
      <c r="C459" s="9">
        <v>10097.55</v>
      </c>
      <c r="D459" s="9">
        <v>10028.05</v>
      </c>
      <c r="E459" s="9">
        <v>10093.05</v>
      </c>
      <c r="F459" s="9">
        <v>1.88248293E8</v>
      </c>
      <c r="G459" s="47">
        <v>9894.2</v>
      </c>
    </row>
    <row r="460" ht="14.25" customHeight="1">
      <c r="A460" s="46">
        <v>42991.0</v>
      </c>
      <c r="B460" s="9">
        <v>10099.25</v>
      </c>
      <c r="C460" s="9">
        <v>10131.95</v>
      </c>
      <c r="D460" s="9">
        <v>10063.15</v>
      </c>
      <c r="E460" s="9">
        <v>10079.3</v>
      </c>
      <c r="F460" s="9">
        <v>2.21608053E8</v>
      </c>
      <c r="G460" s="47">
        <v>10682.41</v>
      </c>
    </row>
    <row r="461" ht="14.25" customHeight="1">
      <c r="A461" s="46">
        <v>42992.0</v>
      </c>
      <c r="B461" s="9">
        <v>10107.4</v>
      </c>
      <c r="C461" s="9">
        <v>10126.5</v>
      </c>
      <c r="D461" s="9">
        <v>10070.35</v>
      </c>
      <c r="E461" s="9">
        <v>10086.6</v>
      </c>
      <c r="F461" s="9">
        <v>2.32637517E8</v>
      </c>
      <c r="G461" s="47">
        <v>11047.46</v>
      </c>
    </row>
    <row r="462" ht="14.25" customHeight="1">
      <c r="A462" s="46">
        <v>42993.0</v>
      </c>
      <c r="B462" s="9">
        <v>10062.35</v>
      </c>
      <c r="C462" s="9">
        <v>10115.15</v>
      </c>
      <c r="D462" s="9">
        <v>10043.65</v>
      </c>
      <c r="E462" s="9">
        <v>10085.4</v>
      </c>
      <c r="F462" s="9">
        <v>2.74799134E8</v>
      </c>
      <c r="G462" s="47">
        <v>13650.9</v>
      </c>
    </row>
    <row r="463" ht="14.25" customHeight="1">
      <c r="A463" s="46">
        <v>42996.0</v>
      </c>
      <c r="B463" s="9">
        <v>10133.1</v>
      </c>
      <c r="C463" s="9">
        <v>10171.7</v>
      </c>
      <c r="D463" s="9">
        <v>10131.3</v>
      </c>
      <c r="E463" s="9">
        <v>10153.1</v>
      </c>
      <c r="F463" s="9">
        <v>1.6085268E8</v>
      </c>
      <c r="G463" s="47">
        <v>8106.66</v>
      </c>
    </row>
    <row r="464" ht="14.25" customHeight="1">
      <c r="A464" s="46">
        <v>42997.0</v>
      </c>
      <c r="B464" s="9">
        <v>10175.6</v>
      </c>
      <c r="C464" s="9">
        <v>10178.95</v>
      </c>
      <c r="D464" s="9">
        <v>10129.95</v>
      </c>
      <c r="E464" s="9">
        <v>10147.55</v>
      </c>
      <c r="F464" s="9">
        <v>1.93345992E8</v>
      </c>
      <c r="G464" s="47">
        <v>8796.21</v>
      </c>
    </row>
    <row r="465" ht="14.25" customHeight="1">
      <c r="A465" s="46">
        <v>42998.0</v>
      </c>
      <c r="B465" s="9">
        <v>10160.95</v>
      </c>
      <c r="C465" s="9">
        <v>10171.05</v>
      </c>
      <c r="D465" s="9">
        <v>10134.2</v>
      </c>
      <c r="E465" s="9">
        <v>10141.15</v>
      </c>
      <c r="F465" s="9">
        <v>2.05605243E8</v>
      </c>
      <c r="G465" s="47">
        <v>10105.71</v>
      </c>
    </row>
    <row r="466" ht="14.25" customHeight="1">
      <c r="A466" s="46">
        <v>42999.0</v>
      </c>
      <c r="B466" s="9">
        <v>10139.6</v>
      </c>
      <c r="C466" s="9">
        <v>10158.9</v>
      </c>
      <c r="D466" s="9">
        <v>10058.6</v>
      </c>
      <c r="E466" s="9">
        <v>10121.9</v>
      </c>
      <c r="F466" s="9">
        <v>1.97710666E8</v>
      </c>
      <c r="G466" s="47">
        <v>11114.28</v>
      </c>
    </row>
    <row r="467" ht="14.25" customHeight="1">
      <c r="A467" s="46">
        <v>43000.0</v>
      </c>
      <c r="B467" s="9">
        <v>10094.35</v>
      </c>
      <c r="C467" s="9">
        <v>10095.05</v>
      </c>
      <c r="D467" s="9">
        <v>9952.8</v>
      </c>
      <c r="E467" s="9">
        <v>9964.4</v>
      </c>
      <c r="F467" s="9">
        <v>2.33621596E8</v>
      </c>
      <c r="G467" s="47">
        <v>11941.88</v>
      </c>
    </row>
    <row r="468" ht="14.25" customHeight="1">
      <c r="A468" s="46">
        <v>43003.0</v>
      </c>
      <c r="B468" s="9">
        <v>9960.1</v>
      </c>
      <c r="C468" s="9">
        <v>9960.5</v>
      </c>
      <c r="D468" s="9">
        <v>9816.05</v>
      </c>
      <c r="E468" s="9">
        <v>9872.6</v>
      </c>
      <c r="F468" s="9">
        <v>2.2820697E8</v>
      </c>
      <c r="G468" s="47">
        <v>11258.68</v>
      </c>
    </row>
    <row r="469" ht="14.25" customHeight="1">
      <c r="A469" s="46">
        <v>43004.0</v>
      </c>
      <c r="B469" s="9">
        <v>9875.25</v>
      </c>
      <c r="C469" s="9">
        <v>9891.35</v>
      </c>
      <c r="D469" s="9">
        <v>9813.0</v>
      </c>
      <c r="E469" s="9">
        <v>9871.5</v>
      </c>
      <c r="F469" s="9">
        <v>1.96792799E8</v>
      </c>
      <c r="G469" s="47">
        <v>9754.02</v>
      </c>
    </row>
    <row r="470" ht="14.25" customHeight="1">
      <c r="A470" s="46">
        <v>43005.0</v>
      </c>
      <c r="B470" s="9">
        <v>9920.6</v>
      </c>
      <c r="C470" s="9">
        <v>9921.05</v>
      </c>
      <c r="D470" s="9">
        <v>9714.4</v>
      </c>
      <c r="E470" s="9">
        <v>9735.75</v>
      </c>
      <c r="F470" s="9">
        <v>2.06305991E8</v>
      </c>
      <c r="G470" s="47">
        <v>10127.39</v>
      </c>
    </row>
    <row r="471" ht="14.25" customHeight="1">
      <c r="A471" s="46">
        <v>43006.0</v>
      </c>
      <c r="B471" s="9">
        <v>9736.4</v>
      </c>
      <c r="C471" s="9">
        <v>9789.2</v>
      </c>
      <c r="D471" s="9">
        <v>9687.55</v>
      </c>
      <c r="E471" s="9">
        <v>9768.95</v>
      </c>
      <c r="F471" s="9">
        <v>3.96874518E8</v>
      </c>
      <c r="G471" s="47">
        <v>18962.4</v>
      </c>
    </row>
    <row r="472" ht="14.25" customHeight="1">
      <c r="A472" s="46">
        <v>43007.0</v>
      </c>
      <c r="B472" s="9">
        <v>9814.3</v>
      </c>
      <c r="C472" s="9">
        <v>9854.0</v>
      </c>
      <c r="D472" s="9">
        <v>9775.35</v>
      </c>
      <c r="E472" s="9">
        <v>9788.6</v>
      </c>
      <c r="F472" s="9">
        <v>2.02350211E8</v>
      </c>
      <c r="G472" s="47">
        <v>11087.11</v>
      </c>
    </row>
    <row r="473" ht="14.25" customHeight="1">
      <c r="A473" s="46">
        <v>43011.0</v>
      </c>
      <c r="B473" s="9">
        <v>9893.3</v>
      </c>
      <c r="C473" s="9">
        <v>9895.4</v>
      </c>
      <c r="D473" s="9">
        <v>9831.05</v>
      </c>
      <c r="E473" s="9">
        <v>9859.5</v>
      </c>
      <c r="F473" s="9">
        <v>1.67833406E8</v>
      </c>
      <c r="G473" s="47">
        <v>9698.55</v>
      </c>
    </row>
    <row r="474" ht="14.25" customHeight="1">
      <c r="A474" s="46">
        <v>43012.0</v>
      </c>
      <c r="B474" s="9">
        <v>9884.35</v>
      </c>
      <c r="C474" s="9">
        <v>9938.3</v>
      </c>
      <c r="D474" s="9">
        <v>9850.65</v>
      </c>
      <c r="E474" s="9">
        <v>9914.9</v>
      </c>
      <c r="F474" s="9">
        <v>1.60993982E8</v>
      </c>
      <c r="G474" s="47">
        <v>8790.29</v>
      </c>
    </row>
    <row r="475" ht="14.25" customHeight="1">
      <c r="A475" s="46">
        <v>43013.0</v>
      </c>
      <c r="B475" s="9">
        <v>9927.0</v>
      </c>
      <c r="C475" s="9">
        <v>9945.95</v>
      </c>
      <c r="D475" s="9">
        <v>9881.85</v>
      </c>
      <c r="E475" s="9">
        <v>9888.7</v>
      </c>
      <c r="F475" s="9">
        <v>1.52362417E8</v>
      </c>
      <c r="G475" s="47">
        <v>7823.55</v>
      </c>
    </row>
    <row r="476" ht="14.25" customHeight="1">
      <c r="A476" s="46">
        <v>43014.0</v>
      </c>
      <c r="B476" s="9">
        <v>9908.15</v>
      </c>
      <c r="C476" s="9">
        <v>9989.35</v>
      </c>
      <c r="D476" s="9">
        <v>9906.6</v>
      </c>
      <c r="E476" s="9">
        <v>9979.7</v>
      </c>
      <c r="F476" s="9">
        <v>2.01858899E8</v>
      </c>
      <c r="G476" s="47">
        <v>9986.18</v>
      </c>
    </row>
    <row r="477" ht="14.25" customHeight="1">
      <c r="A477" s="46">
        <v>43017.0</v>
      </c>
      <c r="B477" s="9">
        <v>9988.2</v>
      </c>
      <c r="C477" s="9">
        <v>10015.75</v>
      </c>
      <c r="D477" s="9">
        <v>9959.45</v>
      </c>
      <c r="E477" s="9">
        <v>9988.75</v>
      </c>
      <c r="F477" s="9">
        <v>1.48395842E8</v>
      </c>
      <c r="G477" s="47">
        <v>7425.19</v>
      </c>
    </row>
    <row r="478" ht="14.25" customHeight="1">
      <c r="A478" s="46">
        <v>43018.0</v>
      </c>
      <c r="B478" s="9">
        <v>10013.7</v>
      </c>
      <c r="C478" s="9">
        <v>10034.0</v>
      </c>
      <c r="D478" s="9">
        <v>10002.3</v>
      </c>
      <c r="E478" s="9">
        <v>10016.95</v>
      </c>
      <c r="F478" s="9">
        <v>1.5324657E8</v>
      </c>
      <c r="G478" s="47">
        <v>8055.5</v>
      </c>
    </row>
    <row r="479" ht="14.25" customHeight="1">
      <c r="A479" s="46">
        <v>43019.0</v>
      </c>
      <c r="B479" s="9">
        <v>10042.6</v>
      </c>
      <c r="C479" s="9">
        <v>10067.25</v>
      </c>
      <c r="D479" s="9">
        <v>9955.8</v>
      </c>
      <c r="E479" s="9">
        <v>9984.8</v>
      </c>
      <c r="F479" s="9">
        <v>1.95593061E8</v>
      </c>
      <c r="G479" s="47">
        <v>10227.9</v>
      </c>
    </row>
    <row r="480" ht="14.25" customHeight="1">
      <c r="A480" s="46">
        <v>43020.0</v>
      </c>
      <c r="B480" s="9">
        <v>10011.2</v>
      </c>
      <c r="C480" s="9">
        <v>10104.45</v>
      </c>
      <c r="D480" s="9">
        <v>9977.1</v>
      </c>
      <c r="E480" s="9">
        <v>10096.4</v>
      </c>
      <c r="F480" s="9">
        <v>2.07106672E8</v>
      </c>
      <c r="G480" s="47">
        <v>10579.8</v>
      </c>
    </row>
    <row r="481" ht="14.25" customHeight="1">
      <c r="A481" s="46">
        <v>43021.0</v>
      </c>
      <c r="B481" s="9">
        <v>10123.7</v>
      </c>
      <c r="C481" s="9">
        <v>10191.9</v>
      </c>
      <c r="D481" s="9">
        <v>10120.1</v>
      </c>
      <c r="E481" s="9">
        <v>10167.45</v>
      </c>
      <c r="F481" s="9">
        <v>2.37230047E8</v>
      </c>
      <c r="G481" s="47">
        <v>12379.8</v>
      </c>
    </row>
    <row r="482" ht="14.25" customHeight="1">
      <c r="A482" s="46">
        <v>43024.0</v>
      </c>
      <c r="B482" s="9">
        <v>10207.4</v>
      </c>
      <c r="C482" s="9">
        <v>10242.95</v>
      </c>
      <c r="D482" s="9">
        <v>10175.1</v>
      </c>
      <c r="E482" s="9">
        <v>10230.85</v>
      </c>
      <c r="F482" s="9">
        <v>2.09327364E8</v>
      </c>
      <c r="G482" s="47">
        <v>11774.68</v>
      </c>
    </row>
    <row r="483" ht="14.25" customHeight="1">
      <c r="A483" s="46">
        <v>43025.0</v>
      </c>
      <c r="B483" s="9">
        <v>10227.65</v>
      </c>
      <c r="C483" s="9">
        <v>10251.85</v>
      </c>
      <c r="D483" s="9">
        <v>10212.6</v>
      </c>
      <c r="E483" s="9">
        <v>10234.45</v>
      </c>
      <c r="F483" s="9">
        <v>2.01782377E8</v>
      </c>
      <c r="G483" s="47">
        <v>10422.81</v>
      </c>
    </row>
    <row r="484" ht="14.25" customHeight="1">
      <c r="A484" s="46">
        <v>43026.0</v>
      </c>
      <c r="B484" s="9">
        <v>10209.4</v>
      </c>
      <c r="C484" s="9">
        <v>10236.45</v>
      </c>
      <c r="D484" s="9">
        <v>10175.75</v>
      </c>
      <c r="E484" s="9">
        <v>10210.85</v>
      </c>
      <c r="F484" s="9">
        <v>2.6211179E8</v>
      </c>
      <c r="G484" s="47">
        <v>13177.83</v>
      </c>
    </row>
    <row r="485" ht="14.25" customHeight="1">
      <c r="A485" s="46">
        <v>43027.0</v>
      </c>
      <c r="B485" s="9">
        <v>10210.35</v>
      </c>
      <c r="C485" s="9">
        <v>10211.95</v>
      </c>
      <c r="D485" s="9">
        <v>10123.35</v>
      </c>
      <c r="E485" s="9">
        <v>10146.55</v>
      </c>
      <c r="F485" s="9">
        <v>3.1086379E7</v>
      </c>
      <c r="G485" s="47">
        <v>1685.16</v>
      </c>
    </row>
    <row r="486" ht="14.25" customHeight="1">
      <c r="A486" s="46">
        <v>43031.0</v>
      </c>
      <c r="B486" s="9">
        <v>10176.65</v>
      </c>
      <c r="C486" s="9">
        <v>10224.15</v>
      </c>
      <c r="D486" s="9">
        <v>10124.5</v>
      </c>
      <c r="E486" s="9">
        <v>10184.85</v>
      </c>
      <c r="F486" s="9">
        <v>2.24799211E8</v>
      </c>
      <c r="G486" s="47">
        <v>12144.31</v>
      </c>
    </row>
    <row r="487" ht="14.25" customHeight="1">
      <c r="A487" s="46">
        <v>43032.0</v>
      </c>
      <c r="B487" s="9">
        <v>10218.55</v>
      </c>
      <c r="C487" s="9">
        <v>10237.75</v>
      </c>
      <c r="D487" s="9">
        <v>10182.4</v>
      </c>
      <c r="E487" s="9">
        <v>10207.7</v>
      </c>
      <c r="F487" s="9">
        <v>2.23914325E8</v>
      </c>
      <c r="G487" s="47">
        <v>11539.73</v>
      </c>
    </row>
    <row r="488" ht="14.25" customHeight="1">
      <c r="A488" s="46">
        <v>43033.0</v>
      </c>
      <c r="B488" s="9">
        <v>10321.15</v>
      </c>
      <c r="C488" s="9">
        <v>10340.55</v>
      </c>
      <c r="D488" s="9">
        <v>10240.9</v>
      </c>
      <c r="E488" s="9">
        <v>10295.35</v>
      </c>
      <c r="F488" s="9">
        <v>6.12620774E8</v>
      </c>
      <c r="G488" s="47">
        <v>25922.51</v>
      </c>
    </row>
    <row r="489" ht="14.25" customHeight="1">
      <c r="A489" s="46">
        <v>43034.0</v>
      </c>
      <c r="B489" s="9">
        <v>10291.8</v>
      </c>
      <c r="C489" s="9">
        <v>10355.65</v>
      </c>
      <c r="D489" s="9">
        <v>10271.85</v>
      </c>
      <c r="E489" s="9">
        <v>10343.8</v>
      </c>
      <c r="F489" s="9">
        <v>4.43036008E8</v>
      </c>
      <c r="G489" s="47">
        <v>23135.46</v>
      </c>
    </row>
    <row r="490" ht="14.25" customHeight="1">
      <c r="A490" s="46">
        <v>43035.0</v>
      </c>
      <c r="B490" s="9">
        <v>10362.3</v>
      </c>
      <c r="C490" s="9">
        <v>10366.15</v>
      </c>
      <c r="D490" s="9">
        <v>10311.3</v>
      </c>
      <c r="E490" s="9">
        <v>10323.05</v>
      </c>
      <c r="F490" s="9">
        <v>3.2241141E8</v>
      </c>
      <c r="G490" s="47">
        <v>15149.9</v>
      </c>
    </row>
    <row r="491" ht="14.25" customHeight="1">
      <c r="A491" s="46">
        <v>43038.0</v>
      </c>
      <c r="B491" s="9">
        <v>10353.85</v>
      </c>
      <c r="C491" s="9">
        <v>10384.5</v>
      </c>
      <c r="D491" s="9">
        <v>10344.3</v>
      </c>
      <c r="E491" s="9">
        <v>10363.65</v>
      </c>
      <c r="F491" s="9">
        <v>2.44193178E8</v>
      </c>
      <c r="G491" s="47">
        <v>12558.7</v>
      </c>
    </row>
    <row r="492" ht="14.25" customHeight="1">
      <c r="A492" s="46">
        <v>43039.0</v>
      </c>
      <c r="B492" s="9">
        <v>10364.9</v>
      </c>
      <c r="C492" s="9">
        <v>10367.7</v>
      </c>
      <c r="D492" s="9">
        <v>10323.95</v>
      </c>
      <c r="E492" s="9">
        <v>10335.3</v>
      </c>
      <c r="F492" s="9">
        <v>2.398097E8</v>
      </c>
      <c r="G492" s="47">
        <v>12830.06</v>
      </c>
    </row>
    <row r="493" ht="14.25" customHeight="1">
      <c r="A493" s="46">
        <v>43040.0</v>
      </c>
      <c r="B493" s="9">
        <v>10390.35</v>
      </c>
      <c r="C493" s="9">
        <v>10451.65</v>
      </c>
      <c r="D493" s="9">
        <v>10383.05</v>
      </c>
      <c r="E493" s="9">
        <v>10440.5</v>
      </c>
      <c r="F493" s="9">
        <v>2.68270466E8</v>
      </c>
      <c r="G493" s="47">
        <v>14206.21</v>
      </c>
    </row>
    <row r="494" ht="14.25" customHeight="1">
      <c r="A494" s="46">
        <v>43041.0</v>
      </c>
      <c r="B494" s="9">
        <v>10440.5</v>
      </c>
      <c r="C494" s="9">
        <v>10453.0</v>
      </c>
      <c r="D494" s="9">
        <v>10412.55</v>
      </c>
      <c r="E494" s="9">
        <v>10423.8</v>
      </c>
      <c r="F494" s="9">
        <v>2.07735021E8</v>
      </c>
      <c r="G494" s="47">
        <v>10779.63</v>
      </c>
    </row>
    <row r="495" ht="14.25" customHeight="1">
      <c r="A495" s="46">
        <v>43042.0</v>
      </c>
      <c r="B495" s="9">
        <v>10461.55</v>
      </c>
      <c r="C495" s="9">
        <v>10461.7</v>
      </c>
      <c r="D495" s="9">
        <v>10403.6</v>
      </c>
      <c r="E495" s="9">
        <v>10452.5</v>
      </c>
      <c r="F495" s="9">
        <v>2.06101238E8</v>
      </c>
      <c r="G495" s="47">
        <v>10070.83</v>
      </c>
    </row>
    <row r="496" ht="14.25" customHeight="1">
      <c r="A496" s="46">
        <v>43045.0</v>
      </c>
      <c r="B496" s="9">
        <v>10431.75</v>
      </c>
      <c r="C496" s="9">
        <v>10490.45</v>
      </c>
      <c r="D496" s="9">
        <v>10413.75</v>
      </c>
      <c r="E496" s="9">
        <v>10451.8</v>
      </c>
      <c r="F496" s="9">
        <v>1.99559409E8</v>
      </c>
      <c r="G496" s="47">
        <v>10231.76</v>
      </c>
    </row>
    <row r="497" ht="14.25" customHeight="1">
      <c r="A497" s="46">
        <v>43046.0</v>
      </c>
      <c r="B497" s="9">
        <v>10477.15</v>
      </c>
      <c r="C497" s="9">
        <v>10485.75</v>
      </c>
      <c r="D497" s="9">
        <v>10340.8</v>
      </c>
      <c r="E497" s="9">
        <v>10350.15</v>
      </c>
      <c r="F497" s="9">
        <v>2.95830692E8</v>
      </c>
      <c r="G497" s="47">
        <v>16182.46</v>
      </c>
    </row>
    <row r="498" ht="14.25" customHeight="1">
      <c r="A498" s="46">
        <v>43047.0</v>
      </c>
      <c r="B498" s="9">
        <v>10361.95</v>
      </c>
      <c r="C498" s="9">
        <v>10384.25</v>
      </c>
      <c r="D498" s="9">
        <v>10285.5</v>
      </c>
      <c r="E498" s="9">
        <v>10303.15</v>
      </c>
      <c r="F498" s="9">
        <v>2.82950322E8</v>
      </c>
      <c r="G498" s="47">
        <v>14789.39</v>
      </c>
    </row>
    <row r="499" ht="14.25" customHeight="1">
      <c r="A499" s="46">
        <v>43048.0</v>
      </c>
      <c r="B499" s="9">
        <v>10358.65</v>
      </c>
      <c r="C499" s="9">
        <v>10368.45</v>
      </c>
      <c r="D499" s="9">
        <v>10266.95</v>
      </c>
      <c r="E499" s="9">
        <v>10308.95</v>
      </c>
      <c r="F499" s="9">
        <v>2.47606613E8</v>
      </c>
      <c r="G499" s="47">
        <v>12697.28</v>
      </c>
    </row>
    <row r="500" ht="14.25" customHeight="1">
      <c r="A500" s="46">
        <v>43049.0</v>
      </c>
      <c r="B500" s="9">
        <v>10304.35</v>
      </c>
      <c r="C500" s="9">
        <v>10344.95</v>
      </c>
      <c r="D500" s="9">
        <v>10254.1</v>
      </c>
      <c r="E500" s="9">
        <v>10321.75</v>
      </c>
      <c r="F500" s="9">
        <v>2.8796294E8</v>
      </c>
      <c r="G500" s="47">
        <v>14682.6</v>
      </c>
    </row>
    <row r="501" ht="14.25" customHeight="1">
      <c r="A501" s="46">
        <v>43052.0</v>
      </c>
      <c r="B501" s="9">
        <v>10322.0</v>
      </c>
      <c r="C501" s="9">
        <v>10334.15</v>
      </c>
      <c r="D501" s="9">
        <v>10216.25</v>
      </c>
      <c r="E501" s="9">
        <v>10224.95</v>
      </c>
      <c r="F501" s="9">
        <v>2.16799588E8</v>
      </c>
      <c r="G501" s="47">
        <v>11783.34</v>
      </c>
    </row>
    <row r="502" ht="14.25" customHeight="1">
      <c r="A502" s="46">
        <v>43053.0</v>
      </c>
      <c r="B502" s="9">
        <v>10223.4</v>
      </c>
      <c r="C502" s="9">
        <v>10248.0</v>
      </c>
      <c r="D502" s="9">
        <v>10175.55</v>
      </c>
      <c r="E502" s="9">
        <v>10186.6</v>
      </c>
      <c r="F502" s="9">
        <v>3.14413476E8</v>
      </c>
      <c r="G502" s="47">
        <v>15398.97</v>
      </c>
    </row>
    <row r="503" ht="14.25" customHeight="1">
      <c r="A503" s="46">
        <v>43054.0</v>
      </c>
      <c r="B503" s="9">
        <v>10171.95</v>
      </c>
      <c r="C503" s="9">
        <v>10175.45</v>
      </c>
      <c r="D503" s="9">
        <v>10094.0</v>
      </c>
      <c r="E503" s="9">
        <v>10118.05</v>
      </c>
      <c r="F503" s="9">
        <v>2.13836202E8</v>
      </c>
      <c r="G503" s="47">
        <v>11609.18</v>
      </c>
    </row>
    <row r="504" ht="14.25" customHeight="1">
      <c r="A504" s="46">
        <v>43055.0</v>
      </c>
      <c r="B504" s="9">
        <v>10152.9</v>
      </c>
      <c r="C504" s="9">
        <v>10232.25</v>
      </c>
      <c r="D504" s="9">
        <v>10139.2</v>
      </c>
      <c r="E504" s="9">
        <v>10214.75</v>
      </c>
      <c r="F504" s="9">
        <v>1.88180035E8</v>
      </c>
      <c r="G504" s="47">
        <v>9995.55</v>
      </c>
    </row>
    <row r="505" ht="14.25" customHeight="1">
      <c r="A505" s="46">
        <v>43056.0</v>
      </c>
      <c r="B505" s="9">
        <v>10324.55</v>
      </c>
      <c r="C505" s="9">
        <v>10343.6</v>
      </c>
      <c r="D505" s="9">
        <v>10268.05</v>
      </c>
      <c r="E505" s="9">
        <v>10283.6</v>
      </c>
      <c r="F505" s="9">
        <v>2.09592893E8</v>
      </c>
      <c r="G505" s="47">
        <v>11023.35</v>
      </c>
    </row>
    <row r="506" ht="14.25" customHeight="1">
      <c r="A506" s="46">
        <v>43059.0</v>
      </c>
      <c r="B506" s="9">
        <v>10287.2</v>
      </c>
      <c r="C506" s="9">
        <v>10309.85</v>
      </c>
      <c r="D506" s="9">
        <v>10261.5</v>
      </c>
      <c r="E506" s="9">
        <v>10298.75</v>
      </c>
      <c r="F506" s="9">
        <v>1.51751415E8</v>
      </c>
      <c r="G506" s="47">
        <v>8502.63</v>
      </c>
    </row>
    <row r="507" ht="14.25" customHeight="1">
      <c r="A507" s="46">
        <v>43060.0</v>
      </c>
      <c r="B507" s="9">
        <v>10329.25</v>
      </c>
      <c r="C507" s="9">
        <v>10358.7</v>
      </c>
      <c r="D507" s="9">
        <v>10315.05</v>
      </c>
      <c r="E507" s="9">
        <v>10326.9</v>
      </c>
      <c r="F507" s="9">
        <v>1.91859084E8</v>
      </c>
      <c r="G507" s="47">
        <v>10443.99</v>
      </c>
    </row>
    <row r="508" ht="14.25" customHeight="1">
      <c r="A508" s="46">
        <v>43061.0</v>
      </c>
      <c r="B508" s="9">
        <v>10350.8</v>
      </c>
      <c r="C508" s="9">
        <v>10368.7</v>
      </c>
      <c r="D508" s="9">
        <v>10309.55</v>
      </c>
      <c r="E508" s="9">
        <v>10342.3</v>
      </c>
      <c r="F508" s="9">
        <v>1.62504058E8</v>
      </c>
      <c r="G508" s="47">
        <v>9136.04</v>
      </c>
    </row>
    <row r="509" ht="14.25" customHeight="1">
      <c r="A509" s="46">
        <v>43062.0</v>
      </c>
      <c r="B509" s="9">
        <v>10358.45</v>
      </c>
      <c r="C509" s="9">
        <v>10374.3</v>
      </c>
      <c r="D509" s="9">
        <v>10307.3</v>
      </c>
      <c r="E509" s="9">
        <v>10348.75</v>
      </c>
      <c r="F509" s="9">
        <v>1.57651842E8</v>
      </c>
      <c r="G509" s="47">
        <v>8789.42</v>
      </c>
    </row>
    <row r="510" ht="14.25" customHeight="1">
      <c r="A510" s="46">
        <v>43063.0</v>
      </c>
      <c r="B510" s="9">
        <v>10366.8</v>
      </c>
      <c r="C510" s="9">
        <v>10404.5</v>
      </c>
      <c r="D510" s="9">
        <v>10362.25</v>
      </c>
      <c r="E510" s="9">
        <v>10389.7</v>
      </c>
      <c r="F510" s="9">
        <v>1.33177324E8</v>
      </c>
      <c r="G510" s="47">
        <v>8197.66</v>
      </c>
    </row>
    <row r="511" ht="14.25" customHeight="1">
      <c r="A511" s="46">
        <v>43066.0</v>
      </c>
      <c r="B511" s="9">
        <v>10361.05</v>
      </c>
      <c r="C511" s="9">
        <v>10407.15</v>
      </c>
      <c r="D511" s="9">
        <v>10340.2</v>
      </c>
      <c r="E511" s="9">
        <v>10399.55</v>
      </c>
      <c r="F511" s="9">
        <v>1.46276512E8</v>
      </c>
      <c r="G511" s="47">
        <v>7551.71</v>
      </c>
    </row>
    <row r="512" ht="14.25" customHeight="1">
      <c r="A512" s="46">
        <v>43067.0</v>
      </c>
      <c r="B512" s="9">
        <v>10387.9</v>
      </c>
      <c r="C512" s="9">
        <v>10409.55</v>
      </c>
      <c r="D512" s="9">
        <v>10355.2</v>
      </c>
      <c r="E512" s="9">
        <v>10370.25</v>
      </c>
      <c r="F512" s="9">
        <v>2.02050866E8</v>
      </c>
      <c r="G512" s="47">
        <v>9979.25</v>
      </c>
    </row>
    <row r="513" ht="14.25" customHeight="1">
      <c r="A513" s="46">
        <v>43068.0</v>
      </c>
      <c r="B513" s="9">
        <v>10376.65</v>
      </c>
      <c r="C513" s="9">
        <v>10392.95</v>
      </c>
      <c r="D513" s="9">
        <v>10345.9</v>
      </c>
      <c r="E513" s="9">
        <v>10361.3</v>
      </c>
      <c r="F513" s="9">
        <v>1.5719293E8</v>
      </c>
      <c r="G513" s="47">
        <v>8852.8</v>
      </c>
    </row>
    <row r="514" ht="14.25" customHeight="1">
      <c r="A514" s="46">
        <v>43069.0</v>
      </c>
      <c r="B514" s="9">
        <v>10332.7</v>
      </c>
      <c r="C514" s="9">
        <v>10332.7</v>
      </c>
      <c r="D514" s="9">
        <v>10211.25</v>
      </c>
      <c r="E514" s="9">
        <v>10226.55</v>
      </c>
      <c r="F514" s="9">
        <v>3.5310524E8</v>
      </c>
      <c r="G514" s="47">
        <v>19005.56</v>
      </c>
    </row>
    <row r="515" ht="14.25" customHeight="1">
      <c r="A515" s="46">
        <v>43070.0</v>
      </c>
      <c r="B515" s="9">
        <v>10263.7</v>
      </c>
      <c r="C515" s="9">
        <v>10272.7</v>
      </c>
      <c r="D515" s="9">
        <v>10108.55</v>
      </c>
      <c r="E515" s="9">
        <v>10121.8</v>
      </c>
      <c r="F515" s="9">
        <v>1.47765528E8</v>
      </c>
      <c r="G515" s="47">
        <v>8518.58</v>
      </c>
    </row>
    <row r="516" ht="14.25" customHeight="1">
      <c r="A516" s="46">
        <v>43073.0</v>
      </c>
      <c r="B516" s="9">
        <v>10175.05</v>
      </c>
      <c r="C516" s="9">
        <v>10179.2</v>
      </c>
      <c r="D516" s="9">
        <v>10095.7</v>
      </c>
      <c r="E516" s="9">
        <v>10127.75</v>
      </c>
      <c r="F516" s="9">
        <v>1.53240126E8</v>
      </c>
      <c r="G516" s="47">
        <v>8458.66</v>
      </c>
    </row>
    <row r="517" ht="14.25" customHeight="1">
      <c r="A517" s="46">
        <v>43074.0</v>
      </c>
      <c r="B517" s="9">
        <v>10118.25</v>
      </c>
      <c r="C517" s="9">
        <v>10147.95</v>
      </c>
      <c r="D517" s="9">
        <v>10069.1</v>
      </c>
      <c r="E517" s="9">
        <v>10118.25</v>
      </c>
      <c r="F517" s="9">
        <v>1.60253042E8</v>
      </c>
      <c r="G517" s="47">
        <v>8749.09</v>
      </c>
    </row>
    <row r="518" ht="14.25" customHeight="1">
      <c r="A518" s="46">
        <v>43075.0</v>
      </c>
      <c r="B518" s="9">
        <v>10088.8</v>
      </c>
      <c r="C518" s="9">
        <v>10104.2</v>
      </c>
      <c r="D518" s="9">
        <v>10033.35</v>
      </c>
      <c r="E518" s="9">
        <v>10044.1</v>
      </c>
      <c r="F518" s="9">
        <v>1.71208366E8</v>
      </c>
      <c r="G518" s="47">
        <v>9598.82</v>
      </c>
    </row>
    <row r="519" ht="14.25" customHeight="1">
      <c r="A519" s="46">
        <v>43076.0</v>
      </c>
      <c r="B519" s="9">
        <v>10063.45</v>
      </c>
      <c r="C519" s="9">
        <v>10182.65</v>
      </c>
      <c r="D519" s="9">
        <v>10061.9</v>
      </c>
      <c r="E519" s="9">
        <v>10166.7</v>
      </c>
      <c r="F519" s="9">
        <v>1.71339022E8</v>
      </c>
      <c r="G519" s="47">
        <v>9910.28</v>
      </c>
    </row>
    <row r="520" ht="14.25" customHeight="1">
      <c r="A520" s="46">
        <v>43077.0</v>
      </c>
      <c r="B520" s="9">
        <v>10198.45</v>
      </c>
      <c r="C520" s="9">
        <v>10270.85</v>
      </c>
      <c r="D520" s="9">
        <v>10195.25</v>
      </c>
      <c r="E520" s="9">
        <v>10265.65</v>
      </c>
      <c r="F520" s="9">
        <v>2.06234019E8</v>
      </c>
      <c r="G520" s="47">
        <v>11468.15</v>
      </c>
    </row>
    <row r="521" ht="14.25" customHeight="1">
      <c r="A521" s="46">
        <v>43080.0</v>
      </c>
      <c r="B521" s="9">
        <v>10310.5</v>
      </c>
      <c r="C521" s="9">
        <v>10329.2</v>
      </c>
      <c r="D521" s="9">
        <v>10282.05</v>
      </c>
      <c r="E521" s="9">
        <v>10322.25</v>
      </c>
      <c r="F521" s="9">
        <v>1.52034656E8</v>
      </c>
      <c r="G521" s="47">
        <v>8453.76</v>
      </c>
    </row>
    <row r="522" ht="14.25" customHeight="1">
      <c r="A522" s="46">
        <v>43081.0</v>
      </c>
      <c r="B522" s="9">
        <v>10324.9</v>
      </c>
      <c r="C522" s="9">
        <v>10326.1</v>
      </c>
      <c r="D522" s="9">
        <v>10230.2</v>
      </c>
      <c r="E522" s="9">
        <v>10240.15</v>
      </c>
      <c r="F522" s="9">
        <v>1.80546894E8</v>
      </c>
      <c r="G522" s="47">
        <v>10380.24</v>
      </c>
    </row>
    <row r="523" ht="14.25" customHeight="1">
      <c r="A523" s="46">
        <v>43082.0</v>
      </c>
      <c r="B523" s="9">
        <v>10236.6</v>
      </c>
      <c r="C523" s="9">
        <v>10296.55</v>
      </c>
      <c r="D523" s="9">
        <v>10169.85</v>
      </c>
      <c r="E523" s="9">
        <v>10192.95</v>
      </c>
      <c r="F523" s="9">
        <v>1.87191964E8</v>
      </c>
      <c r="G523" s="47">
        <v>10070.44</v>
      </c>
    </row>
    <row r="524" ht="14.25" customHeight="1">
      <c r="A524" s="46">
        <v>43083.0</v>
      </c>
      <c r="B524" s="9">
        <v>10229.3</v>
      </c>
      <c r="C524" s="9">
        <v>10276.1</v>
      </c>
      <c r="D524" s="9">
        <v>10141.55</v>
      </c>
      <c r="E524" s="9">
        <v>10252.1</v>
      </c>
      <c r="F524" s="9">
        <v>1.5910396E8</v>
      </c>
      <c r="G524" s="47">
        <v>9549.23</v>
      </c>
    </row>
    <row r="525" ht="14.25" customHeight="1">
      <c r="A525" s="46">
        <v>43084.0</v>
      </c>
      <c r="B525" s="9">
        <v>10345.65</v>
      </c>
      <c r="C525" s="9">
        <v>10373.1</v>
      </c>
      <c r="D525" s="9">
        <v>10319.65</v>
      </c>
      <c r="E525" s="9">
        <v>10333.25</v>
      </c>
      <c r="F525" s="9">
        <v>2.62974703E8</v>
      </c>
      <c r="G525" s="47">
        <v>15106.77</v>
      </c>
    </row>
    <row r="526" ht="14.25" customHeight="1">
      <c r="A526" s="46">
        <v>43087.0</v>
      </c>
      <c r="B526" s="9">
        <v>10263.1</v>
      </c>
      <c r="C526" s="9">
        <v>10443.55</v>
      </c>
      <c r="D526" s="9">
        <v>10074.8</v>
      </c>
      <c r="E526" s="9">
        <v>10388.75</v>
      </c>
      <c r="F526" s="9">
        <v>2.37506982E8</v>
      </c>
      <c r="G526" s="47">
        <v>12921.61</v>
      </c>
    </row>
    <row r="527" ht="14.25" customHeight="1">
      <c r="A527" s="46">
        <v>43088.0</v>
      </c>
      <c r="B527" s="9">
        <v>10414.8</v>
      </c>
      <c r="C527" s="9">
        <v>10472.2</v>
      </c>
      <c r="D527" s="9">
        <v>10406.0</v>
      </c>
      <c r="E527" s="9">
        <v>10463.2</v>
      </c>
      <c r="F527" s="9">
        <v>1.74340665E8</v>
      </c>
      <c r="G527" s="47">
        <v>10982.95</v>
      </c>
    </row>
    <row r="528" ht="14.25" customHeight="1">
      <c r="A528" s="46">
        <v>43089.0</v>
      </c>
      <c r="B528" s="9">
        <v>10494.4</v>
      </c>
      <c r="C528" s="9">
        <v>10494.45</v>
      </c>
      <c r="D528" s="9">
        <v>10437.15</v>
      </c>
      <c r="E528" s="9">
        <v>10444.2</v>
      </c>
      <c r="F528" s="9">
        <v>1.8059746E8</v>
      </c>
      <c r="G528" s="47">
        <v>11303.0</v>
      </c>
    </row>
    <row r="529" ht="14.25" customHeight="1">
      <c r="A529" s="46">
        <v>43090.0</v>
      </c>
      <c r="B529" s="9">
        <v>10473.95</v>
      </c>
      <c r="C529" s="9">
        <v>10473.95</v>
      </c>
      <c r="D529" s="9">
        <v>10426.9</v>
      </c>
      <c r="E529" s="9">
        <v>10440.3</v>
      </c>
      <c r="F529" s="9">
        <v>1.56646972E8</v>
      </c>
      <c r="G529" s="47">
        <v>9411.2</v>
      </c>
    </row>
    <row r="530" ht="14.25" customHeight="1">
      <c r="A530" s="46">
        <v>43091.0</v>
      </c>
      <c r="B530" s="9">
        <v>10457.3</v>
      </c>
      <c r="C530" s="9">
        <v>10501.1</v>
      </c>
      <c r="D530" s="9">
        <v>10448.25</v>
      </c>
      <c r="E530" s="9">
        <v>10493.0</v>
      </c>
      <c r="F530" s="9">
        <v>1.43119167E8</v>
      </c>
      <c r="G530" s="47">
        <v>8755.32</v>
      </c>
    </row>
    <row r="531" ht="14.25" customHeight="1">
      <c r="A531" s="46">
        <v>43095.0</v>
      </c>
      <c r="B531" s="9">
        <v>10512.3</v>
      </c>
      <c r="C531" s="9">
        <v>10545.45</v>
      </c>
      <c r="D531" s="9">
        <v>10477.95</v>
      </c>
      <c r="E531" s="9">
        <v>10531.5</v>
      </c>
      <c r="F531" s="9">
        <v>1.60417384E8</v>
      </c>
      <c r="G531" s="47">
        <v>9043.77</v>
      </c>
    </row>
    <row r="532" ht="14.25" customHeight="1">
      <c r="A532" s="46">
        <v>43096.0</v>
      </c>
      <c r="B532" s="9">
        <v>10531.05</v>
      </c>
      <c r="C532" s="9">
        <v>10552.4</v>
      </c>
      <c r="D532" s="9">
        <v>10469.25</v>
      </c>
      <c r="E532" s="9">
        <v>10490.75</v>
      </c>
      <c r="F532" s="9">
        <v>1.70307122E8</v>
      </c>
      <c r="G532" s="47">
        <v>9077.6</v>
      </c>
    </row>
    <row r="533" ht="14.25" customHeight="1">
      <c r="A533" s="46">
        <v>43097.0</v>
      </c>
      <c r="B533" s="9">
        <v>10498.2</v>
      </c>
      <c r="C533" s="9">
        <v>10534.55</v>
      </c>
      <c r="D533" s="9">
        <v>10460.45</v>
      </c>
      <c r="E533" s="9">
        <v>10477.9</v>
      </c>
      <c r="F533" s="9">
        <v>2.81309989E8</v>
      </c>
      <c r="G533" s="47">
        <v>14551.58</v>
      </c>
    </row>
    <row r="534" ht="14.25" customHeight="1">
      <c r="A534" s="46">
        <v>43098.0</v>
      </c>
      <c r="B534" s="9">
        <v>10492.35</v>
      </c>
      <c r="C534" s="9">
        <v>10538.7</v>
      </c>
      <c r="D534" s="9">
        <v>10488.65</v>
      </c>
      <c r="E534" s="9">
        <v>10530.7</v>
      </c>
      <c r="F534" s="9">
        <v>1.56736221E8</v>
      </c>
      <c r="G534" s="47">
        <v>8943.1</v>
      </c>
    </row>
    <row r="535" ht="14.25" customHeight="1">
      <c r="A535" s="46">
        <v>43101.0</v>
      </c>
      <c r="B535" s="9">
        <v>10531.7</v>
      </c>
      <c r="C535" s="9">
        <v>10537.85</v>
      </c>
      <c r="D535" s="9">
        <v>10423.1</v>
      </c>
      <c r="E535" s="9">
        <v>10435.55</v>
      </c>
      <c r="F535" s="9">
        <v>1.3453209E8</v>
      </c>
      <c r="G535" s="47">
        <v>7546.56</v>
      </c>
    </row>
    <row r="536" ht="14.25" customHeight="1">
      <c r="A536" s="46">
        <v>43102.0</v>
      </c>
      <c r="B536" s="9">
        <v>10477.55</v>
      </c>
      <c r="C536" s="9">
        <v>10495.2</v>
      </c>
      <c r="D536" s="9">
        <v>10404.65</v>
      </c>
      <c r="E536" s="9">
        <v>10442.2</v>
      </c>
      <c r="F536" s="9">
        <v>1.5809243E8</v>
      </c>
      <c r="G536" s="47">
        <v>8665.47</v>
      </c>
    </row>
    <row r="537" ht="14.25" customHeight="1">
      <c r="A537" s="46">
        <v>43103.0</v>
      </c>
      <c r="B537" s="9">
        <v>10482.65</v>
      </c>
      <c r="C537" s="9">
        <v>10503.6</v>
      </c>
      <c r="D537" s="9">
        <v>10429.55</v>
      </c>
      <c r="E537" s="9">
        <v>10443.2</v>
      </c>
      <c r="F537" s="9">
        <v>1.72516859E8</v>
      </c>
      <c r="G537" s="47">
        <v>9541.6</v>
      </c>
    </row>
    <row r="538" ht="14.25" customHeight="1">
      <c r="A538" s="46">
        <v>43104.0</v>
      </c>
      <c r="B538" s="9">
        <v>10469.4</v>
      </c>
      <c r="C538" s="9">
        <v>10513.0</v>
      </c>
      <c r="D538" s="9">
        <v>10441.45</v>
      </c>
      <c r="E538" s="9">
        <v>10504.8</v>
      </c>
      <c r="F538" s="9">
        <v>1.80257392E8</v>
      </c>
      <c r="G538" s="47">
        <v>9561.95</v>
      </c>
    </row>
    <row r="539" ht="14.25" customHeight="1">
      <c r="A539" s="46">
        <v>43105.0</v>
      </c>
      <c r="B539" s="9">
        <v>10534.25</v>
      </c>
      <c r="C539" s="9">
        <v>10566.1</v>
      </c>
      <c r="D539" s="9">
        <v>10520.1</v>
      </c>
      <c r="E539" s="9">
        <v>10558.85</v>
      </c>
      <c r="F539" s="9">
        <v>1.86469717E8</v>
      </c>
      <c r="G539" s="47">
        <v>10306.22</v>
      </c>
    </row>
    <row r="540" ht="14.25" customHeight="1">
      <c r="A540" s="46">
        <v>43108.0</v>
      </c>
      <c r="B540" s="9">
        <v>10591.7</v>
      </c>
      <c r="C540" s="9">
        <v>10631.2</v>
      </c>
      <c r="D540" s="9">
        <v>10588.55</v>
      </c>
      <c r="E540" s="9">
        <v>10623.6</v>
      </c>
      <c r="F540" s="9">
        <v>1.74181231E8</v>
      </c>
      <c r="G540" s="47">
        <v>9907.27</v>
      </c>
    </row>
    <row r="541" ht="14.25" customHeight="1">
      <c r="A541" s="46">
        <v>43109.0</v>
      </c>
      <c r="B541" s="9">
        <v>10645.1</v>
      </c>
      <c r="C541" s="9">
        <v>10659.15</v>
      </c>
      <c r="D541" s="9">
        <v>10603.6</v>
      </c>
      <c r="E541" s="9">
        <v>10637.0</v>
      </c>
      <c r="F541" s="9">
        <v>2.11291563E8</v>
      </c>
      <c r="G541" s="47">
        <v>10733.37</v>
      </c>
    </row>
    <row r="542" ht="14.25" customHeight="1">
      <c r="A542" s="46">
        <v>43110.0</v>
      </c>
      <c r="B542" s="9">
        <v>10652.05</v>
      </c>
      <c r="C542" s="9">
        <v>10655.5</v>
      </c>
      <c r="D542" s="9">
        <v>10592.7</v>
      </c>
      <c r="E542" s="9">
        <v>10632.2</v>
      </c>
      <c r="F542" s="9">
        <v>1.81900014E8</v>
      </c>
      <c r="G542" s="47">
        <v>9720.65</v>
      </c>
    </row>
    <row r="543" ht="14.25" customHeight="1">
      <c r="A543" s="46">
        <v>43111.0</v>
      </c>
      <c r="B543" s="9">
        <v>10637.05</v>
      </c>
      <c r="C543" s="9">
        <v>10664.6</v>
      </c>
      <c r="D543" s="9">
        <v>10612.35</v>
      </c>
      <c r="E543" s="9">
        <v>10651.2</v>
      </c>
      <c r="F543" s="9">
        <v>1.58630055E8</v>
      </c>
      <c r="G543" s="47">
        <v>9635.01</v>
      </c>
    </row>
    <row r="544" ht="14.25" customHeight="1">
      <c r="A544" s="46">
        <v>43112.0</v>
      </c>
      <c r="B544" s="9">
        <v>10682.55</v>
      </c>
      <c r="C544" s="9">
        <v>10690.4</v>
      </c>
      <c r="D544" s="9">
        <v>10597.1</v>
      </c>
      <c r="E544" s="9">
        <v>10681.25</v>
      </c>
      <c r="F544" s="9">
        <v>1.80592153E8</v>
      </c>
      <c r="G544" s="47">
        <v>11005.12</v>
      </c>
    </row>
    <row r="545" ht="14.25" customHeight="1">
      <c r="A545" s="46">
        <v>43115.0</v>
      </c>
      <c r="B545" s="9">
        <v>10718.5</v>
      </c>
      <c r="C545" s="9">
        <v>10782.65</v>
      </c>
      <c r="D545" s="9">
        <v>10713.8</v>
      </c>
      <c r="E545" s="9">
        <v>10741.55</v>
      </c>
      <c r="F545" s="9">
        <v>1.81262074E8</v>
      </c>
      <c r="G545" s="47">
        <v>11333.11</v>
      </c>
    </row>
    <row r="546" ht="14.25" customHeight="1">
      <c r="A546" s="46">
        <v>43116.0</v>
      </c>
      <c r="B546" s="9">
        <v>10761.5</v>
      </c>
      <c r="C546" s="9">
        <v>10762.35</v>
      </c>
      <c r="D546" s="9">
        <v>10687.85</v>
      </c>
      <c r="E546" s="9">
        <v>10700.45</v>
      </c>
      <c r="F546" s="9">
        <v>2.17468081E8</v>
      </c>
      <c r="G546" s="47">
        <v>12709.44</v>
      </c>
    </row>
    <row r="547" ht="14.25" customHeight="1">
      <c r="A547" s="46">
        <v>43117.0</v>
      </c>
      <c r="B547" s="9">
        <v>10702.45</v>
      </c>
      <c r="C547" s="9">
        <v>10803.0</v>
      </c>
      <c r="D547" s="9">
        <v>10666.75</v>
      </c>
      <c r="E547" s="9">
        <v>10788.55</v>
      </c>
      <c r="F547" s="9">
        <v>2.60488465E8</v>
      </c>
      <c r="G547" s="47">
        <v>14334.26</v>
      </c>
    </row>
    <row r="548" ht="14.25" customHeight="1">
      <c r="A548" s="46">
        <v>43118.0</v>
      </c>
      <c r="B548" s="9">
        <v>10873.4</v>
      </c>
      <c r="C548" s="9">
        <v>10887.5</v>
      </c>
      <c r="D548" s="9">
        <v>10782.4</v>
      </c>
      <c r="E548" s="9">
        <v>10817.0</v>
      </c>
      <c r="F548" s="9">
        <v>3.21609375E8</v>
      </c>
      <c r="G548" s="47">
        <v>17930.3</v>
      </c>
    </row>
    <row r="549" ht="14.25" customHeight="1">
      <c r="A549" s="46">
        <v>43119.0</v>
      </c>
      <c r="B549" s="9">
        <v>10829.2</v>
      </c>
      <c r="C549" s="9">
        <v>10906.85</v>
      </c>
      <c r="D549" s="9">
        <v>10793.9</v>
      </c>
      <c r="E549" s="9">
        <v>10894.7</v>
      </c>
      <c r="F549" s="9">
        <v>2.14011963E8</v>
      </c>
      <c r="G549" s="47">
        <v>11792.26</v>
      </c>
    </row>
    <row r="550" ht="14.25" customHeight="1">
      <c r="A550" s="46">
        <v>43122.0</v>
      </c>
      <c r="B550" s="9">
        <v>10883.2</v>
      </c>
      <c r="C550" s="9">
        <v>10975.1</v>
      </c>
      <c r="D550" s="9">
        <v>10881.4</v>
      </c>
      <c r="E550" s="9">
        <v>10966.2</v>
      </c>
      <c r="F550" s="9">
        <v>2.38815813E8</v>
      </c>
      <c r="G550" s="47">
        <v>14469.06</v>
      </c>
    </row>
    <row r="551" ht="14.25" customHeight="1">
      <c r="A551" s="46">
        <v>43123.0</v>
      </c>
      <c r="B551" s="9">
        <v>10997.4</v>
      </c>
      <c r="C551" s="9">
        <v>11092.9</v>
      </c>
      <c r="D551" s="9">
        <v>10994.55</v>
      </c>
      <c r="E551" s="9">
        <v>11083.7</v>
      </c>
      <c r="F551" s="9">
        <v>2.93445774E8</v>
      </c>
      <c r="G551" s="47">
        <v>16423.91</v>
      </c>
    </row>
    <row r="552" ht="14.25" customHeight="1">
      <c r="A552" s="46">
        <v>43124.0</v>
      </c>
      <c r="B552" s="9">
        <v>11069.35</v>
      </c>
      <c r="C552" s="9">
        <v>11110.1</v>
      </c>
      <c r="D552" s="9">
        <v>11046.15</v>
      </c>
      <c r="E552" s="9">
        <v>11086.0</v>
      </c>
      <c r="F552" s="9">
        <v>2.92197072E8</v>
      </c>
      <c r="G552" s="47">
        <v>16915.14</v>
      </c>
    </row>
    <row r="553" ht="14.25" customHeight="1">
      <c r="A553" s="46">
        <v>43125.0</v>
      </c>
      <c r="B553" s="9">
        <v>11095.6</v>
      </c>
      <c r="C553" s="9">
        <v>11095.6</v>
      </c>
      <c r="D553" s="9">
        <v>11009.2</v>
      </c>
      <c r="E553" s="9">
        <v>11069.65</v>
      </c>
      <c r="F553" s="9">
        <v>3.40469462E8</v>
      </c>
      <c r="G553" s="47">
        <v>19939.54</v>
      </c>
    </row>
    <row r="554" ht="14.25" customHeight="1">
      <c r="A554" s="46">
        <v>43129.0</v>
      </c>
      <c r="B554" s="9">
        <v>11079.35</v>
      </c>
      <c r="C554" s="9">
        <v>11171.55</v>
      </c>
      <c r="D554" s="9">
        <v>11075.95</v>
      </c>
      <c r="E554" s="9">
        <v>11130.4</v>
      </c>
      <c r="F554" s="9">
        <v>2.49220726E8</v>
      </c>
      <c r="G554" s="47">
        <v>16118.36</v>
      </c>
    </row>
    <row r="555" ht="14.25" customHeight="1">
      <c r="A555" s="46">
        <v>43130.0</v>
      </c>
      <c r="B555" s="9">
        <v>11120.85</v>
      </c>
      <c r="C555" s="9">
        <v>11121.1</v>
      </c>
      <c r="D555" s="9">
        <v>11033.9</v>
      </c>
      <c r="E555" s="9">
        <v>11049.65</v>
      </c>
      <c r="F555" s="9">
        <v>2.34969503E8</v>
      </c>
      <c r="G555" s="47">
        <v>13232.19</v>
      </c>
    </row>
    <row r="556" ht="14.25" customHeight="1">
      <c r="A556" s="46">
        <v>43131.0</v>
      </c>
      <c r="B556" s="9">
        <v>11018.8</v>
      </c>
      <c r="C556" s="9">
        <v>11058.5</v>
      </c>
      <c r="D556" s="9">
        <v>10979.3</v>
      </c>
      <c r="E556" s="9">
        <v>11027.7</v>
      </c>
      <c r="F556" s="9">
        <v>2.53462573E8</v>
      </c>
      <c r="G556" s="47">
        <v>14459.69</v>
      </c>
    </row>
    <row r="557" ht="14.25" customHeight="1">
      <c r="A557" s="46">
        <v>43132.0</v>
      </c>
      <c r="B557" s="9">
        <v>11044.55</v>
      </c>
      <c r="C557" s="9">
        <v>11117.35</v>
      </c>
      <c r="D557" s="9">
        <v>10878.8</v>
      </c>
      <c r="E557" s="9">
        <v>11016.9</v>
      </c>
      <c r="F557" s="9">
        <v>3.15743486E8</v>
      </c>
      <c r="G557" s="47">
        <v>17719.4</v>
      </c>
    </row>
    <row r="558" ht="14.25" customHeight="1">
      <c r="A558" s="46">
        <v>43133.0</v>
      </c>
      <c r="B558" s="9">
        <v>10938.2</v>
      </c>
      <c r="C558" s="9">
        <v>10954.95</v>
      </c>
      <c r="D558" s="9">
        <v>10736.1</v>
      </c>
      <c r="E558" s="9">
        <v>10760.6</v>
      </c>
      <c r="F558" s="9">
        <v>2.91431992E8</v>
      </c>
      <c r="G558" s="47">
        <v>16542.51</v>
      </c>
    </row>
    <row r="559" ht="14.25" customHeight="1">
      <c r="A559" s="46">
        <v>43136.0</v>
      </c>
      <c r="B559" s="9">
        <v>10604.3</v>
      </c>
      <c r="C559" s="9">
        <v>10702.75</v>
      </c>
      <c r="D559" s="9">
        <v>10586.8</v>
      </c>
      <c r="E559" s="9">
        <v>10666.55</v>
      </c>
      <c r="F559" s="9">
        <v>2.47479157E8</v>
      </c>
      <c r="G559" s="47">
        <v>13980.63</v>
      </c>
    </row>
    <row r="560" ht="14.25" customHeight="1">
      <c r="A560" s="46">
        <v>43137.0</v>
      </c>
      <c r="B560" s="9">
        <v>10295.15</v>
      </c>
      <c r="C560" s="9">
        <v>10594.15</v>
      </c>
      <c r="D560" s="9">
        <v>10276.3</v>
      </c>
      <c r="E560" s="9">
        <v>10498.25</v>
      </c>
      <c r="F560" s="9">
        <v>2.74656443E8</v>
      </c>
      <c r="G560" s="47">
        <v>15606.34</v>
      </c>
    </row>
    <row r="561" ht="14.25" customHeight="1">
      <c r="A561" s="46">
        <v>43138.0</v>
      </c>
      <c r="B561" s="9">
        <v>10607.2</v>
      </c>
      <c r="C561" s="9">
        <v>10614.0</v>
      </c>
      <c r="D561" s="9">
        <v>10446.4</v>
      </c>
      <c r="E561" s="9">
        <v>10476.7</v>
      </c>
      <c r="F561" s="9">
        <v>2.58095424E8</v>
      </c>
      <c r="G561" s="47">
        <v>13971.66</v>
      </c>
    </row>
    <row r="562" ht="14.25" customHeight="1">
      <c r="A562" s="46">
        <v>43139.0</v>
      </c>
      <c r="B562" s="9">
        <v>10518.5</v>
      </c>
      <c r="C562" s="9">
        <v>10637.8</v>
      </c>
      <c r="D562" s="9">
        <v>10479.55</v>
      </c>
      <c r="E562" s="9">
        <v>10576.85</v>
      </c>
      <c r="F562" s="9">
        <v>2.39407938E8</v>
      </c>
      <c r="G562" s="47">
        <v>12569.23</v>
      </c>
    </row>
    <row r="563" ht="14.25" customHeight="1">
      <c r="A563" s="46">
        <v>43140.0</v>
      </c>
      <c r="B563" s="9">
        <v>10416.5</v>
      </c>
      <c r="C563" s="9">
        <v>10480.2</v>
      </c>
      <c r="D563" s="9">
        <v>10398.2</v>
      </c>
      <c r="E563" s="9">
        <v>10454.95</v>
      </c>
      <c r="F563" s="9">
        <v>1.97502912E8</v>
      </c>
      <c r="G563" s="47">
        <v>10602.15</v>
      </c>
    </row>
    <row r="564" ht="14.25" customHeight="1">
      <c r="A564" s="46">
        <v>43143.0</v>
      </c>
      <c r="B564" s="9">
        <v>10518.2</v>
      </c>
      <c r="C564" s="9">
        <v>10555.5</v>
      </c>
      <c r="D564" s="9">
        <v>10485.4</v>
      </c>
      <c r="E564" s="9">
        <v>10539.75</v>
      </c>
      <c r="F564" s="9">
        <v>2.24114801E8</v>
      </c>
      <c r="G564" s="47">
        <v>11133.78</v>
      </c>
    </row>
    <row r="565" ht="14.25" customHeight="1">
      <c r="A565" s="46">
        <v>43145.0</v>
      </c>
      <c r="B565" s="9">
        <v>10585.75</v>
      </c>
      <c r="C565" s="9">
        <v>10590.55</v>
      </c>
      <c r="D565" s="9">
        <v>10456.65</v>
      </c>
      <c r="E565" s="9">
        <v>10500.9</v>
      </c>
      <c r="F565" s="9">
        <v>2.3632944E8</v>
      </c>
      <c r="G565" s="47">
        <v>12188.94</v>
      </c>
    </row>
    <row r="566" ht="14.25" customHeight="1">
      <c r="A566" s="46">
        <v>43146.0</v>
      </c>
      <c r="B566" s="9">
        <v>10537.9</v>
      </c>
      <c r="C566" s="9">
        <v>10618.1</v>
      </c>
      <c r="D566" s="9">
        <v>10511.05</v>
      </c>
      <c r="E566" s="9">
        <v>10545.5</v>
      </c>
      <c r="F566" s="9">
        <v>2.17090245E8</v>
      </c>
      <c r="G566" s="47">
        <v>11035.38</v>
      </c>
    </row>
    <row r="567" ht="14.25" customHeight="1">
      <c r="A567" s="46">
        <v>43147.0</v>
      </c>
      <c r="B567" s="9">
        <v>10596.2</v>
      </c>
      <c r="C567" s="9">
        <v>10612.9</v>
      </c>
      <c r="D567" s="9">
        <v>10434.05</v>
      </c>
      <c r="E567" s="9">
        <v>10452.3</v>
      </c>
      <c r="F567" s="9">
        <v>1.90043189E8</v>
      </c>
      <c r="G567" s="47">
        <v>10026.71</v>
      </c>
    </row>
    <row r="568" ht="14.25" customHeight="1">
      <c r="A568" s="46">
        <v>43150.0</v>
      </c>
      <c r="B568" s="9">
        <v>10488.9</v>
      </c>
      <c r="C568" s="9">
        <v>10489.35</v>
      </c>
      <c r="D568" s="9">
        <v>10302.75</v>
      </c>
      <c r="E568" s="9">
        <v>10378.4</v>
      </c>
      <c r="F568" s="9">
        <v>1.93087737E8</v>
      </c>
      <c r="G568" s="47">
        <v>9871.36</v>
      </c>
    </row>
    <row r="569" ht="14.25" customHeight="1">
      <c r="A569" s="46">
        <v>43151.0</v>
      </c>
      <c r="B569" s="9">
        <v>10391.0</v>
      </c>
      <c r="C569" s="9">
        <v>10429.35</v>
      </c>
      <c r="D569" s="9">
        <v>10347.65</v>
      </c>
      <c r="E569" s="9">
        <v>10360.4</v>
      </c>
      <c r="F569" s="9">
        <v>1.93464871E8</v>
      </c>
      <c r="G569" s="47">
        <v>9619.95</v>
      </c>
    </row>
    <row r="570" ht="14.25" customHeight="1">
      <c r="A570" s="46">
        <v>43152.0</v>
      </c>
      <c r="B570" s="9">
        <v>10426.0</v>
      </c>
      <c r="C570" s="9">
        <v>10426.1</v>
      </c>
      <c r="D570" s="9">
        <v>10349.6</v>
      </c>
      <c r="E570" s="9">
        <v>10397.45</v>
      </c>
      <c r="F570" s="9">
        <v>2.41331542E8</v>
      </c>
      <c r="G570" s="47">
        <v>12996.36</v>
      </c>
    </row>
    <row r="571" ht="14.25" customHeight="1">
      <c r="A571" s="46">
        <v>43153.0</v>
      </c>
      <c r="B571" s="9">
        <v>10354.35</v>
      </c>
      <c r="C571" s="9">
        <v>10397.55</v>
      </c>
      <c r="D571" s="9">
        <v>10340.65</v>
      </c>
      <c r="E571" s="9">
        <v>10382.7</v>
      </c>
      <c r="F571" s="9">
        <v>3.23259078E8</v>
      </c>
      <c r="G571" s="47">
        <v>17711.46</v>
      </c>
    </row>
    <row r="572" ht="14.25" customHeight="1">
      <c r="A572" s="46">
        <v>43154.0</v>
      </c>
      <c r="B572" s="9">
        <v>10408.1</v>
      </c>
      <c r="C572" s="9">
        <v>10499.1</v>
      </c>
      <c r="D572" s="9">
        <v>10396.65</v>
      </c>
      <c r="E572" s="9">
        <v>10491.05</v>
      </c>
      <c r="F572" s="9">
        <v>2.17134363E8</v>
      </c>
      <c r="G572" s="47">
        <v>12704.32</v>
      </c>
    </row>
    <row r="573" ht="14.25" customHeight="1">
      <c r="A573" s="46">
        <v>43157.0</v>
      </c>
      <c r="B573" s="9">
        <v>10526.55</v>
      </c>
      <c r="C573" s="9">
        <v>10592.95</v>
      </c>
      <c r="D573" s="9">
        <v>10520.2</v>
      </c>
      <c r="E573" s="9">
        <v>10582.6</v>
      </c>
      <c r="F573" s="9">
        <v>1.77238616E8</v>
      </c>
      <c r="G573" s="47">
        <v>10274.89</v>
      </c>
    </row>
    <row r="574" ht="14.25" customHeight="1">
      <c r="A574" s="46">
        <v>43158.0</v>
      </c>
      <c r="B574" s="9">
        <v>10615.2</v>
      </c>
      <c r="C574" s="9">
        <v>10631.65</v>
      </c>
      <c r="D574" s="9">
        <v>10537.25</v>
      </c>
      <c r="E574" s="9">
        <v>10554.3</v>
      </c>
      <c r="F574" s="9">
        <v>1.93250158E8</v>
      </c>
      <c r="G574" s="47">
        <v>10276.42</v>
      </c>
    </row>
    <row r="575" ht="14.25" customHeight="1">
      <c r="A575" s="46">
        <v>43159.0</v>
      </c>
      <c r="B575" s="9">
        <v>10488.95</v>
      </c>
      <c r="C575" s="9">
        <v>10535.5</v>
      </c>
      <c r="D575" s="9">
        <v>10461.55</v>
      </c>
      <c r="E575" s="9">
        <v>10492.85</v>
      </c>
      <c r="F575" s="9">
        <v>2.94794221E8</v>
      </c>
      <c r="G575" s="47">
        <v>16299.11</v>
      </c>
    </row>
    <row r="576" ht="14.25" customHeight="1">
      <c r="A576" s="46">
        <v>43160.0</v>
      </c>
      <c r="B576" s="9">
        <v>10479.95</v>
      </c>
      <c r="C576" s="9">
        <v>10525.5</v>
      </c>
      <c r="D576" s="9">
        <v>10447.15</v>
      </c>
      <c r="E576" s="9">
        <v>10458.35</v>
      </c>
      <c r="F576" s="9">
        <v>1.81378504E8</v>
      </c>
      <c r="G576" s="47">
        <v>10179.48</v>
      </c>
    </row>
    <row r="577" ht="14.25" customHeight="1">
      <c r="A577" s="46">
        <v>43164.0</v>
      </c>
      <c r="B577" s="9">
        <v>10428.3</v>
      </c>
      <c r="C577" s="9">
        <v>10428.7</v>
      </c>
      <c r="D577" s="9">
        <v>10323.9</v>
      </c>
      <c r="E577" s="9">
        <v>10358.85</v>
      </c>
      <c r="F577" s="9">
        <v>1.9997572E8</v>
      </c>
      <c r="G577" s="47">
        <v>10673.92</v>
      </c>
    </row>
    <row r="578" ht="14.25" customHeight="1">
      <c r="A578" s="46">
        <v>43165.0</v>
      </c>
      <c r="B578" s="9">
        <v>10420.5</v>
      </c>
      <c r="C578" s="9">
        <v>10441.35</v>
      </c>
      <c r="D578" s="9">
        <v>10215.9</v>
      </c>
      <c r="E578" s="9">
        <v>10249.25</v>
      </c>
      <c r="F578" s="9">
        <v>2.29782297E8</v>
      </c>
      <c r="G578" s="47">
        <v>12143.95</v>
      </c>
    </row>
    <row r="579" ht="14.25" customHeight="1">
      <c r="A579" s="46">
        <v>43166.0</v>
      </c>
      <c r="B579" s="9">
        <v>10232.95</v>
      </c>
      <c r="C579" s="9">
        <v>10243.35</v>
      </c>
      <c r="D579" s="9">
        <v>10141.55</v>
      </c>
      <c r="E579" s="9">
        <v>10154.2</v>
      </c>
      <c r="F579" s="9">
        <v>2.57200599E8</v>
      </c>
      <c r="G579" s="47">
        <v>12128.88</v>
      </c>
    </row>
    <row r="580" ht="14.25" customHeight="1">
      <c r="A580" s="46">
        <v>43167.0</v>
      </c>
      <c r="B580" s="9">
        <v>10216.25</v>
      </c>
      <c r="C580" s="9">
        <v>10270.35</v>
      </c>
      <c r="D580" s="9">
        <v>10146.4</v>
      </c>
      <c r="E580" s="9">
        <v>10242.65</v>
      </c>
      <c r="F580" s="9">
        <v>2.33377712E8</v>
      </c>
      <c r="G580" s="47">
        <v>11479.51</v>
      </c>
    </row>
    <row r="581" ht="14.25" customHeight="1">
      <c r="A581" s="46">
        <v>43168.0</v>
      </c>
      <c r="B581" s="9">
        <v>10271.3</v>
      </c>
      <c r="C581" s="9">
        <v>10296.7</v>
      </c>
      <c r="D581" s="9">
        <v>10211.9</v>
      </c>
      <c r="E581" s="9">
        <v>10226.85</v>
      </c>
      <c r="F581" s="9">
        <v>1.92333334E8</v>
      </c>
      <c r="G581" s="47">
        <v>9874.81</v>
      </c>
    </row>
    <row r="582" ht="14.25" customHeight="1">
      <c r="A582" s="46">
        <v>43171.0</v>
      </c>
      <c r="B582" s="9">
        <v>10301.6</v>
      </c>
      <c r="C582" s="9">
        <v>10433.65</v>
      </c>
      <c r="D582" s="9">
        <v>10295.45</v>
      </c>
      <c r="E582" s="9">
        <v>10421.4</v>
      </c>
      <c r="F582" s="9">
        <v>2.23135459E8</v>
      </c>
      <c r="G582" s="47">
        <v>10968.95</v>
      </c>
    </row>
    <row r="583" ht="14.25" customHeight="1">
      <c r="A583" s="46">
        <v>43172.0</v>
      </c>
      <c r="B583" s="9">
        <v>10389.5</v>
      </c>
      <c r="C583" s="9">
        <v>10478.6</v>
      </c>
      <c r="D583" s="9">
        <v>10377.85</v>
      </c>
      <c r="E583" s="9">
        <v>10426.85</v>
      </c>
      <c r="F583" s="9">
        <v>2.74852794E8</v>
      </c>
      <c r="G583" s="47">
        <v>23965.25</v>
      </c>
    </row>
    <row r="584" ht="14.25" customHeight="1">
      <c r="A584" s="46">
        <v>43173.0</v>
      </c>
      <c r="B584" s="9">
        <v>10393.05</v>
      </c>
      <c r="C584" s="9">
        <v>10420.35</v>
      </c>
      <c r="D584" s="9">
        <v>10336.3</v>
      </c>
      <c r="E584" s="9">
        <v>10410.9</v>
      </c>
      <c r="F584" s="9">
        <v>1.86991169E8</v>
      </c>
      <c r="G584" s="47">
        <v>9564.68</v>
      </c>
    </row>
    <row r="585" ht="14.25" customHeight="1">
      <c r="A585" s="46">
        <v>43174.0</v>
      </c>
      <c r="B585" s="9">
        <v>10405.45</v>
      </c>
      <c r="C585" s="9">
        <v>10420.0</v>
      </c>
      <c r="D585" s="9">
        <v>10346.2</v>
      </c>
      <c r="E585" s="9">
        <v>10360.15</v>
      </c>
      <c r="F585" s="9">
        <v>1.79308593E8</v>
      </c>
      <c r="G585" s="47">
        <v>8588.01</v>
      </c>
    </row>
    <row r="586" ht="14.25" customHeight="1">
      <c r="A586" s="46">
        <v>43175.0</v>
      </c>
      <c r="B586" s="9">
        <v>10345.15</v>
      </c>
      <c r="C586" s="9">
        <v>10346.3</v>
      </c>
      <c r="D586" s="9">
        <v>10180.25</v>
      </c>
      <c r="E586" s="9">
        <v>10195.15</v>
      </c>
      <c r="F586" s="9">
        <v>3.38702439E8</v>
      </c>
      <c r="G586" s="47">
        <v>18811.97</v>
      </c>
    </row>
    <row r="587" ht="14.25" customHeight="1">
      <c r="A587" s="46">
        <v>43178.0</v>
      </c>
      <c r="B587" s="9">
        <v>10215.35</v>
      </c>
      <c r="C587" s="9">
        <v>10224.55</v>
      </c>
      <c r="D587" s="9">
        <v>10075.3</v>
      </c>
      <c r="E587" s="9">
        <v>10094.25</v>
      </c>
      <c r="F587" s="9">
        <v>2.16670033E8</v>
      </c>
      <c r="G587" s="47">
        <v>11111.43</v>
      </c>
    </row>
    <row r="588" ht="14.25" customHeight="1">
      <c r="A588" s="46">
        <v>43179.0</v>
      </c>
      <c r="B588" s="9">
        <v>10051.55</v>
      </c>
      <c r="C588" s="9">
        <v>10155.65</v>
      </c>
      <c r="D588" s="9">
        <v>10049.1</v>
      </c>
      <c r="E588" s="9">
        <v>10124.35</v>
      </c>
      <c r="F588" s="9">
        <v>2.09327593E8</v>
      </c>
      <c r="G588" s="47">
        <v>10947.12</v>
      </c>
    </row>
    <row r="589" ht="14.25" customHeight="1">
      <c r="A589" s="46">
        <v>43180.0</v>
      </c>
      <c r="B589" s="9">
        <v>10181.95</v>
      </c>
      <c r="C589" s="9">
        <v>10227.3</v>
      </c>
      <c r="D589" s="9">
        <v>10132.95</v>
      </c>
      <c r="E589" s="9">
        <v>10155.25</v>
      </c>
      <c r="F589" s="9">
        <v>2.11060429E8</v>
      </c>
      <c r="G589" s="47">
        <v>11269.73</v>
      </c>
    </row>
    <row r="590" ht="14.25" customHeight="1">
      <c r="A590" s="46">
        <v>43181.0</v>
      </c>
      <c r="B590" s="9">
        <v>10167.5</v>
      </c>
      <c r="C590" s="9">
        <v>10207.85</v>
      </c>
      <c r="D590" s="9">
        <v>10105.4</v>
      </c>
      <c r="E590" s="9">
        <v>10114.75</v>
      </c>
      <c r="F590" s="9">
        <v>2.37632983E8</v>
      </c>
      <c r="G590" s="47">
        <v>11558.88</v>
      </c>
    </row>
    <row r="591" ht="14.25" customHeight="1">
      <c r="A591" s="46">
        <v>43182.0</v>
      </c>
      <c r="B591" s="9">
        <v>9968.8</v>
      </c>
      <c r="C591" s="9">
        <v>10027.7</v>
      </c>
      <c r="D591" s="9">
        <v>9951.9</v>
      </c>
      <c r="E591" s="9">
        <v>9998.05</v>
      </c>
      <c r="F591" s="9">
        <v>2.94515154E8</v>
      </c>
      <c r="G591" s="47">
        <v>14435.17</v>
      </c>
    </row>
    <row r="592" ht="14.25" customHeight="1">
      <c r="A592" s="46">
        <v>43185.0</v>
      </c>
      <c r="B592" s="9">
        <v>9989.15</v>
      </c>
      <c r="C592" s="9">
        <v>10143.5</v>
      </c>
      <c r="D592" s="9">
        <v>9958.55</v>
      </c>
      <c r="E592" s="9">
        <v>10130.65</v>
      </c>
      <c r="F592" s="9">
        <v>2.70665332E8</v>
      </c>
      <c r="G592" s="47">
        <v>12695.47</v>
      </c>
    </row>
    <row r="593" ht="14.25" customHeight="1">
      <c r="A593" s="46">
        <v>43186.0</v>
      </c>
      <c r="B593" s="9">
        <v>10188.0</v>
      </c>
      <c r="C593" s="9">
        <v>10207.9</v>
      </c>
      <c r="D593" s="9">
        <v>10139.65</v>
      </c>
      <c r="E593" s="9">
        <v>10184.15</v>
      </c>
      <c r="F593" s="9">
        <v>2.32713976E8</v>
      </c>
      <c r="G593" s="47">
        <v>11175.79</v>
      </c>
    </row>
    <row r="594" ht="14.25" customHeight="1">
      <c r="A594" s="46">
        <v>43187.0</v>
      </c>
      <c r="B594" s="9">
        <v>10143.6</v>
      </c>
      <c r="C594" s="9">
        <v>10158.35</v>
      </c>
      <c r="D594" s="9">
        <v>10096.9</v>
      </c>
      <c r="E594" s="9">
        <v>10113.7</v>
      </c>
      <c r="F594" s="9">
        <v>3.54977198E8</v>
      </c>
      <c r="G594" s="47">
        <v>18807.48</v>
      </c>
    </row>
    <row r="595" ht="14.25" customHeight="1">
      <c r="A595" s="46">
        <v>43192.0</v>
      </c>
      <c r="B595" s="9">
        <v>10151.65</v>
      </c>
      <c r="C595" s="9">
        <v>10220.1</v>
      </c>
      <c r="D595" s="9">
        <v>10127.75</v>
      </c>
      <c r="E595" s="9">
        <v>10211.8</v>
      </c>
      <c r="F595" s="9"/>
      <c r="G595" s="47"/>
    </row>
    <row r="596" ht="14.25" customHeight="1">
      <c r="A596" s="46">
        <v>43193.0</v>
      </c>
      <c r="B596" s="9">
        <v>10186.85</v>
      </c>
      <c r="C596" s="9">
        <v>10255.35</v>
      </c>
      <c r="D596" s="9">
        <v>10171.05</v>
      </c>
      <c r="E596" s="9">
        <v>10245.0</v>
      </c>
      <c r="F596" s="9">
        <v>2.11652029E8</v>
      </c>
      <c r="G596" s="47">
        <v>10167.12</v>
      </c>
    </row>
    <row r="597" ht="14.25" customHeight="1">
      <c r="A597" s="46">
        <v>43194.0</v>
      </c>
      <c r="B597" s="9">
        <v>10274.6</v>
      </c>
      <c r="C597" s="9">
        <v>10279.85</v>
      </c>
      <c r="D597" s="9">
        <v>10111.3</v>
      </c>
      <c r="E597" s="9">
        <v>10128.4</v>
      </c>
      <c r="F597" s="9">
        <v>2.38182921E8</v>
      </c>
      <c r="G597" s="47">
        <v>11861.79</v>
      </c>
    </row>
    <row r="598" ht="14.25" customHeight="1">
      <c r="A598" s="46">
        <v>43195.0</v>
      </c>
      <c r="B598" s="9">
        <v>10228.45</v>
      </c>
      <c r="C598" s="9">
        <v>10331.8</v>
      </c>
      <c r="D598" s="9">
        <v>10227.45</v>
      </c>
      <c r="E598" s="9">
        <v>10325.15</v>
      </c>
      <c r="F598" s="9">
        <v>2.44116235E8</v>
      </c>
      <c r="G598" s="47">
        <v>11674.92</v>
      </c>
    </row>
    <row r="599" ht="14.25" customHeight="1">
      <c r="A599" s="46">
        <v>43196.0</v>
      </c>
      <c r="B599" s="9">
        <v>10322.75</v>
      </c>
      <c r="C599" s="9">
        <v>10350.45</v>
      </c>
      <c r="D599" s="9">
        <v>10290.85</v>
      </c>
      <c r="E599" s="9">
        <v>10331.6</v>
      </c>
      <c r="F599" s="9">
        <v>2.06355691E8</v>
      </c>
      <c r="G599" s="47">
        <v>10131.74</v>
      </c>
    </row>
    <row r="600" ht="14.25" customHeight="1">
      <c r="A600" s="46">
        <v>43199.0</v>
      </c>
      <c r="B600" s="9">
        <v>10333.7</v>
      </c>
      <c r="C600" s="9">
        <v>10397.7</v>
      </c>
      <c r="D600" s="9">
        <v>10328.5</v>
      </c>
      <c r="E600" s="9">
        <v>10379.35</v>
      </c>
      <c r="F600" s="9">
        <v>2.28512954E8</v>
      </c>
      <c r="G600" s="47">
        <v>10714.13</v>
      </c>
    </row>
    <row r="601" ht="14.25" customHeight="1">
      <c r="A601" s="46">
        <v>43200.0</v>
      </c>
      <c r="B601" s="9">
        <v>10412.9</v>
      </c>
      <c r="C601" s="9">
        <v>10424.85</v>
      </c>
      <c r="D601" s="9">
        <v>10381.5</v>
      </c>
      <c r="E601" s="9">
        <v>10402.25</v>
      </c>
      <c r="F601" s="9">
        <v>2.59523888E8</v>
      </c>
      <c r="G601" s="47">
        <v>11905.12</v>
      </c>
    </row>
    <row r="602" ht="14.25" customHeight="1">
      <c r="A602" s="46">
        <v>43201.0</v>
      </c>
      <c r="B602" s="9">
        <v>10428.15</v>
      </c>
      <c r="C602" s="9">
        <v>10428.15</v>
      </c>
      <c r="D602" s="9">
        <v>10355.6</v>
      </c>
      <c r="E602" s="9">
        <v>10417.15</v>
      </c>
      <c r="F602" s="9">
        <v>2.58077363E8</v>
      </c>
      <c r="G602" s="47">
        <v>11790.58</v>
      </c>
    </row>
    <row r="603" ht="14.25" customHeight="1">
      <c r="A603" s="46">
        <v>43202.0</v>
      </c>
      <c r="B603" s="9">
        <v>10410.65</v>
      </c>
      <c r="C603" s="9">
        <v>10469.9</v>
      </c>
      <c r="D603" s="9">
        <v>10395.25</v>
      </c>
      <c r="E603" s="9">
        <v>10458.65</v>
      </c>
      <c r="F603" s="9">
        <v>2.46027888E8</v>
      </c>
      <c r="G603" s="47">
        <v>12249.66</v>
      </c>
    </row>
    <row r="604" ht="14.25" customHeight="1">
      <c r="A604" s="46">
        <v>43203.0</v>
      </c>
      <c r="B604" s="9">
        <v>10495.3</v>
      </c>
      <c r="C604" s="9">
        <v>10519.9</v>
      </c>
      <c r="D604" s="9">
        <v>10451.45</v>
      </c>
      <c r="E604" s="9">
        <v>10480.6</v>
      </c>
      <c r="F604" s="9">
        <v>2.19724716E8</v>
      </c>
      <c r="G604" s="47">
        <v>12354.55</v>
      </c>
    </row>
    <row r="605" ht="14.25" customHeight="1">
      <c r="A605" s="46">
        <v>43206.0</v>
      </c>
      <c r="B605" s="9">
        <v>10398.3</v>
      </c>
      <c r="C605" s="9">
        <v>10540.15</v>
      </c>
      <c r="D605" s="9">
        <v>10396.35</v>
      </c>
      <c r="E605" s="9">
        <v>10528.35</v>
      </c>
      <c r="F605" s="9">
        <v>2.00950876E8</v>
      </c>
      <c r="G605" s="47">
        <v>11242.05</v>
      </c>
    </row>
    <row r="606" ht="14.25" customHeight="1">
      <c r="A606" s="46">
        <v>43207.0</v>
      </c>
      <c r="B606" s="9">
        <v>10557.3</v>
      </c>
      <c r="C606" s="9">
        <v>10560.45</v>
      </c>
      <c r="D606" s="9">
        <v>10495.65</v>
      </c>
      <c r="E606" s="9">
        <v>10548.7</v>
      </c>
      <c r="F606" s="9">
        <v>2.12449535E8</v>
      </c>
      <c r="G606" s="47">
        <v>10501.71</v>
      </c>
    </row>
    <row r="607" ht="14.25" customHeight="1">
      <c r="A607" s="46">
        <v>43208.0</v>
      </c>
      <c r="B607" s="9">
        <v>10578.9</v>
      </c>
      <c r="C607" s="9">
        <v>10594.2</v>
      </c>
      <c r="D607" s="9">
        <v>10509.7</v>
      </c>
      <c r="E607" s="9">
        <v>10526.2</v>
      </c>
      <c r="F607" s="9">
        <v>2.11823044E8</v>
      </c>
      <c r="G607" s="47">
        <v>9888.65</v>
      </c>
    </row>
    <row r="608" ht="14.25" customHeight="1">
      <c r="A608" s="46">
        <v>43209.0</v>
      </c>
      <c r="B608" s="9">
        <v>10563.65</v>
      </c>
      <c r="C608" s="9">
        <v>10572.2</v>
      </c>
      <c r="D608" s="9">
        <v>10546.2</v>
      </c>
      <c r="E608" s="9">
        <v>10565.3</v>
      </c>
      <c r="F608" s="9">
        <v>2.70740891E8</v>
      </c>
      <c r="G608" s="47">
        <v>12559.11</v>
      </c>
    </row>
    <row r="609" ht="14.25" customHeight="1">
      <c r="A609" s="46">
        <v>43210.0</v>
      </c>
      <c r="B609" s="9">
        <v>10560.35</v>
      </c>
      <c r="C609" s="9">
        <v>10582.35</v>
      </c>
      <c r="D609" s="9">
        <v>10527.45</v>
      </c>
      <c r="E609" s="9">
        <v>10564.05</v>
      </c>
      <c r="F609" s="9">
        <v>2.52227268E8</v>
      </c>
      <c r="G609" s="47">
        <v>15372.66</v>
      </c>
    </row>
    <row r="610" ht="14.25" customHeight="1">
      <c r="A610" s="46">
        <v>43213.0</v>
      </c>
      <c r="B610" s="9">
        <v>10592.8</v>
      </c>
      <c r="C610" s="9">
        <v>10638.35</v>
      </c>
      <c r="D610" s="9">
        <v>10514.95</v>
      </c>
      <c r="E610" s="9">
        <v>10584.7</v>
      </c>
      <c r="F610" s="9">
        <v>2.00203196E8</v>
      </c>
      <c r="G610" s="47">
        <v>13642.67</v>
      </c>
    </row>
    <row r="611" ht="14.25" customHeight="1">
      <c r="A611" s="46">
        <v>43214.0</v>
      </c>
      <c r="B611" s="9">
        <v>10578.1</v>
      </c>
      <c r="C611" s="9">
        <v>10636.8</v>
      </c>
      <c r="D611" s="9">
        <v>10569.0</v>
      </c>
      <c r="E611" s="9">
        <v>10614.35</v>
      </c>
      <c r="F611" s="9">
        <v>2.25972673E8</v>
      </c>
      <c r="G611" s="47">
        <v>12281.53</v>
      </c>
    </row>
    <row r="612" ht="14.25" customHeight="1">
      <c r="A612" s="46">
        <v>43215.0</v>
      </c>
      <c r="B612" s="9">
        <v>10612.4</v>
      </c>
      <c r="C612" s="9">
        <v>10612.6</v>
      </c>
      <c r="D612" s="9">
        <v>10536.45</v>
      </c>
      <c r="E612" s="9">
        <v>10570.55</v>
      </c>
      <c r="F612" s="9">
        <v>1.95129613E8</v>
      </c>
      <c r="G612" s="47">
        <v>11125.11</v>
      </c>
    </row>
    <row r="613" ht="14.25" customHeight="1">
      <c r="A613" s="46">
        <v>43216.0</v>
      </c>
      <c r="B613" s="9">
        <v>10586.5</v>
      </c>
      <c r="C613" s="9">
        <v>10628.4</v>
      </c>
      <c r="D613" s="9">
        <v>10559.65</v>
      </c>
      <c r="E613" s="9">
        <v>10617.8</v>
      </c>
      <c r="F613" s="9">
        <v>3.45536167E8</v>
      </c>
      <c r="G613" s="47">
        <v>19200.41</v>
      </c>
    </row>
    <row r="614" ht="14.25" customHeight="1">
      <c r="A614" s="46">
        <v>43217.0</v>
      </c>
      <c r="B614" s="9">
        <v>10651.65</v>
      </c>
      <c r="C614" s="9">
        <v>10719.8</v>
      </c>
      <c r="D614" s="9">
        <v>10647.55</v>
      </c>
      <c r="E614" s="9">
        <v>10692.3</v>
      </c>
      <c r="F614" s="9">
        <v>3.06671172E8</v>
      </c>
      <c r="G614" s="47">
        <v>16886.89</v>
      </c>
    </row>
    <row r="615" ht="14.25" customHeight="1">
      <c r="A615" s="46">
        <v>43220.0</v>
      </c>
      <c r="B615" s="9">
        <v>10705.75</v>
      </c>
      <c r="C615" s="9">
        <v>10759.0</v>
      </c>
      <c r="D615" s="9">
        <v>10704.6</v>
      </c>
      <c r="E615" s="9">
        <v>10739.35</v>
      </c>
      <c r="F615" s="9">
        <v>1.79163468E8</v>
      </c>
      <c r="G615" s="47">
        <v>10412.57</v>
      </c>
    </row>
    <row r="616" ht="14.25" customHeight="1">
      <c r="A616" s="46">
        <v>43222.0</v>
      </c>
      <c r="B616" s="9">
        <v>10783.85</v>
      </c>
      <c r="C616" s="9">
        <v>10784.65</v>
      </c>
      <c r="D616" s="9">
        <v>10689.8</v>
      </c>
      <c r="E616" s="9">
        <v>10718.05</v>
      </c>
      <c r="F616" s="9">
        <v>2.36757172E8</v>
      </c>
      <c r="G616" s="47">
        <v>14820.58</v>
      </c>
    </row>
    <row r="617" ht="14.25" customHeight="1">
      <c r="A617" s="46">
        <v>43223.0</v>
      </c>
      <c r="B617" s="9">
        <v>10720.15</v>
      </c>
      <c r="C617" s="9">
        <v>10720.6</v>
      </c>
      <c r="D617" s="9">
        <v>10647.45</v>
      </c>
      <c r="E617" s="9">
        <v>10679.65</v>
      </c>
      <c r="F617" s="9">
        <v>1.90869804E8</v>
      </c>
      <c r="G617" s="47">
        <v>11018.21</v>
      </c>
    </row>
    <row r="618" ht="14.25" customHeight="1">
      <c r="A618" s="46">
        <v>43224.0</v>
      </c>
      <c r="B618" s="9">
        <v>10700.45</v>
      </c>
      <c r="C618" s="9">
        <v>10700.45</v>
      </c>
      <c r="D618" s="9">
        <v>10601.6</v>
      </c>
      <c r="E618" s="9">
        <v>10618.25</v>
      </c>
      <c r="F618" s="9">
        <v>1.92296041E8</v>
      </c>
      <c r="G618" s="47">
        <v>9721.56</v>
      </c>
    </row>
    <row r="619" ht="14.25" customHeight="1">
      <c r="A619" s="46">
        <v>43227.0</v>
      </c>
      <c r="B619" s="9">
        <v>10653.15</v>
      </c>
      <c r="C619" s="9">
        <v>10725.65</v>
      </c>
      <c r="D619" s="9">
        <v>10635.65</v>
      </c>
      <c r="E619" s="9">
        <v>10715.5</v>
      </c>
      <c r="F619" s="9">
        <v>1.7362024E8</v>
      </c>
      <c r="G619" s="47">
        <v>9239.44</v>
      </c>
    </row>
    <row r="620" ht="14.25" customHeight="1">
      <c r="A620" s="46">
        <v>43228.0</v>
      </c>
      <c r="B620" s="9">
        <v>10757.9</v>
      </c>
      <c r="C620" s="9">
        <v>10758.55</v>
      </c>
      <c r="D620" s="9">
        <v>10689.4</v>
      </c>
      <c r="E620" s="9">
        <v>10717.8</v>
      </c>
      <c r="F620" s="9">
        <v>2.78118616E8</v>
      </c>
      <c r="G620" s="47">
        <v>12783.49</v>
      </c>
    </row>
    <row r="621" ht="14.25" customHeight="1">
      <c r="A621" s="46">
        <v>43229.0</v>
      </c>
      <c r="B621" s="9">
        <v>10693.35</v>
      </c>
      <c r="C621" s="9">
        <v>10766.25</v>
      </c>
      <c r="D621" s="9">
        <v>10689.85</v>
      </c>
      <c r="E621" s="9">
        <v>10741.7</v>
      </c>
      <c r="F621" s="9">
        <v>2.2211564E8</v>
      </c>
      <c r="G621" s="47">
        <v>10390.92</v>
      </c>
    </row>
    <row r="622" ht="14.25" customHeight="1">
      <c r="A622" s="46">
        <v>43230.0</v>
      </c>
      <c r="B622" s="9">
        <v>10779.65</v>
      </c>
      <c r="C622" s="9">
        <v>10785.55</v>
      </c>
      <c r="D622" s="9">
        <v>10705.0</v>
      </c>
      <c r="E622" s="9">
        <v>10716.55</v>
      </c>
      <c r="F622" s="9">
        <v>1.97988475E8</v>
      </c>
      <c r="G622" s="47">
        <v>10526.38</v>
      </c>
    </row>
    <row r="623" ht="14.25" customHeight="1">
      <c r="A623" s="46">
        <v>43231.0</v>
      </c>
      <c r="B623" s="9">
        <v>10741.95</v>
      </c>
      <c r="C623" s="9">
        <v>10812.05</v>
      </c>
      <c r="D623" s="9">
        <v>10724.45</v>
      </c>
      <c r="E623" s="9">
        <v>10806.5</v>
      </c>
      <c r="F623" s="9">
        <v>2.09392114E8</v>
      </c>
      <c r="G623" s="47">
        <v>10432.43</v>
      </c>
    </row>
    <row r="624" ht="14.25" customHeight="1">
      <c r="A624" s="46">
        <v>43234.0</v>
      </c>
      <c r="B624" s="9">
        <v>10815.15</v>
      </c>
      <c r="C624" s="9">
        <v>10834.85</v>
      </c>
      <c r="D624" s="9">
        <v>10774.75</v>
      </c>
      <c r="E624" s="9">
        <v>10806.6</v>
      </c>
      <c r="F624" s="9">
        <v>1.76697512E8</v>
      </c>
      <c r="G624" s="47">
        <v>9075.44</v>
      </c>
    </row>
    <row r="625" ht="14.25" customHeight="1">
      <c r="A625" s="46">
        <v>43235.0</v>
      </c>
      <c r="B625" s="9">
        <v>10812.6</v>
      </c>
      <c r="C625" s="9">
        <v>10929.2</v>
      </c>
      <c r="D625" s="9">
        <v>10781.4</v>
      </c>
      <c r="E625" s="9">
        <v>10801.85</v>
      </c>
      <c r="F625" s="9">
        <v>2.62202312E8</v>
      </c>
      <c r="G625" s="47">
        <v>13582.7</v>
      </c>
    </row>
    <row r="626" ht="14.25" customHeight="1">
      <c r="A626" s="46">
        <v>43236.0</v>
      </c>
      <c r="B626" s="9">
        <v>10751.95</v>
      </c>
      <c r="C626" s="9">
        <v>10790.45</v>
      </c>
      <c r="D626" s="9">
        <v>10699.7</v>
      </c>
      <c r="E626" s="9">
        <v>10741.1</v>
      </c>
      <c r="F626" s="9">
        <v>2.38221884E8</v>
      </c>
      <c r="G626" s="47">
        <v>11359.48</v>
      </c>
    </row>
    <row r="627" ht="14.25" customHeight="1">
      <c r="A627" s="46">
        <v>43237.0</v>
      </c>
      <c r="B627" s="9">
        <v>10775.6</v>
      </c>
      <c r="C627" s="9">
        <v>10777.25</v>
      </c>
      <c r="D627" s="9">
        <v>10664.5</v>
      </c>
      <c r="E627" s="9">
        <v>10682.7</v>
      </c>
      <c r="F627" s="9">
        <v>2.20738923E8</v>
      </c>
      <c r="G627" s="47">
        <v>12506.3</v>
      </c>
    </row>
    <row r="628" ht="14.25" customHeight="1">
      <c r="A628" s="46">
        <v>43238.0</v>
      </c>
      <c r="B628" s="9">
        <v>10671.85</v>
      </c>
      <c r="C628" s="9">
        <v>10674.95</v>
      </c>
      <c r="D628" s="9">
        <v>10589.1</v>
      </c>
      <c r="E628" s="9">
        <v>10596.4</v>
      </c>
      <c r="F628" s="9">
        <v>2.29908939E8</v>
      </c>
      <c r="G628" s="47">
        <v>13908.47</v>
      </c>
    </row>
    <row r="629" ht="14.25" customHeight="1">
      <c r="A629" s="46">
        <v>43241.0</v>
      </c>
      <c r="B629" s="9">
        <v>10616.7</v>
      </c>
      <c r="C629" s="9">
        <v>10621.7</v>
      </c>
      <c r="D629" s="9">
        <v>10505.8</v>
      </c>
      <c r="E629" s="9">
        <v>10516.7</v>
      </c>
      <c r="F629" s="9">
        <v>1.97294184E8</v>
      </c>
      <c r="G629" s="47">
        <v>11346.13</v>
      </c>
    </row>
    <row r="630" ht="14.25" customHeight="1">
      <c r="A630" s="46">
        <v>43242.0</v>
      </c>
      <c r="B630" s="9">
        <v>10518.45</v>
      </c>
      <c r="C630" s="9">
        <v>10558.6</v>
      </c>
      <c r="D630" s="9">
        <v>10490.55</v>
      </c>
      <c r="E630" s="9">
        <v>10536.7</v>
      </c>
      <c r="F630" s="9">
        <v>2.49236637E8</v>
      </c>
      <c r="G630" s="47">
        <v>12017.36</v>
      </c>
    </row>
    <row r="631" ht="14.25" customHeight="1">
      <c r="A631" s="46">
        <v>43243.0</v>
      </c>
      <c r="B631" s="9">
        <v>10521.1</v>
      </c>
      <c r="C631" s="9">
        <v>10533.55</v>
      </c>
      <c r="D631" s="9">
        <v>10417.8</v>
      </c>
      <c r="E631" s="9">
        <v>10430.35</v>
      </c>
      <c r="F631" s="9">
        <v>2.9991912E8</v>
      </c>
      <c r="G631" s="47">
        <v>13456.6</v>
      </c>
    </row>
    <row r="632" ht="14.25" customHeight="1">
      <c r="A632" s="46">
        <v>43244.0</v>
      </c>
      <c r="B632" s="9">
        <v>10464.85</v>
      </c>
      <c r="C632" s="9">
        <v>10535.15</v>
      </c>
      <c r="D632" s="9">
        <v>10419.8</v>
      </c>
      <c r="E632" s="9">
        <v>10513.85</v>
      </c>
      <c r="F632" s="9">
        <v>3.06792497E8</v>
      </c>
      <c r="G632" s="47">
        <v>12914.16</v>
      </c>
    </row>
    <row r="633" ht="14.25" customHeight="1">
      <c r="A633" s="46">
        <v>43245.0</v>
      </c>
      <c r="B633" s="9">
        <v>10533.05</v>
      </c>
      <c r="C633" s="9">
        <v>10628.05</v>
      </c>
      <c r="D633" s="9">
        <v>10524.0</v>
      </c>
      <c r="E633" s="9">
        <v>10605.15</v>
      </c>
      <c r="F633" s="9">
        <v>2.68914888E8</v>
      </c>
      <c r="G633" s="47">
        <v>12431.16</v>
      </c>
    </row>
    <row r="634" ht="14.25" customHeight="1">
      <c r="A634" s="46">
        <v>43248.0</v>
      </c>
      <c r="B634" s="9">
        <v>10648.35</v>
      </c>
      <c r="C634" s="9">
        <v>10709.8</v>
      </c>
      <c r="D634" s="9">
        <v>10640.55</v>
      </c>
      <c r="E634" s="9">
        <v>10688.65</v>
      </c>
      <c r="F634" s="9">
        <v>2.39786001E8</v>
      </c>
      <c r="G634" s="47">
        <v>11764.35</v>
      </c>
    </row>
    <row r="635" ht="14.25" customHeight="1">
      <c r="A635" s="46">
        <v>43249.0</v>
      </c>
      <c r="B635" s="9">
        <v>10689.4</v>
      </c>
      <c r="C635" s="9">
        <v>10717.25</v>
      </c>
      <c r="D635" s="9">
        <v>10616.1</v>
      </c>
      <c r="E635" s="9">
        <v>10633.3</v>
      </c>
      <c r="F635" s="9">
        <v>2.32761575E8</v>
      </c>
      <c r="G635" s="47">
        <v>11817.39</v>
      </c>
    </row>
    <row r="636" ht="14.25" customHeight="1">
      <c r="A636" s="46">
        <v>43250.0</v>
      </c>
      <c r="B636" s="9">
        <v>10579.0</v>
      </c>
      <c r="C636" s="9">
        <v>10648.7</v>
      </c>
      <c r="D636" s="9">
        <v>10558.45</v>
      </c>
      <c r="E636" s="9">
        <v>10614.35</v>
      </c>
      <c r="F636" s="9">
        <v>2.46124259E8</v>
      </c>
      <c r="G636" s="47">
        <v>12224.76</v>
      </c>
    </row>
    <row r="637" ht="14.25" customHeight="1">
      <c r="A637" s="46">
        <v>43251.0</v>
      </c>
      <c r="B637" s="9">
        <v>10670.1</v>
      </c>
      <c r="C637" s="9">
        <v>10763.8</v>
      </c>
      <c r="D637" s="9">
        <v>10620.4</v>
      </c>
      <c r="E637" s="9">
        <v>10736.15</v>
      </c>
      <c r="F637" s="9">
        <v>6.29198569E8</v>
      </c>
      <c r="G637" s="47">
        <v>29479.77</v>
      </c>
    </row>
    <row r="638" ht="14.25" customHeight="1">
      <c r="A638" s="46">
        <v>43252.0</v>
      </c>
      <c r="B638" s="9">
        <v>10738.45</v>
      </c>
      <c r="C638" s="9">
        <v>10764.75</v>
      </c>
      <c r="D638" s="9">
        <v>10681.5</v>
      </c>
      <c r="E638" s="9">
        <v>10696.2</v>
      </c>
      <c r="F638" s="9">
        <v>2.27355567E8</v>
      </c>
      <c r="G638" s="47">
        <v>12965.01</v>
      </c>
    </row>
    <row r="639" ht="14.25" customHeight="1">
      <c r="A639" s="46">
        <v>43255.0</v>
      </c>
      <c r="B639" s="9">
        <v>10765.95</v>
      </c>
      <c r="C639" s="9">
        <v>10770.3</v>
      </c>
      <c r="D639" s="9">
        <v>10618.35</v>
      </c>
      <c r="E639" s="9">
        <v>10628.5</v>
      </c>
      <c r="F639" s="9">
        <v>2.10148313E8</v>
      </c>
      <c r="G639" s="47">
        <v>14120.49</v>
      </c>
    </row>
    <row r="640" ht="14.25" customHeight="1">
      <c r="A640" s="46">
        <v>43256.0</v>
      </c>
      <c r="B640" s="9">
        <v>10630.7</v>
      </c>
      <c r="C640" s="9">
        <v>10633.15</v>
      </c>
      <c r="D640" s="9">
        <v>10550.9</v>
      </c>
      <c r="E640" s="9">
        <v>10593.15</v>
      </c>
      <c r="F640" s="9">
        <v>1.72898027E8</v>
      </c>
      <c r="G640" s="47">
        <v>10027.54</v>
      </c>
    </row>
    <row r="641" ht="14.25" customHeight="1">
      <c r="A641" s="46">
        <v>43257.0</v>
      </c>
      <c r="B641" s="9">
        <v>10603.45</v>
      </c>
      <c r="C641" s="9">
        <v>10698.35</v>
      </c>
      <c r="D641" s="9">
        <v>10587.5</v>
      </c>
      <c r="E641" s="9">
        <v>10684.65</v>
      </c>
      <c r="F641" s="9">
        <v>1.95761429E8</v>
      </c>
      <c r="G641" s="47">
        <v>9920.75</v>
      </c>
    </row>
    <row r="642" ht="14.25" customHeight="1">
      <c r="A642" s="46">
        <v>43258.0</v>
      </c>
      <c r="B642" s="9">
        <v>10722.6</v>
      </c>
      <c r="C642" s="9">
        <v>10818.0</v>
      </c>
      <c r="D642" s="9">
        <v>10722.6</v>
      </c>
      <c r="E642" s="9">
        <v>10768.35</v>
      </c>
      <c r="F642" s="9">
        <v>2.27663151E8</v>
      </c>
      <c r="G642" s="47">
        <v>11315.24</v>
      </c>
    </row>
    <row r="643" ht="14.25" customHeight="1">
      <c r="A643" s="46">
        <v>43259.0</v>
      </c>
      <c r="B643" s="9">
        <v>10736.4</v>
      </c>
      <c r="C643" s="9">
        <v>10779.45</v>
      </c>
      <c r="D643" s="9">
        <v>10709.05</v>
      </c>
      <c r="E643" s="9">
        <v>10767.65</v>
      </c>
      <c r="F643" s="9">
        <v>2.15942528E8</v>
      </c>
      <c r="G643" s="47">
        <v>12360.88</v>
      </c>
    </row>
    <row r="644" ht="14.25" customHeight="1">
      <c r="A644" s="46">
        <v>43262.0</v>
      </c>
      <c r="B644" s="9">
        <v>10781.85</v>
      </c>
      <c r="C644" s="9">
        <v>10850.55</v>
      </c>
      <c r="D644" s="9">
        <v>10777.05</v>
      </c>
      <c r="E644" s="9">
        <v>10786.95</v>
      </c>
      <c r="F644" s="9">
        <v>2.17849903E8</v>
      </c>
      <c r="G644" s="47">
        <v>11384.97</v>
      </c>
    </row>
    <row r="645" ht="14.25" customHeight="1">
      <c r="A645" s="46">
        <v>43263.0</v>
      </c>
      <c r="B645" s="9">
        <v>10816.15</v>
      </c>
      <c r="C645" s="9">
        <v>10856.55</v>
      </c>
      <c r="D645" s="9">
        <v>10789.4</v>
      </c>
      <c r="E645" s="9">
        <v>10842.85</v>
      </c>
      <c r="F645" s="9">
        <v>2.04419184E8</v>
      </c>
      <c r="G645" s="47">
        <v>11989.07</v>
      </c>
    </row>
    <row r="646" ht="14.25" customHeight="1">
      <c r="A646" s="46">
        <v>43264.0</v>
      </c>
      <c r="B646" s="9">
        <v>10887.5</v>
      </c>
      <c r="C646" s="9">
        <v>10893.25</v>
      </c>
      <c r="D646" s="9">
        <v>10842.65</v>
      </c>
      <c r="E646" s="9">
        <v>10856.7</v>
      </c>
      <c r="F646" s="9">
        <v>2.20003032E8</v>
      </c>
      <c r="G646" s="47">
        <v>12982.8</v>
      </c>
    </row>
    <row r="647" ht="14.25" customHeight="1">
      <c r="A647" s="46">
        <v>43265.0</v>
      </c>
      <c r="B647" s="9">
        <v>10832.9</v>
      </c>
      <c r="C647" s="9">
        <v>10833.7</v>
      </c>
      <c r="D647" s="9">
        <v>10773.55</v>
      </c>
      <c r="E647" s="9">
        <v>10808.05</v>
      </c>
      <c r="F647" s="9">
        <v>1.90031664E8</v>
      </c>
      <c r="G647" s="47">
        <v>11659.79</v>
      </c>
    </row>
    <row r="648" ht="14.25" customHeight="1">
      <c r="A648" s="46">
        <v>43266.0</v>
      </c>
      <c r="B648" s="9">
        <v>10808.65</v>
      </c>
      <c r="C648" s="9">
        <v>10834.0</v>
      </c>
      <c r="D648" s="9">
        <v>10755.4</v>
      </c>
      <c r="E648" s="9">
        <v>10817.7</v>
      </c>
      <c r="F648" s="9">
        <v>3.14764425E8</v>
      </c>
      <c r="G648" s="47">
        <v>19271.43</v>
      </c>
    </row>
    <row r="649" ht="14.25" customHeight="1">
      <c r="A649" s="46">
        <v>43269.0</v>
      </c>
      <c r="B649" s="9">
        <v>10830.2</v>
      </c>
      <c r="C649" s="9">
        <v>10830.2</v>
      </c>
      <c r="D649" s="9">
        <v>10787.35</v>
      </c>
      <c r="E649" s="9">
        <v>10799.85</v>
      </c>
      <c r="F649" s="9">
        <v>2.02727202E8</v>
      </c>
      <c r="G649" s="47">
        <v>11182.48</v>
      </c>
    </row>
    <row r="650" ht="14.25" customHeight="1">
      <c r="A650" s="46">
        <v>43270.0</v>
      </c>
      <c r="B650" s="9">
        <v>10789.45</v>
      </c>
      <c r="C650" s="9">
        <v>10789.45</v>
      </c>
      <c r="D650" s="9">
        <v>10701.2</v>
      </c>
      <c r="E650" s="9">
        <v>10710.45</v>
      </c>
      <c r="F650" s="9">
        <v>2.3138279E8</v>
      </c>
      <c r="G650" s="47">
        <v>12290.16</v>
      </c>
    </row>
    <row r="651" ht="14.25" customHeight="1">
      <c r="A651" s="46">
        <v>43271.0</v>
      </c>
      <c r="B651" s="9">
        <v>10734.65</v>
      </c>
      <c r="C651" s="9">
        <v>10781.8</v>
      </c>
      <c r="D651" s="9">
        <v>10724.05</v>
      </c>
      <c r="E651" s="9">
        <v>10772.05</v>
      </c>
      <c r="F651" s="9">
        <v>1.99467082E8</v>
      </c>
      <c r="G651" s="47">
        <v>10858.35</v>
      </c>
    </row>
    <row r="652" ht="14.25" customHeight="1">
      <c r="A652" s="46">
        <v>43272.0</v>
      </c>
      <c r="B652" s="9">
        <v>10808.45</v>
      </c>
      <c r="C652" s="9">
        <v>10809.6</v>
      </c>
      <c r="D652" s="9">
        <v>10725.9</v>
      </c>
      <c r="E652" s="9">
        <v>10741.1</v>
      </c>
      <c r="F652" s="9">
        <v>2.30507383E8</v>
      </c>
      <c r="G652" s="47">
        <v>12211.18</v>
      </c>
    </row>
    <row r="653" ht="14.25" customHeight="1">
      <c r="A653" s="46">
        <v>43273.0</v>
      </c>
      <c r="B653" s="9">
        <v>10742.7</v>
      </c>
      <c r="C653" s="9">
        <v>10837.0</v>
      </c>
      <c r="D653" s="9">
        <v>10710.45</v>
      </c>
      <c r="E653" s="9">
        <v>10821.85</v>
      </c>
      <c r="F653" s="9">
        <v>2.36898415E8</v>
      </c>
      <c r="G653" s="47">
        <v>13520.01</v>
      </c>
    </row>
    <row r="654" ht="14.25" customHeight="1">
      <c r="A654" s="46">
        <v>43276.0</v>
      </c>
      <c r="B654" s="9">
        <v>10822.9</v>
      </c>
      <c r="C654" s="9">
        <v>10831.05</v>
      </c>
      <c r="D654" s="9">
        <v>10753.05</v>
      </c>
      <c r="E654" s="9">
        <v>10762.45</v>
      </c>
      <c r="F654" s="9">
        <v>2.36693278E8</v>
      </c>
      <c r="G654" s="47">
        <v>12012.41</v>
      </c>
    </row>
    <row r="655" ht="14.25" customHeight="1">
      <c r="A655" s="46">
        <v>43277.0</v>
      </c>
      <c r="B655" s="9">
        <v>10742.7</v>
      </c>
      <c r="C655" s="9">
        <v>10805.25</v>
      </c>
      <c r="D655" s="9">
        <v>10732.55</v>
      </c>
      <c r="E655" s="9">
        <v>10769.15</v>
      </c>
      <c r="F655" s="9">
        <v>2.26846382E8</v>
      </c>
      <c r="G655" s="47">
        <v>12113.53</v>
      </c>
    </row>
    <row r="656" ht="14.25" customHeight="1">
      <c r="A656" s="46">
        <v>43278.0</v>
      </c>
      <c r="B656" s="9">
        <v>10785.5</v>
      </c>
      <c r="C656" s="9">
        <v>10785.5</v>
      </c>
      <c r="D656" s="9">
        <v>10652.4</v>
      </c>
      <c r="E656" s="9">
        <v>10671.4</v>
      </c>
      <c r="F656" s="9">
        <v>2.53620792E8</v>
      </c>
      <c r="G656" s="47">
        <v>13837.03</v>
      </c>
    </row>
    <row r="657" ht="14.25" customHeight="1">
      <c r="A657" s="46">
        <v>43279.0</v>
      </c>
      <c r="B657" s="9">
        <v>10660.8</v>
      </c>
      <c r="C657" s="9">
        <v>10674.2</v>
      </c>
      <c r="D657" s="9">
        <v>10557.7</v>
      </c>
      <c r="E657" s="9">
        <v>10589.1</v>
      </c>
      <c r="F657" s="9">
        <v>3.63157327E8</v>
      </c>
      <c r="G657" s="47">
        <v>20187.98</v>
      </c>
    </row>
    <row r="658" ht="14.25" customHeight="1">
      <c r="A658" s="46">
        <v>43280.0</v>
      </c>
      <c r="B658" s="9">
        <v>10612.85</v>
      </c>
      <c r="C658" s="9">
        <v>10723.05</v>
      </c>
      <c r="D658" s="9">
        <v>10612.35</v>
      </c>
      <c r="E658" s="9">
        <v>10714.3</v>
      </c>
      <c r="F658" s="9">
        <v>2.50327878E8</v>
      </c>
      <c r="G658" s="47">
        <v>14440.17</v>
      </c>
    </row>
    <row r="659" ht="14.25" customHeight="1">
      <c r="A659" s="46">
        <v>43283.0</v>
      </c>
      <c r="B659" s="9">
        <v>10732.35</v>
      </c>
      <c r="C659" s="9">
        <v>10736.15</v>
      </c>
      <c r="D659" s="9">
        <v>10604.65</v>
      </c>
      <c r="E659" s="9">
        <v>10657.3</v>
      </c>
      <c r="F659" s="9">
        <v>3.04536687E8</v>
      </c>
      <c r="G659" s="47">
        <v>13591.3</v>
      </c>
    </row>
    <row r="660" ht="14.25" customHeight="1">
      <c r="A660" s="46">
        <v>43284.0</v>
      </c>
      <c r="B660" s="9">
        <v>10668.6</v>
      </c>
      <c r="C660" s="9">
        <v>10713.3</v>
      </c>
      <c r="D660" s="9">
        <v>10630.25</v>
      </c>
      <c r="E660" s="9">
        <v>10699.9</v>
      </c>
      <c r="F660" s="9">
        <v>2.08371545E8</v>
      </c>
      <c r="G660" s="47">
        <v>10896.89</v>
      </c>
    </row>
    <row r="661" ht="14.25" customHeight="1">
      <c r="A661" s="46">
        <v>43285.0</v>
      </c>
      <c r="B661" s="9">
        <v>10715.0</v>
      </c>
      <c r="C661" s="9">
        <v>10777.15</v>
      </c>
      <c r="D661" s="9">
        <v>10677.75</v>
      </c>
      <c r="E661" s="9">
        <v>10769.9</v>
      </c>
      <c r="F661" s="9">
        <v>1.79268271E8</v>
      </c>
      <c r="G661" s="47">
        <v>10388.69</v>
      </c>
    </row>
    <row r="662" ht="14.25" customHeight="1">
      <c r="A662" s="46">
        <v>43286.0</v>
      </c>
      <c r="B662" s="9">
        <v>10786.05</v>
      </c>
      <c r="C662" s="9">
        <v>10786.05</v>
      </c>
      <c r="D662" s="9">
        <v>10726.25</v>
      </c>
      <c r="E662" s="9">
        <v>10749.75</v>
      </c>
      <c r="F662" s="9">
        <v>2.27267176E8</v>
      </c>
      <c r="G662" s="47">
        <v>13676.58</v>
      </c>
    </row>
    <row r="663" ht="14.25" customHeight="1">
      <c r="A663" s="46">
        <v>43287.0</v>
      </c>
      <c r="B663" s="9">
        <v>10744.15</v>
      </c>
      <c r="C663" s="9">
        <v>10816.35</v>
      </c>
      <c r="D663" s="9">
        <v>10735.05</v>
      </c>
      <c r="E663" s="9">
        <v>10772.65</v>
      </c>
      <c r="F663" s="9">
        <v>2.56547706E8</v>
      </c>
      <c r="G663" s="47">
        <v>14006.48</v>
      </c>
    </row>
    <row r="664" ht="14.25" customHeight="1">
      <c r="A664" s="46">
        <v>43290.0</v>
      </c>
      <c r="B664" s="9">
        <v>10838.3</v>
      </c>
      <c r="C664" s="9">
        <v>10860.35</v>
      </c>
      <c r="D664" s="9">
        <v>10807.15</v>
      </c>
      <c r="E664" s="9">
        <v>10852.9</v>
      </c>
      <c r="F664" s="9">
        <v>1.89331016E8</v>
      </c>
      <c r="G664" s="47">
        <v>10843.92</v>
      </c>
    </row>
    <row r="665" ht="14.25" customHeight="1">
      <c r="A665" s="46">
        <v>43291.0</v>
      </c>
      <c r="B665" s="9">
        <v>10902.75</v>
      </c>
      <c r="C665" s="9">
        <v>10956.9</v>
      </c>
      <c r="D665" s="9">
        <v>10876.65</v>
      </c>
      <c r="E665" s="9">
        <v>10947.25</v>
      </c>
      <c r="F665" s="9">
        <v>2.0306198E8</v>
      </c>
      <c r="G665" s="47">
        <v>12834.85</v>
      </c>
    </row>
    <row r="666" ht="14.25" customHeight="1">
      <c r="A666" s="46">
        <v>43292.0</v>
      </c>
      <c r="B666" s="9">
        <v>10956.4</v>
      </c>
      <c r="C666" s="9">
        <v>10976.65</v>
      </c>
      <c r="D666" s="9">
        <v>10923.0</v>
      </c>
      <c r="E666" s="9">
        <v>10948.3</v>
      </c>
      <c r="F666" s="9">
        <v>2.29211999E8</v>
      </c>
      <c r="G666" s="47">
        <v>15944.45</v>
      </c>
    </row>
    <row r="667" ht="14.25" customHeight="1">
      <c r="A667" s="46">
        <v>43293.0</v>
      </c>
      <c r="B667" s="9">
        <v>11006.95</v>
      </c>
      <c r="C667" s="9">
        <v>11078.3</v>
      </c>
      <c r="D667" s="9">
        <v>10999.65</v>
      </c>
      <c r="E667" s="9">
        <v>11023.2</v>
      </c>
      <c r="F667" s="9">
        <v>2.56034815E8</v>
      </c>
      <c r="G667" s="47">
        <v>15787.28</v>
      </c>
    </row>
    <row r="668" ht="14.25" customHeight="1">
      <c r="A668" s="46">
        <v>43294.0</v>
      </c>
      <c r="B668" s="9">
        <v>11056.9</v>
      </c>
      <c r="C668" s="9">
        <v>11071.35</v>
      </c>
      <c r="D668" s="9">
        <v>10999.75</v>
      </c>
      <c r="E668" s="9">
        <v>11018.9</v>
      </c>
      <c r="F668" s="9">
        <v>2.41670818E8</v>
      </c>
      <c r="G668" s="47">
        <v>14744.56</v>
      </c>
    </row>
    <row r="669" ht="14.25" customHeight="1">
      <c r="A669" s="46">
        <v>43297.0</v>
      </c>
      <c r="B669" s="9">
        <v>11018.95</v>
      </c>
      <c r="C669" s="9">
        <v>11019.5</v>
      </c>
      <c r="D669" s="9">
        <v>10926.25</v>
      </c>
      <c r="E669" s="9">
        <v>10936.85</v>
      </c>
      <c r="F669" s="9">
        <v>2.16971413E8</v>
      </c>
      <c r="G669" s="47">
        <v>13709.57</v>
      </c>
    </row>
    <row r="670" ht="14.25" customHeight="1">
      <c r="A670" s="46">
        <v>43298.0</v>
      </c>
      <c r="B670" s="9">
        <v>10939.65</v>
      </c>
      <c r="C670" s="9">
        <v>11018.5</v>
      </c>
      <c r="D670" s="9">
        <v>10925.6</v>
      </c>
      <c r="E670" s="9">
        <v>11008.05</v>
      </c>
      <c r="F670" s="9">
        <v>2.1710758E8</v>
      </c>
      <c r="G670" s="47">
        <v>12649.4</v>
      </c>
    </row>
    <row r="671" ht="14.25" customHeight="1">
      <c r="A671" s="46">
        <v>43299.0</v>
      </c>
      <c r="B671" s="9">
        <v>11060.2</v>
      </c>
      <c r="C671" s="9">
        <v>11076.2</v>
      </c>
      <c r="D671" s="9">
        <v>10956.3</v>
      </c>
      <c r="E671" s="9">
        <v>10980.45</v>
      </c>
      <c r="F671" s="9">
        <v>2.32502459E8</v>
      </c>
      <c r="G671" s="47">
        <v>13320.2</v>
      </c>
    </row>
    <row r="672" ht="14.25" customHeight="1">
      <c r="A672" s="46">
        <v>43300.0</v>
      </c>
      <c r="B672" s="9">
        <v>10999.5</v>
      </c>
      <c r="C672" s="9">
        <v>11006.5</v>
      </c>
      <c r="D672" s="9">
        <v>10935.45</v>
      </c>
      <c r="E672" s="9">
        <v>10957.1</v>
      </c>
      <c r="F672" s="9">
        <v>2.22056399E8</v>
      </c>
      <c r="G672" s="47">
        <v>12199.98</v>
      </c>
    </row>
    <row r="673" ht="14.25" customHeight="1">
      <c r="A673" s="46">
        <v>43301.0</v>
      </c>
      <c r="B673" s="9">
        <v>10963.5</v>
      </c>
      <c r="C673" s="9">
        <v>11030.25</v>
      </c>
      <c r="D673" s="9">
        <v>10946.2</v>
      </c>
      <c r="E673" s="9">
        <v>11010.2</v>
      </c>
      <c r="F673" s="9">
        <v>1.93144113E8</v>
      </c>
      <c r="G673" s="47">
        <v>14105.94</v>
      </c>
    </row>
    <row r="674" ht="14.25" customHeight="1">
      <c r="A674" s="46">
        <v>43304.0</v>
      </c>
      <c r="B674" s="9">
        <v>11019.85</v>
      </c>
      <c r="C674" s="9">
        <v>11093.4</v>
      </c>
      <c r="D674" s="9">
        <v>11010.95</v>
      </c>
      <c r="E674" s="9">
        <v>11084.75</v>
      </c>
      <c r="F674" s="9">
        <v>2.36153085E8</v>
      </c>
      <c r="G674" s="47">
        <v>14932.51</v>
      </c>
    </row>
    <row r="675" ht="14.25" customHeight="1">
      <c r="A675" s="46">
        <v>43305.0</v>
      </c>
      <c r="B675" s="9">
        <v>11109.0</v>
      </c>
      <c r="C675" s="9">
        <v>11143.4</v>
      </c>
      <c r="D675" s="9">
        <v>11092.5</v>
      </c>
      <c r="E675" s="9">
        <v>11134.3</v>
      </c>
      <c r="F675" s="9">
        <v>2.12247395E8</v>
      </c>
      <c r="G675" s="47">
        <v>13931.15</v>
      </c>
    </row>
    <row r="676" ht="14.25" customHeight="1">
      <c r="A676" s="46">
        <v>43306.0</v>
      </c>
      <c r="B676" s="9">
        <v>11148.4</v>
      </c>
      <c r="C676" s="9">
        <v>11157.15</v>
      </c>
      <c r="D676" s="9">
        <v>11113.25</v>
      </c>
      <c r="E676" s="9">
        <v>11132.0</v>
      </c>
      <c r="F676" s="9">
        <v>2.12333169E8</v>
      </c>
      <c r="G676" s="47">
        <v>12528.8</v>
      </c>
    </row>
    <row r="677" ht="14.25" customHeight="1">
      <c r="A677" s="46">
        <v>43307.0</v>
      </c>
      <c r="B677" s="9">
        <v>11132.95</v>
      </c>
      <c r="C677" s="9">
        <v>11185.85</v>
      </c>
      <c r="D677" s="9">
        <v>11125.7</v>
      </c>
      <c r="E677" s="9">
        <v>11167.3</v>
      </c>
      <c r="F677" s="9">
        <v>3.76657398E8</v>
      </c>
      <c r="G677" s="47">
        <v>21595.33</v>
      </c>
    </row>
    <row r="678" ht="14.25" customHeight="1">
      <c r="A678" s="46">
        <v>43308.0</v>
      </c>
      <c r="B678" s="9">
        <v>11232.75</v>
      </c>
      <c r="C678" s="9">
        <v>11283.4</v>
      </c>
      <c r="D678" s="9">
        <v>11210.25</v>
      </c>
      <c r="E678" s="9">
        <v>11278.35</v>
      </c>
      <c r="F678" s="9">
        <v>3.24343457E8</v>
      </c>
      <c r="G678" s="47">
        <v>15203.09</v>
      </c>
    </row>
    <row r="679" ht="14.25" customHeight="1">
      <c r="A679" s="46">
        <v>43311.0</v>
      </c>
      <c r="B679" s="9">
        <v>11296.65</v>
      </c>
      <c r="C679" s="9">
        <v>11328.1</v>
      </c>
      <c r="D679" s="9">
        <v>11261.45</v>
      </c>
      <c r="E679" s="9">
        <v>11319.55</v>
      </c>
      <c r="F679" s="9">
        <v>2.87435926E8</v>
      </c>
      <c r="G679" s="47">
        <v>14716.66</v>
      </c>
    </row>
    <row r="680" ht="14.25" customHeight="1">
      <c r="A680" s="46">
        <v>43312.0</v>
      </c>
      <c r="B680" s="9">
        <v>11311.05</v>
      </c>
      <c r="C680" s="9">
        <v>11366.0</v>
      </c>
      <c r="D680" s="9">
        <v>11267.75</v>
      </c>
      <c r="E680" s="9">
        <v>11356.5</v>
      </c>
      <c r="F680" s="9">
        <v>2.64430889E8</v>
      </c>
      <c r="G680" s="47">
        <v>15297.4</v>
      </c>
    </row>
    <row r="681" ht="14.25" customHeight="1">
      <c r="A681" s="46">
        <v>43313.0</v>
      </c>
      <c r="B681" s="9">
        <v>11359.8</v>
      </c>
      <c r="C681" s="9">
        <v>11390.55</v>
      </c>
      <c r="D681" s="9">
        <v>11313.55</v>
      </c>
      <c r="E681" s="9">
        <v>11346.2</v>
      </c>
      <c r="F681" s="9">
        <v>2.78012697E8</v>
      </c>
      <c r="G681" s="47">
        <v>14436.12</v>
      </c>
    </row>
    <row r="682" ht="14.25" customHeight="1">
      <c r="A682" s="46">
        <v>43314.0</v>
      </c>
      <c r="B682" s="9">
        <v>11328.9</v>
      </c>
      <c r="C682" s="9">
        <v>11328.9</v>
      </c>
      <c r="D682" s="9">
        <v>11234.95</v>
      </c>
      <c r="E682" s="9">
        <v>11244.7</v>
      </c>
      <c r="F682" s="9">
        <v>2.16533127E8</v>
      </c>
      <c r="G682" s="47">
        <v>12267.66</v>
      </c>
    </row>
    <row r="683" ht="14.25" customHeight="1">
      <c r="A683" s="46">
        <v>43315.0</v>
      </c>
      <c r="B683" s="9">
        <v>11297.8</v>
      </c>
      <c r="C683" s="9">
        <v>11368.0</v>
      </c>
      <c r="D683" s="9">
        <v>11294.55</v>
      </c>
      <c r="E683" s="9">
        <v>11360.8</v>
      </c>
      <c r="F683" s="9">
        <v>2.2514636E8</v>
      </c>
      <c r="G683" s="47">
        <v>12984.66</v>
      </c>
    </row>
    <row r="684" ht="14.25" customHeight="1">
      <c r="A684" s="46">
        <v>43318.0</v>
      </c>
      <c r="B684" s="9">
        <v>11401.5</v>
      </c>
      <c r="C684" s="9">
        <v>11427.65</v>
      </c>
      <c r="D684" s="9">
        <v>11370.6</v>
      </c>
      <c r="E684" s="9">
        <v>11387.1</v>
      </c>
      <c r="F684" s="9">
        <v>2.10002582E8</v>
      </c>
      <c r="G684" s="47">
        <v>11321.55</v>
      </c>
    </row>
    <row r="685" ht="14.25" customHeight="1">
      <c r="A685" s="46">
        <v>43319.0</v>
      </c>
      <c r="B685" s="9">
        <v>11423.15</v>
      </c>
      <c r="C685" s="9">
        <v>11428.95</v>
      </c>
      <c r="D685" s="9">
        <v>11359.7</v>
      </c>
      <c r="E685" s="9">
        <v>11389.45</v>
      </c>
      <c r="F685" s="9">
        <v>2.33409612E8</v>
      </c>
      <c r="G685" s="47">
        <v>12457.71</v>
      </c>
    </row>
    <row r="686" ht="14.25" customHeight="1">
      <c r="A686" s="46">
        <v>43320.0</v>
      </c>
      <c r="B686" s="9">
        <v>11412.5</v>
      </c>
      <c r="C686" s="9">
        <v>11459.95</v>
      </c>
      <c r="D686" s="9">
        <v>11379.3</v>
      </c>
      <c r="E686" s="9">
        <v>11450.0</v>
      </c>
      <c r="F686" s="9">
        <v>2.17047641E8</v>
      </c>
      <c r="G686" s="47">
        <v>12422.62</v>
      </c>
    </row>
    <row r="687" ht="14.25" customHeight="1">
      <c r="A687" s="46">
        <v>43321.0</v>
      </c>
      <c r="B687" s="9">
        <v>11493.25</v>
      </c>
      <c r="C687" s="9">
        <v>11495.2</v>
      </c>
      <c r="D687" s="9">
        <v>11454.1</v>
      </c>
      <c r="E687" s="9">
        <v>11470.7</v>
      </c>
      <c r="F687" s="9">
        <v>3.11521403E8</v>
      </c>
      <c r="G687" s="47">
        <v>15842.76</v>
      </c>
    </row>
    <row r="688" ht="14.25" customHeight="1">
      <c r="A688" s="46">
        <v>43322.0</v>
      </c>
      <c r="B688" s="9">
        <v>11474.95</v>
      </c>
      <c r="C688" s="9">
        <v>11478.75</v>
      </c>
      <c r="D688" s="9">
        <v>11419.65</v>
      </c>
      <c r="E688" s="9">
        <v>11429.5</v>
      </c>
      <c r="F688" s="9">
        <v>3.36424182E8</v>
      </c>
      <c r="G688" s="47">
        <v>15738.26</v>
      </c>
    </row>
    <row r="689" ht="14.25" customHeight="1">
      <c r="A689" s="46">
        <v>43325.0</v>
      </c>
      <c r="B689" s="9">
        <v>11369.6</v>
      </c>
      <c r="C689" s="9">
        <v>11406.3</v>
      </c>
      <c r="D689" s="9">
        <v>11340.3</v>
      </c>
      <c r="E689" s="9">
        <v>11355.75</v>
      </c>
      <c r="F689" s="9">
        <v>2.5446676E8</v>
      </c>
      <c r="G689" s="47">
        <v>12899.22</v>
      </c>
    </row>
    <row r="690" ht="14.25" customHeight="1">
      <c r="A690" s="46">
        <v>43326.0</v>
      </c>
      <c r="B690" s="9">
        <v>11381.7</v>
      </c>
      <c r="C690" s="9">
        <v>11452.45</v>
      </c>
      <c r="D690" s="9">
        <v>11370.8</v>
      </c>
      <c r="E690" s="9">
        <v>11435.1</v>
      </c>
      <c r="F690" s="9">
        <v>2.3984168E8</v>
      </c>
      <c r="G690" s="47">
        <v>13935.35</v>
      </c>
    </row>
    <row r="691" ht="14.25" customHeight="1">
      <c r="A691" s="46">
        <v>43328.0</v>
      </c>
      <c r="B691" s="9">
        <v>11397.15</v>
      </c>
      <c r="C691" s="9">
        <v>11449.85</v>
      </c>
      <c r="D691" s="9">
        <v>11366.25</v>
      </c>
      <c r="E691" s="9">
        <v>11385.05</v>
      </c>
      <c r="F691" s="9">
        <v>2.99610298E8</v>
      </c>
      <c r="G691" s="47">
        <v>17081.62</v>
      </c>
    </row>
    <row r="692" ht="14.25" customHeight="1">
      <c r="A692" s="46">
        <v>43329.0</v>
      </c>
      <c r="B692" s="9">
        <v>11437.15</v>
      </c>
      <c r="C692" s="9">
        <v>11486.45</v>
      </c>
      <c r="D692" s="9">
        <v>11431.8</v>
      </c>
      <c r="E692" s="9">
        <v>11470.75</v>
      </c>
      <c r="F692" s="9">
        <v>2.41985503E8</v>
      </c>
      <c r="G692" s="47">
        <v>13275.31</v>
      </c>
    </row>
    <row r="693" ht="14.25" customHeight="1">
      <c r="A693" s="46">
        <v>43332.0</v>
      </c>
      <c r="B693" s="9">
        <v>11502.1</v>
      </c>
      <c r="C693" s="9">
        <v>11565.3</v>
      </c>
      <c r="D693" s="9">
        <v>11499.65</v>
      </c>
      <c r="E693" s="9">
        <v>11551.75</v>
      </c>
      <c r="F693" s="9">
        <v>2.39843358E8</v>
      </c>
      <c r="G693" s="47">
        <v>14119.93</v>
      </c>
    </row>
    <row r="694" ht="14.25" customHeight="1">
      <c r="A694" s="46">
        <v>43333.0</v>
      </c>
      <c r="B694" s="9">
        <v>11576.2</v>
      </c>
      <c r="C694" s="9">
        <v>11581.75</v>
      </c>
      <c r="D694" s="9">
        <v>11539.6</v>
      </c>
      <c r="E694" s="9">
        <v>11570.9</v>
      </c>
      <c r="F694" s="9">
        <v>2.31063669E8</v>
      </c>
      <c r="G694" s="47">
        <v>13528.83</v>
      </c>
    </row>
    <row r="695" ht="14.25" customHeight="1">
      <c r="A695" s="46">
        <v>43335.0</v>
      </c>
      <c r="B695" s="9">
        <v>11620.7</v>
      </c>
      <c r="C695" s="9">
        <v>11620.7</v>
      </c>
      <c r="D695" s="9">
        <v>11546.7</v>
      </c>
      <c r="E695" s="9">
        <v>11582.75</v>
      </c>
      <c r="F695" s="9">
        <v>2.56163842E8</v>
      </c>
      <c r="G695" s="47">
        <v>16117.77</v>
      </c>
    </row>
    <row r="696" ht="14.25" customHeight="1">
      <c r="A696" s="46">
        <v>43336.0</v>
      </c>
      <c r="B696" s="9">
        <v>11566.6</v>
      </c>
      <c r="C696" s="9">
        <v>11604.6</v>
      </c>
      <c r="D696" s="9">
        <v>11532.0</v>
      </c>
      <c r="E696" s="9">
        <v>11557.1</v>
      </c>
      <c r="F696" s="9">
        <v>2.25604574E8</v>
      </c>
      <c r="G696" s="47">
        <v>13019.55</v>
      </c>
    </row>
    <row r="697" ht="14.25" customHeight="1">
      <c r="A697" s="46">
        <v>43339.0</v>
      </c>
      <c r="B697" s="9">
        <v>11605.85</v>
      </c>
      <c r="C697" s="9">
        <v>11700.95</v>
      </c>
      <c r="D697" s="9">
        <v>11595.6</v>
      </c>
      <c r="E697" s="9">
        <v>11691.95</v>
      </c>
      <c r="F697" s="9">
        <v>2.05689327E8</v>
      </c>
      <c r="G697" s="47">
        <v>11707.5</v>
      </c>
    </row>
    <row r="698" ht="14.25" customHeight="1">
      <c r="A698" s="46">
        <v>43340.0</v>
      </c>
      <c r="B698" s="9">
        <v>11731.95</v>
      </c>
      <c r="C698" s="9">
        <v>11760.2</v>
      </c>
      <c r="D698" s="9">
        <v>11710.5</v>
      </c>
      <c r="E698" s="9">
        <v>11738.5</v>
      </c>
      <c r="F698" s="9">
        <v>2.49420312E8</v>
      </c>
      <c r="G698" s="47">
        <v>13946.7</v>
      </c>
    </row>
    <row r="699" ht="14.25" customHeight="1">
      <c r="A699" s="46">
        <v>43341.0</v>
      </c>
      <c r="B699" s="9">
        <v>11744.95</v>
      </c>
      <c r="C699" s="9">
        <v>11753.2</v>
      </c>
      <c r="D699" s="9">
        <v>11678.85</v>
      </c>
      <c r="E699" s="9">
        <v>11691.9</v>
      </c>
      <c r="F699" s="9">
        <v>2.5935155E8</v>
      </c>
      <c r="G699" s="47">
        <v>14324.65</v>
      </c>
    </row>
    <row r="700" ht="14.25" customHeight="1">
      <c r="A700" s="46">
        <v>43342.0</v>
      </c>
      <c r="B700" s="9">
        <v>11694.75</v>
      </c>
      <c r="C700" s="9">
        <v>11698.8</v>
      </c>
      <c r="D700" s="9">
        <v>11639.7</v>
      </c>
      <c r="E700" s="9">
        <v>11676.8</v>
      </c>
      <c r="F700" s="9">
        <v>3.23450305E8</v>
      </c>
      <c r="G700" s="47">
        <v>18275.54</v>
      </c>
    </row>
    <row r="701" ht="14.25" customHeight="1">
      <c r="A701" s="46">
        <v>43343.0</v>
      </c>
      <c r="B701" s="9">
        <v>11675.85</v>
      </c>
      <c r="C701" s="9">
        <v>11727.65</v>
      </c>
      <c r="D701" s="9">
        <v>11640.1</v>
      </c>
      <c r="E701" s="9">
        <v>11680.5</v>
      </c>
      <c r="F701" s="9">
        <v>3.57230312E8</v>
      </c>
      <c r="G701" s="47">
        <v>20755.73</v>
      </c>
    </row>
    <row r="702" ht="14.25" customHeight="1">
      <c r="A702" s="46">
        <v>43346.0</v>
      </c>
      <c r="B702" s="9">
        <v>11751.8</v>
      </c>
      <c r="C702" s="9">
        <v>11751.8</v>
      </c>
      <c r="D702" s="9">
        <v>11567.4</v>
      </c>
      <c r="E702" s="9">
        <v>11582.35</v>
      </c>
      <c r="F702" s="9">
        <v>2.41726864E8</v>
      </c>
      <c r="G702" s="47">
        <v>16139.58</v>
      </c>
    </row>
    <row r="703" ht="14.25" customHeight="1">
      <c r="A703" s="46">
        <v>43347.0</v>
      </c>
      <c r="B703" s="9">
        <v>11598.75</v>
      </c>
      <c r="C703" s="9">
        <v>11602.55</v>
      </c>
      <c r="D703" s="9">
        <v>11496.85</v>
      </c>
      <c r="E703" s="9">
        <v>11520.3</v>
      </c>
      <c r="F703" s="9">
        <v>2.6270103E8</v>
      </c>
      <c r="G703" s="47">
        <v>16254.78</v>
      </c>
    </row>
    <row r="704" ht="14.25" customHeight="1">
      <c r="A704" s="46">
        <v>43348.0</v>
      </c>
      <c r="B704" s="9">
        <v>11514.85</v>
      </c>
      <c r="C704" s="9">
        <v>11542.65</v>
      </c>
      <c r="D704" s="9">
        <v>11393.85</v>
      </c>
      <c r="E704" s="9">
        <v>11476.95</v>
      </c>
      <c r="F704" s="9">
        <v>2.53689858E8</v>
      </c>
      <c r="G704" s="47">
        <v>15078.23</v>
      </c>
    </row>
    <row r="705" ht="14.25" customHeight="1">
      <c r="A705" s="46">
        <v>43349.0</v>
      </c>
      <c r="B705" s="9">
        <v>11514.15</v>
      </c>
      <c r="C705" s="9">
        <v>11562.25</v>
      </c>
      <c r="D705" s="9">
        <v>11436.05</v>
      </c>
      <c r="E705" s="9">
        <v>11536.9</v>
      </c>
      <c r="F705" s="9">
        <v>2.55558129E8</v>
      </c>
      <c r="G705" s="47">
        <v>15161.0</v>
      </c>
    </row>
    <row r="706" ht="14.25" customHeight="1">
      <c r="A706" s="46">
        <v>43350.0</v>
      </c>
      <c r="B706" s="9">
        <v>11558.25</v>
      </c>
      <c r="C706" s="9">
        <v>11603.0</v>
      </c>
      <c r="D706" s="9">
        <v>11484.4</v>
      </c>
      <c r="E706" s="9">
        <v>11589.1</v>
      </c>
      <c r="F706" s="9">
        <v>3.05029077E8</v>
      </c>
      <c r="G706" s="47">
        <v>16441.02</v>
      </c>
    </row>
    <row r="707" ht="14.25" customHeight="1">
      <c r="A707" s="46">
        <v>43353.0</v>
      </c>
      <c r="B707" s="9">
        <v>11570.25</v>
      </c>
      <c r="C707" s="9">
        <v>11573.0</v>
      </c>
      <c r="D707" s="9">
        <v>11427.3</v>
      </c>
      <c r="E707" s="9">
        <v>11438.1</v>
      </c>
      <c r="F707" s="9">
        <v>2.95597988E8</v>
      </c>
      <c r="G707" s="47">
        <v>16513.89</v>
      </c>
    </row>
    <row r="708" ht="14.25" customHeight="1">
      <c r="A708" s="46">
        <v>43354.0</v>
      </c>
      <c r="B708" s="9">
        <v>11476.85</v>
      </c>
      <c r="C708" s="9">
        <v>11479.4</v>
      </c>
      <c r="D708" s="9">
        <v>11274.0</v>
      </c>
      <c r="E708" s="9">
        <v>11287.5</v>
      </c>
      <c r="F708" s="9">
        <v>3.18093125E8</v>
      </c>
      <c r="G708" s="47">
        <v>18745.54</v>
      </c>
    </row>
    <row r="709" ht="14.25" customHeight="1">
      <c r="A709" s="46">
        <v>43355.0</v>
      </c>
      <c r="B709" s="9">
        <v>11340.1</v>
      </c>
      <c r="C709" s="9">
        <v>11380.75</v>
      </c>
      <c r="D709" s="9">
        <v>11250.2</v>
      </c>
      <c r="E709" s="9">
        <v>11369.9</v>
      </c>
      <c r="F709" s="9">
        <v>2.76509748E8</v>
      </c>
      <c r="G709" s="47">
        <v>15567.9</v>
      </c>
    </row>
    <row r="710" ht="14.25" customHeight="1">
      <c r="A710" s="46">
        <v>43357.0</v>
      </c>
      <c r="B710" s="9">
        <v>11443.5</v>
      </c>
      <c r="C710" s="9">
        <v>11523.25</v>
      </c>
      <c r="D710" s="9">
        <v>11430.55</v>
      </c>
      <c r="E710" s="9">
        <v>11515.2</v>
      </c>
      <c r="F710" s="9">
        <v>2.85218296E8</v>
      </c>
      <c r="G710" s="47">
        <v>16423.36</v>
      </c>
    </row>
    <row r="711" ht="14.25" customHeight="1">
      <c r="A711" s="46">
        <v>43360.0</v>
      </c>
      <c r="B711" s="9">
        <v>11464.95</v>
      </c>
      <c r="C711" s="9">
        <v>11464.95</v>
      </c>
      <c r="D711" s="9">
        <v>11366.9</v>
      </c>
      <c r="E711" s="9">
        <v>11377.75</v>
      </c>
      <c r="F711" s="9">
        <v>2.07620518E8</v>
      </c>
      <c r="G711" s="47">
        <v>11294.84</v>
      </c>
    </row>
    <row r="712" ht="14.25" customHeight="1">
      <c r="A712" s="46">
        <v>43361.0</v>
      </c>
      <c r="B712" s="9">
        <v>11381.55</v>
      </c>
      <c r="C712" s="9">
        <v>11411.45</v>
      </c>
      <c r="D712" s="9">
        <v>11268.95</v>
      </c>
      <c r="E712" s="9">
        <v>11278.9</v>
      </c>
      <c r="F712" s="9">
        <v>2.48298794E8</v>
      </c>
      <c r="G712" s="47">
        <v>13814.11</v>
      </c>
    </row>
    <row r="713" ht="14.25" customHeight="1">
      <c r="A713" s="46">
        <v>43362.0</v>
      </c>
      <c r="B713" s="9">
        <v>11326.65</v>
      </c>
      <c r="C713" s="9">
        <v>11332.05</v>
      </c>
      <c r="D713" s="9">
        <v>11210.9</v>
      </c>
      <c r="E713" s="9">
        <v>11234.35</v>
      </c>
      <c r="F713" s="9">
        <v>2.58424384E8</v>
      </c>
      <c r="G713" s="47">
        <v>15116.69</v>
      </c>
    </row>
    <row r="714" ht="14.25" customHeight="1">
      <c r="A714" s="46">
        <v>43364.0</v>
      </c>
      <c r="B714" s="9">
        <v>11271.3</v>
      </c>
      <c r="C714" s="9">
        <v>11346.8</v>
      </c>
      <c r="D714" s="9">
        <v>10866.45</v>
      </c>
      <c r="E714" s="9">
        <v>11143.1</v>
      </c>
      <c r="F714" s="9">
        <v>7.41153209E8</v>
      </c>
      <c r="G714" s="47">
        <v>35131.19</v>
      </c>
    </row>
    <row r="715" ht="14.25" customHeight="1">
      <c r="A715" s="46">
        <v>43367.0</v>
      </c>
      <c r="B715" s="9">
        <v>11164.4</v>
      </c>
      <c r="C715" s="9">
        <v>11170.15</v>
      </c>
      <c r="D715" s="9">
        <v>10943.6</v>
      </c>
      <c r="E715" s="9">
        <v>10967.4</v>
      </c>
      <c r="F715" s="9">
        <v>3.98815949E8</v>
      </c>
      <c r="G715" s="47">
        <v>23023.34</v>
      </c>
    </row>
    <row r="716" ht="14.25" customHeight="1">
      <c r="A716" s="46">
        <v>43368.0</v>
      </c>
      <c r="B716" s="9">
        <v>10969.95</v>
      </c>
      <c r="C716" s="9">
        <v>11080.6</v>
      </c>
      <c r="D716" s="9">
        <v>10882.85</v>
      </c>
      <c r="E716" s="9">
        <v>11067.45</v>
      </c>
      <c r="F716" s="9">
        <v>4.1754883E8</v>
      </c>
      <c r="G716" s="47">
        <v>22878.57</v>
      </c>
    </row>
    <row r="717" ht="14.25" customHeight="1">
      <c r="A717" s="46">
        <v>43369.0</v>
      </c>
      <c r="B717" s="9">
        <v>11145.55</v>
      </c>
      <c r="C717" s="9">
        <v>11145.55</v>
      </c>
      <c r="D717" s="9">
        <v>10993.05</v>
      </c>
      <c r="E717" s="9">
        <v>11053.8</v>
      </c>
      <c r="F717" s="9">
        <v>3.51041146E8</v>
      </c>
      <c r="G717" s="47">
        <v>17803.68</v>
      </c>
    </row>
    <row r="718" ht="14.25" customHeight="1">
      <c r="A718" s="46">
        <v>43370.0</v>
      </c>
      <c r="B718" s="9">
        <v>11079.8</v>
      </c>
      <c r="C718" s="9">
        <v>11089.45</v>
      </c>
      <c r="D718" s="9">
        <v>10953.35</v>
      </c>
      <c r="E718" s="9">
        <v>10977.55</v>
      </c>
      <c r="F718" s="9">
        <v>4.18210067E8</v>
      </c>
      <c r="G718" s="47">
        <v>22582.86</v>
      </c>
    </row>
    <row r="719" ht="14.25" customHeight="1">
      <c r="A719" s="46">
        <v>43371.0</v>
      </c>
      <c r="B719" s="9">
        <v>11008.1</v>
      </c>
      <c r="C719" s="9">
        <v>11034.1</v>
      </c>
      <c r="D719" s="9">
        <v>10850.3</v>
      </c>
      <c r="E719" s="9">
        <v>10930.45</v>
      </c>
      <c r="F719" s="9">
        <v>4.92894147E8</v>
      </c>
      <c r="G719" s="47">
        <v>23227.86</v>
      </c>
    </row>
    <row r="720" ht="14.25" customHeight="1">
      <c r="A720" s="46">
        <v>43374.0</v>
      </c>
      <c r="B720" s="9">
        <v>10930.9</v>
      </c>
      <c r="C720" s="9">
        <v>11035.65</v>
      </c>
      <c r="D720" s="9">
        <v>10821.55</v>
      </c>
      <c r="E720" s="9">
        <v>11008.3</v>
      </c>
      <c r="F720" s="9">
        <v>3.98987274E8</v>
      </c>
      <c r="G720" s="47">
        <v>20391.72</v>
      </c>
    </row>
    <row r="721" ht="14.25" customHeight="1">
      <c r="A721" s="46">
        <v>43376.0</v>
      </c>
      <c r="B721" s="9">
        <v>10982.7</v>
      </c>
      <c r="C721" s="9">
        <v>10989.05</v>
      </c>
      <c r="D721" s="9">
        <v>10843.75</v>
      </c>
      <c r="E721" s="9">
        <v>10858.25</v>
      </c>
      <c r="F721" s="9">
        <v>3.98756507E8</v>
      </c>
      <c r="G721" s="47">
        <v>21225.59</v>
      </c>
    </row>
    <row r="722" ht="14.25" customHeight="1">
      <c r="A722" s="46">
        <v>43377.0</v>
      </c>
      <c r="B722" s="9">
        <v>10754.7</v>
      </c>
      <c r="C722" s="9">
        <v>10754.7</v>
      </c>
      <c r="D722" s="9">
        <v>10547.25</v>
      </c>
      <c r="E722" s="9">
        <v>10599.25</v>
      </c>
      <c r="F722" s="9">
        <v>4.38202008E8</v>
      </c>
      <c r="G722" s="47">
        <v>23711.57</v>
      </c>
    </row>
    <row r="723" ht="14.25" customHeight="1">
      <c r="A723" s="46">
        <v>43378.0</v>
      </c>
      <c r="B723" s="9">
        <v>10514.1</v>
      </c>
      <c r="C723" s="9">
        <v>10540.65</v>
      </c>
      <c r="D723" s="9">
        <v>10261.9</v>
      </c>
      <c r="E723" s="9">
        <v>10316.45</v>
      </c>
      <c r="F723" s="9">
        <v>6.25153832E8</v>
      </c>
      <c r="G723" s="47">
        <v>25254.21</v>
      </c>
    </row>
    <row r="724" ht="14.25" customHeight="1">
      <c r="A724" s="46">
        <v>43381.0</v>
      </c>
      <c r="B724" s="9">
        <v>10310.15</v>
      </c>
      <c r="C724" s="9">
        <v>10398.35</v>
      </c>
      <c r="D724" s="9">
        <v>10198.4</v>
      </c>
      <c r="E724" s="9">
        <v>10348.05</v>
      </c>
      <c r="F724" s="9">
        <v>4.70279031E8</v>
      </c>
      <c r="G724" s="47">
        <v>22130.94</v>
      </c>
    </row>
    <row r="725" ht="14.25" customHeight="1">
      <c r="A725" s="46">
        <v>43382.0</v>
      </c>
      <c r="B725" s="9">
        <v>10390.3</v>
      </c>
      <c r="C725" s="9">
        <v>10397.6</v>
      </c>
      <c r="D725" s="9">
        <v>10279.35</v>
      </c>
      <c r="E725" s="9">
        <v>10301.05</v>
      </c>
      <c r="F725" s="9">
        <v>4.43795275E8</v>
      </c>
      <c r="G725" s="47">
        <v>18285.41</v>
      </c>
    </row>
    <row r="726" ht="14.25" customHeight="1">
      <c r="A726" s="46">
        <v>43383.0</v>
      </c>
      <c r="B726" s="9">
        <v>10331.85</v>
      </c>
      <c r="C726" s="9">
        <v>10482.35</v>
      </c>
      <c r="D726" s="9">
        <v>10318.25</v>
      </c>
      <c r="E726" s="9">
        <v>10460.1</v>
      </c>
      <c r="F726" s="9">
        <v>3.7384413E8</v>
      </c>
      <c r="G726" s="47">
        <v>19592.59</v>
      </c>
    </row>
    <row r="727" ht="14.25" customHeight="1">
      <c r="A727" s="46">
        <v>43384.0</v>
      </c>
      <c r="B727" s="9">
        <v>10169.8</v>
      </c>
      <c r="C727" s="9">
        <v>10335.95</v>
      </c>
      <c r="D727" s="9">
        <v>10138.6</v>
      </c>
      <c r="E727" s="9">
        <v>10234.65</v>
      </c>
      <c r="F727" s="9">
        <v>4.98509417E8</v>
      </c>
      <c r="G727" s="47">
        <v>21907.13</v>
      </c>
    </row>
    <row r="728" ht="14.25" customHeight="1">
      <c r="A728" s="46">
        <v>43385.0</v>
      </c>
      <c r="B728" s="9">
        <v>10331.55</v>
      </c>
      <c r="C728" s="9">
        <v>10492.45</v>
      </c>
      <c r="D728" s="9">
        <v>10322.15</v>
      </c>
      <c r="E728" s="9">
        <v>10472.5</v>
      </c>
      <c r="F728" s="9">
        <v>3.54056762E8</v>
      </c>
      <c r="G728" s="47">
        <v>18606.04</v>
      </c>
    </row>
    <row r="729" ht="14.25" customHeight="1">
      <c r="A729" s="46">
        <v>43388.0</v>
      </c>
      <c r="B729" s="9">
        <v>10524.2</v>
      </c>
      <c r="C729" s="9">
        <v>10526.3</v>
      </c>
      <c r="D729" s="9">
        <v>10410.15</v>
      </c>
      <c r="E729" s="9">
        <v>10512.5</v>
      </c>
      <c r="F729" s="9">
        <v>2.67517728E8</v>
      </c>
      <c r="G729" s="47">
        <v>14372.15</v>
      </c>
    </row>
    <row r="730" ht="14.25" customHeight="1">
      <c r="A730" s="46">
        <v>43389.0</v>
      </c>
      <c r="B730" s="9">
        <v>10550.15</v>
      </c>
      <c r="C730" s="9">
        <v>10604.9</v>
      </c>
      <c r="D730" s="9">
        <v>10525.3</v>
      </c>
      <c r="E730" s="9">
        <v>10584.75</v>
      </c>
      <c r="F730" s="9">
        <v>2.73444095E8</v>
      </c>
      <c r="G730" s="47">
        <v>15453.03</v>
      </c>
    </row>
    <row r="731" ht="14.25" customHeight="1">
      <c r="A731" s="46">
        <v>43390.0</v>
      </c>
      <c r="B731" s="9">
        <v>10688.7</v>
      </c>
      <c r="C731" s="9">
        <v>10710.15</v>
      </c>
      <c r="D731" s="9">
        <v>10436.45</v>
      </c>
      <c r="E731" s="9">
        <v>10453.05</v>
      </c>
      <c r="F731" s="9">
        <v>2.93586908E8</v>
      </c>
      <c r="G731" s="47">
        <v>17173.14</v>
      </c>
    </row>
    <row r="732" ht="14.25" customHeight="1">
      <c r="A732" s="46">
        <v>43392.0</v>
      </c>
      <c r="B732" s="9">
        <v>10339.7</v>
      </c>
      <c r="C732" s="9">
        <v>10380.1</v>
      </c>
      <c r="D732" s="9">
        <v>10249.6</v>
      </c>
      <c r="E732" s="9">
        <v>10303.55</v>
      </c>
      <c r="F732" s="9">
        <v>3.68552204E8</v>
      </c>
      <c r="G732" s="47">
        <v>20505.66</v>
      </c>
    </row>
    <row r="733" ht="14.25" customHeight="1">
      <c r="A733" s="46">
        <v>43395.0</v>
      </c>
      <c r="B733" s="9">
        <v>10405.85</v>
      </c>
      <c r="C733" s="9">
        <v>10408.55</v>
      </c>
      <c r="D733" s="9">
        <v>10224.0</v>
      </c>
      <c r="E733" s="9">
        <v>10245.25</v>
      </c>
      <c r="F733" s="9">
        <v>3.06472776E8</v>
      </c>
      <c r="G733" s="47">
        <v>17241.94</v>
      </c>
    </row>
    <row r="734" ht="14.25" customHeight="1">
      <c r="A734" s="46">
        <v>43396.0</v>
      </c>
      <c r="B734" s="9">
        <v>10152.6</v>
      </c>
      <c r="C734" s="9">
        <v>10222.1</v>
      </c>
      <c r="D734" s="9">
        <v>10102.35</v>
      </c>
      <c r="E734" s="9">
        <v>10146.8</v>
      </c>
      <c r="F734" s="9">
        <v>3.1204209E8</v>
      </c>
      <c r="G734" s="47">
        <v>18114.71</v>
      </c>
    </row>
    <row r="735" ht="14.25" customHeight="1">
      <c r="A735" s="46">
        <v>43397.0</v>
      </c>
      <c r="B735" s="9">
        <v>10278.15</v>
      </c>
      <c r="C735" s="9">
        <v>10290.65</v>
      </c>
      <c r="D735" s="9">
        <v>10126.7</v>
      </c>
      <c r="E735" s="9">
        <v>10224.75</v>
      </c>
      <c r="F735" s="9">
        <v>3.62272428E8</v>
      </c>
      <c r="G735" s="47">
        <v>19413.24</v>
      </c>
    </row>
    <row r="736" ht="14.25" customHeight="1">
      <c r="A736" s="46">
        <v>43398.0</v>
      </c>
      <c r="B736" s="9">
        <v>10135.05</v>
      </c>
      <c r="C736" s="9">
        <v>10166.6</v>
      </c>
      <c r="D736" s="9">
        <v>10079.3</v>
      </c>
      <c r="E736" s="9">
        <v>10124.9</v>
      </c>
      <c r="F736" s="9">
        <v>5.22421914E8</v>
      </c>
      <c r="G736" s="47">
        <v>23503.76</v>
      </c>
    </row>
    <row r="737" ht="14.25" customHeight="1">
      <c r="A737" s="46">
        <v>43399.0</v>
      </c>
      <c r="B737" s="9">
        <v>10122.35</v>
      </c>
      <c r="C737" s="9">
        <v>10128.85</v>
      </c>
      <c r="D737" s="9">
        <v>10004.55</v>
      </c>
      <c r="E737" s="9">
        <v>10030.0</v>
      </c>
      <c r="F737" s="9">
        <v>3.75563273E8</v>
      </c>
      <c r="G737" s="47">
        <v>16120.14</v>
      </c>
    </row>
    <row r="738" ht="14.25" customHeight="1">
      <c r="A738" s="46">
        <v>43402.0</v>
      </c>
      <c r="B738" s="9">
        <v>10078.1</v>
      </c>
      <c r="C738" s="9">
        <v>10275.3</v>
      </c>
      <c r="D738" s="9">
        <v>10020.35</v>
      </c>
      <c r="E738" s="9">
        <v>10250.85</v>
      </c>
      <c r="F738" s="9">
        <v>3.75749433E8</v>
      </c>
      <c r="G738" s="47">
        <v>17514.85</v>
      </c>
    </row>
    <row r="739" ht="14.25" customHeight="1">
      <c r="A739" s="46">
        <v>43403.0</v>
      </c>
      <c r="B739" s="9">
        <v>10239.4</v>
      </c>
      <c r="C739" s="9">
        <v>10285.1</v>
      </c>
      <c r="D739" s="9">
        <v>10175.35</v>
      </c>
      <c r="E739" s="9">
        <v>10198.4</v>
      </c>
      <c r="F739" s="9">
        <v>2.98753965E8</v>
      </c>
      <c r="G739" s="47">
        <v>14789.51</v>
      </c>
    </row>
    <row r="740" ht="14.25" customHeight="1">
      <c r="A740" s="46">
        <v>43404.0</v>
      </c>
      <c r="B740" s="9">
        <v>10209.55</v>
      </c>
      <c r="C740" s="9">
        <v>10396.0</v>
      </c>
      <c r="D740" s="9">
        <v>10105.1</v>
      </c>
      <c r="E740" s="9">
        <v>10386.6</v>
      </c>
      <c r="F740" s="9">
        <v>3.86618948E8</v>
      </c>
      <c r="G740" s="47">
        <v>21513.85</v>
      </c>
    </row>
    <row r="741" ht="14.25" customHeight="1">
      <c r="A741" s="46">
        <v>43405.0</v>
      </c>
      <c r="B741" s="9">
        <v>10441.7</v>
      </c>
      <c r="C741" s="9">
        <v>10441.9</v>
      </c>
      <c r="D741" s="9">
        <v>10341.9</v>
      </c>
      <c r="E741" s="9">
        <v>10380.45</v>
      </c>
      <c r="F741" s="9">
        <v>3.59340403E8</v>
      </c>
      <c r="G741" s="47">
        <v>18111.88</v>
      </c>
    </row>
    <row r="742" ht="14.25" customHeight="1">
      <c r="A742" s="46">
        <v>43406.0</v>
      </c>
      <c r="B742" s="9">
        <v>10462.3</v>
      </c>
      <c r="C742" s="9">
        <v>10606.95</v>
      </c>
      <c r="D742" s="9">
        <v>10457.7</v>
      </c>
      <c r="E742" s="9">
        <v>10553.0</v>
      </c>
      <c r="F742" s="9">
        <v>4.34175607E8</v>
      </c>
      <c r="G742" s="47">
        <v>21758.8</v>
      </c>
    </row>
    <row r="743" ht="14.25" customHeight="1">
      <c r="A743" s="46">
        <v>43409.0</v>
      </c>
      <c r="B743" s="9">
        <v>10558.75</v>
      </c>
      <c r="C743" s="9">
        <v>10558.8</v>
      </c>
      <c r="D743" s="9">
        <v>10477.0</v>
      </c>
      <c r="E743" s="9">
        <v>10524.0</v>
      </c>
      <c r="F743" s="9">
        <v>3.11176379E8</v>
      </c>
      <c r="G743" s="47">
        <v>14761.17</v>
      </c>
    </row>
    <row r="744" ht="14.25" customHeight="1">
      <c r="A744" s="46">
        <v>43410.0</v>
      </c>
      <c r="B744" s="9">
        <v>10552.0</v>
      </c>
      <c r="C744" s="9">
        <v>10600.25</v>
      </c>
      <c r="D744" s="9">
        <v>10491.45</v>
      </c>
      <c r="E744" s="9">
        <v>10530.0</v>
      </c>
      <c r="F744" s="9">
        <v>3.0987881E8</v>
      </c>
      <c r="G744" s="47">
        <v>14006.19</v>
      </c>
    </row>
    <row r="745" ht="14.25" customHeight="1">
      <c r="A745" s="46">
        <v>43411.0</v>
      </c>
      <c r="B745" s="9">
        <v>10614.45</v>
      </c>
      <c r="C745" s="9">
        <v>10616.45</v>
      </c>
      <c r="D745" s="9">
        <v>10582.3</v>
      </c>
      <c r="E745" s="9">
        <v>10598.4</v>
      </c>
      <c r="F745" s="9">
        <v>3.2194181E7</v>
      </c>
      <c r="G745" s="47">
        <v>1534.08</v>
      </c>
    </row>
    <row r="746" ht="14.25" customHeight="1">
      <c r="A746" s="46">
        <v>43413.0</v>
      </c>
      <c r="B746" s="9">
        <v>10614.7</v>
      </c>
      <c r="C746" s="9">
        <v>10619.55</v>
      </c>
      <c r="D746" s="9">
        <v>10544.85</v>
      </c>
      <c r="E746" s="9">
        <v>10585.2</v>
      </c>
      <c r="F746" s="9">
        <v>3.05817331E8</v>
      </c>
      <c r="G746" s="47">
        <v>15294.83</v>
      </c>
    </row>
    <row r="747" ht="14.25" customHeight="1">
      <c r="A747" s="46">
        <v>43416.0</v>
      </c>
      <c r="B747" s="9">
        <v>10607.8</v>
      </c>
      <c r="C747" s="9">
        <v>10645.5</v>
      </c>
      <c r="D747" s="9">
        <v>10464.05</v>
      </c>
      <c r="E747" s="9">
        <v>10482.2</v>
      </c>
      <c r="F747" s="9">
        <v>2.67710127E8</v>
      </c>
      <c r="G747" s="47">
        <v>13445.33</v>
      </c>
    </row>
    <row r="748" ht="14.25" customHeight="1">
      <c r="A748" s="46">
        <v>43417.0</v>
      </c>
      <c r="B748" s="9">
        <v>10451.9</v>
      </c>
      <c r="C748" s="9">
        <v>10596.25</v>
      </c>
      <c r="D748" s="9">
        <v>10440.55</v>
      </c>
      <c r="E748" s="9">
        <v>10582.5</v>
      </c>
      <c r="F748" s="9">
        <v>2.62541595E8</v>
      </c>
      <c r="G748" s="47">
        <v>13078.98</v>
      </c>
    </row>
    <row r="749" ht="14.25" customHeight="1">
      <c r="A749" s="46">
        <v>43418.0</v>
      </c>
      <c r="B749" s="9">
        <v>10634.9</v>
      </c>
      <c r="C749" s="9">
        <v>10651.6</v>
      </c>
      <c r="D749" s="9">
        <v>10532.7</v>
      </c>
      <c r="E749" s="9">
        <v>10576.3</v>
      </c>
      <c r="F749" s="9">
        <v>3.96373781E8</v>
      </c>
      <c r="G749" s="47">
        <v>19374.89</v>
      </c>
    </row>
    <row r="750" ht="14.25" customHeight="1">
      <c r="A750" s="46">
        <v>43419.0</v>
      </c>
      <c r="B750" s="9">
        <v>10580.6</v>
      </c>
      <c r="C750" s="9">
        <v>10646.5</v>
      </c>
      <c r="D750" s="9">
        <v>10557.5</v>
      </c>
      <c r="E750" s="9">
        <v>10616.7</v>
      </c>
      <c r="F750" s="9">
        <v>3.06011926E8</v>
      </c>
      <c r="G750" s="47">
        <v>14937.67</v>
      </c>
    </row>
    <row r="751" ht="14.25" customHeight="1">
      <c r="A751" s="46">
        <v>43420.0</v>
      </c>
      <c r="B751" s="9">
        <v>10644.0</v>
      </c>
      <c r="C751" s="9">
        <v>10695.15</v>
      </c>
      <c r="D751" s="9">
        <v>10631.15</v>
      </c>
      <c r="E751" s="9">
        <v>10682.2</v>
      </c>
      <c r="F751" s="9">
        <v>3.53384918E8</v>
      </c>
      <c r="G751" s="47">
        <v>16728.88</v>
      </c>
    </row>
    <row r="752" ht="14.25" customHeight="1">
      <c r="A752" s="46">
        <v>43423.0</v>
      </c>
      <c r="B752" s="9">
        <v>10731.25</v>
      </c>
      <c r="C752" s="9">
        <v>10774.7</v>
      </c>
      <c r="D752" s="9">
        <v>10688.8</v>
      </c>
      <c r="E752" s="9">
        <v>10763.4</v>
      </c>
      <c r="F752" s="9">
        <v>2.80522364E8</v>
      </c>
      <c r="G752" s="47">
        <v>13540.9</v>
      </c>
    </row>
    <row r="753" ht="14.25" customHeight="1">
      <c r="A753" s="46">
        <v>43424.0</v>
      </c>
      <c r="B753" s="9">
        <v>10740.1</v>
      </c>
      <c r="C753" s="9">
        <v>10740.85</v>
      </c>
      <c r="D753" s="9">
        <v>10640.85</v>
      </c>
      <c r="E753" s="9">
        <v>10656.2</v>
      </c>
      <c r="F753" s="9">
        <v>3.04322623E8</v>
      </c>
      <c r="G753" s="47">
        <v>13077.24</v>
      </c>
    </row>
    <row r="754" ht="14.25" customHeight="1">
      <c r="A754" s="46">
        <v>43425.0</v>
      </c>
      <c r="B754" s="9">
        <v>10670.95</v>
      </c>
      <c r="C754" s="9">
        <v>10671.3</v>
      </c>
      <c r="D754" s="9">
        <v>10562.35</v>
      </c>
      <c r="E754" s="9">
        <v>10600.05</v>
      </c>
      <c r="F754" s="9">
        <v>3.10191008E8</v>
      </c>
      <c r="G754" s="47">
        <v>15382.32</v>
      </c>
    </row>
    <row r="755" ht="14.25" customHeight="1">
      <c r="A755" s="46">
        <v>43426.0</v>
      </c>
      <c r="B755" s="9">
        <v>10612.65</v>
      </c>
      <c r="C755" s="9">
        <v>10646.25</v>
      </c>
      <c r="D755" s="9">
        <v>10512.0</v>
      </c>
      <c r="E755" s="9">
        <v>10526.75</v>
      </c>
      <c r="F755" s="9">
        <v>2.46926671E8</v>
      </c>
      <c r="G755" s="47">
        <v>12254.36</v>
      </c>
    </row>
    <row r="756" ht="14.25" customHeight="1">
      <c r="A756" s="46">
        <v>43430.0</v>
      </c>
      <c r="B756" s="9">
        <v>10568.3</v>
      </c>
      <c r="C756" s="9">
        <v>10637.8</v>
      </c>
      <c r="D756" s="9">
        <v>10489.75</v>
      </c>
      <c r="E756" s="9">
        <v>10628.6</v>
      </c>
      <c r="F756" s="9">
        <v>3.32863041E8</v>
      </c>
      <c r="G756" s="47">
        <v>15927.25</v>
      </c>
    </row>
    <row r="757" ht="14.25" customHeight="1">
      <c r="A757" s="46">
        <v>43431.0</v>
      </c>
      <c r="B757" s="9">
        <v>10621.45</v>
      </c>
      <c r="C757" s="9">
        <v>10695.15</v>
      </c>
      <c r="D757" s="9">
        <v>10596.35</v>
      </c>
      <c r="E757" s="9">
        <v>10685.6</v>
      </c>
      <c r="F757" s="9">
        <v>3.82834178E8</v>
      </c>
      <c r="G757" s="47">
        <v>17296.28</v>
      </c>
    </row>
    <row r="758" ht="14.25" customHeight="1">
      <c r="A758" s="46">
        <v>43432.0</v>
      </c>
      <c r="B758" s="9">
        <v>10708.75</v>
      </c>
      <c r="C758" s="9">
        <v>10757.8</v>
      </c>
      <c r="D758" s="9">
        <v>10699.85</v>
      </c>
      <c r="E758" s="9">
        <v>10728.85</v>
      </c>
      <c r="F758" s="9">
        <v>4.37627174E8</v>
      </c>
      <c r="G758" s="47">
        <v>17737.28</v>
      </c>
    </row>
    <row r="759" ht="14.25" customHeight="1">
      <c r="A759" s="46">
        <v>43433.0</v>
      </c>
      <c r="B759" s="9">
        <v>10808.7</v>
      </c>
      <c r="C759" s="9">
        <v>10883.05</v>
      </c>
      <c r="D759" s="9">
        <v>10782.35</v>
      </c>
      <c r="E759" s="9">
        <v>10858.7</v>
      </c>
      <c r="F759" s="9">
        <v>7.1265089E8</v>
      </c>
      <c r="G759" s="47">
        <v>26283.43</v>
      </c>
    </row>
    <row r="760" ht="14.25" customHeight="1">
      <c r="A760" s="46">
        <v>43434.0</v>
      </c>
      <c r="B760" s="9">
        <v>10892.1</v>
      </c>
      <c r="C760" s="9">
        <v>10922.45</v>
      </c>
      <c r="D760" s="9">
        <v>10835.1</v>
      </c>
      <c r="E760" s="9">
        <v>10876.75</v>
      </c>
      <c r="F760" s="9">
        <v>4.67857329E8</v>
      </c>
      <c r="G760" s="47">
        <v>19964.33</v>
      </c>
    </row>
    <row r="761" ht="14.25" customHeight="1">
      <c r="A761" s="46">
        <v>43437.0</v>
      </c>
      <c r="B761" s="9">
        <v>10930.7</v>
      </c>
      <c r="C761" s="9">
        <v>10941.2</v>
      </c>
      <c r="D761" s="9">
        <v>10845.35</v>
      </c>
      <c r="E761" s="9">
        <v>10883.75</v>
      </c>
      <c r="F761" s="9">
        <v>4.22358631E8</v>
      </c>
      <c r="G761" s="47">
        <v>18484.91</v>
      </c>
    </row>
    <row r="762" ht="14.25" customHeight="1">
      <c r="A762" s="46">
        <v>43438.0</v>
      </c>
      <c r="B762" s="9">
        <v>10877.1</v>
      </c>
      <c r="C762" s="9">
        <v>10890.95</v>
      </c>
      <c r="D762" s="9">
        <v>10833.35</v>
      </c>
      <c r="E762" s="9">
        <v>10869.5</v>
      </c>
      <c r="F762" s="9">
        <v>3.32137359E8</v>
      </c>
      <c r="G762" s="47">
        <v>15857.16</v>
      </c>
    </row>
    <row r="763" ht="14.25" customHeight="1">
      <c r="A763" s="46">
        <v>43439.0</v>
      </c>
      <c r="B763" s="9">
        <v>10820.45</v>
      </c>
      <c r="C763" s="9">
        <v>10821.05</v>
      </c>
      <c r="D763" s="9">
        <v>10747.95</v>
      </c>
      <c r="E763" s="9">
        <v>10782.9</v>
      </c>
      <c r="F763" s="9">
        <v>3.22019985E8</v>
      </c>
      <c r="G763" s="47">
        <v>15176.26</v>
      </c>
    </row>
    <row r="764" ht="14.25" customHeight="1">
      <c r="A764" s="46">
        <v>43440.0</v>
      </c>
      <c r="B764" s="9">
        <v>10718.15</v>
      </c>
      <c r="C764" s="9">
        <v>10722.65</v>
      </c>
      <c r="D764" s="9">
        <v>10588.25</v>
      </c>
      <c r="E764" s="9">
        <v>10601.15</v>
      </c>
      <c r="F764" s="9">
        <v>3.28275196E8</v>
      </c>
      <c r="G764" s="47">
        <v>16488.87</v>
      </c>
    </row>
    <row r="765" ht="14.25" customHeight="1">
      <c r="A765" s="46">
        <v>43441.0</v>
      </c>
      <c r="B765" s="9">
        <v>10644.8</v>
      </c>
      <c r="C765" s="9">
        <v>10704.55</v>
      </c>
      <c r="D765" s="9">
        <v>10599.35</v>
      </c>
      <c r="E765" s="9">
        <v>10693.7</v>
      </c>
      <c r="F765" s="9">
        <v>3.35849636E8</v>
      </c>
      <c r="G765" s="47">
        <v>18597.83</v>
      </c>
    </row>
    <row r="766" ht="14.25" customHeight="1">
      <c r="A766" s="46">
        <v>43444.0</v>
      </c>
      <c r="B766" s="9">
        <v>10508.7</v>
      </c>
      <c r="C766" s="9">
        <v>10558.85</v>
      </c>
      <c r="D766" s="9">
        <v>10474.95</v>
      </c>
      <c r="E766" s="9">
        <v>10488.45</v>
      </c>
      <c r="F766" s="9">
        <v>3.93097292E8</v>
      </c>
      <c r="G766" s="47">
        <v>16524.36</v>
      </c>
    </row>
    <row r="767" ht="14.25" customHeight="1">
      <c r="A767" s="46">
        <v>43445.0</v>
      </c>
      <c r="B767" s="9">
        <v>10350.05</v>
      </c>
      <c r="C767" s="9">
        <v>10567.15</v>
      </c>
      <c r="D767" s="9">
        <v>10333.85</v>
      </c>
      <c r="E767" s="9">
        <v>10549.15</v>
      </c>
      <c r="F767" s="9">
        <v>4.38699334E8</v>
      </c>
      <c r="G767" s="47">
        <v>20112.91</v>
      </c>
    </row>
    <row r="768" ht="14.25" customHeight="1">
      <c r="A768" s="46">
        <v>43446.0</v>
      </c>
      <c r="B768" s="9">
        <v>10591.0</v>
      </c>
      <c r="C768" s="9">
        <v>10752.2</v>
      </c>
      <c r="D768" s="9">
        <v>10560.8</v>
      </c>
      <c r="E768" s="9">
        <v>10737.6</v>
      </c>
      <c r="F768" s="9">
        <v>3.71697496E8</v>
      </c>
      <c r="G768" s="47">
        <v>17447.45</v>
      </c>
    </row>
    <row r="769" ht="14.25" customHeight="1">
      <c r="A769" s="46">
        <v>43447.0</v>
      </c>
      <c r="B769" s="9">
        <v>10810.75</v>
      </c>
      <c r="C769" s="9">
        <v>10838.6</v>
      </c>
      <c r="D769" s="9">
        <v>10749.5</v>
      </c>
      <c r="E769" s="9">
        <v>10791.55</v>
      </c>
      <c r="F769" s="9">
        <v>3.87810061E8</v>
      </c>
      <c r="G769" s="47">
        <v>17582.8</v>
      </c>
    </row>
    <row r="770" ht="14.25" customHeight="1">
      <c r="A770" s="46">
        <v>43448.0</v>
      </c>
      <c r="B770" s="9">
        <v>10784.5</v>
      </c>
      <c r="C770" s="9">
        <v>10815.75</v>
      </c>
      <c r="D770" s="9">
        <v>10752.1</v>
      </c>
      <c r="E770" s="9">
        <v>10805.45</v>
      </c>
      <c r="F770" s="9">
        <v>3.50579275E8</v>
      </c>
      <c r="G770" s="47">
        <v>14486.1</v>
      </c>
    </row>
    <row r="771" ht="14.25" customHeight="1">
      <c r="A771" s="46">
        <v>43451.0</v>
      </c>
      <c r="B771" s="9">
        <v>10853.2</v>
      </c>
      <c r="C771" s="9">
        <v>10900.35</v>
      </c>
      <c r="D771" s="9">
        <v>10844.85</v>
      </c>
      <c r="E771" s="9">
        <v>10888.35</v>
      </c>
      <c r="F771" s="9">
        <v>3.06145514E8</v>
      </c>
      <c r="G771" s="47">
        <v>12528.59</v>
      </c>
    </row>
    <row r="772" ht="14.25" customHeight="1">
      <c r="A772" s="46">
        <v>43452.0</v>
      </c>
      <c r="B772" s="9">
        <v>10850.9</v>
      </c>
      <c r="C772" s="9">
        <v>10915.4</v>
      </c>
      <c r="D772" s="9">
        <v>10819.1</v>
      </c>
      <c r="E772" s="9">
        <v>10908.7</v>
      </c>
      <c r="F772" s="9">
        <v>2.94942271E8</v>
      </c>
      <c r="G772" s="47">
        <v>13556.45</v>
      </c>
    </row>
    <row r="773" ht="14.25" customHeight="1">
      <c r="A773" s="46">
        <v>43453.0</v>
      </c>
      <c r="B773" s="9">
        <v>10930.55</v>
      </c>
      <c r="C773" s="9">
        <v>10985.15</v>
      </c>
      <c r="D773" s="9">
        <v>10928.0</v>
      </c>
      <c r="E773" s="9">
        <v>10967.3</v>
      </c>
      <c r="F773" s="9">
        <v>3.21801803E8</v>
      </c>
      <c r="G773" s="47">
        <v>17172.64</v>
      </c>
    </row>
    <row r="774" ht="14.25" customHeight="1">
      <c r="A774" s="46">
        <v>43454.0</v>
      </c>
      <c r="B774" s="9">
        <v>10885.2</v>
      </c>
      <c r="C774" s="9">
        <v>10962.55</v>
      </c>
      <c r="D774" s="9">
        <v>10880.05</v>
      </c>
      <c r="E774" s="9">
        <v>10951.7</v>
      </c>
      <c r="F774" s="9">
        <v>3.28802751E8</v>
      </c>
      <c r="G774" s="47">
        <v>14945.94</v>
      </c>
    </row>
    <row r="775" ht="14.25" customHeight="1">
      <c r="A775" s="46">
        <v>43455.0</v>
      </c>
      <c r="B775" s="9">
        <v>10944.25</v>
      </c>
      <c r="C775" s="9">
        <v>10963.65</v>
      </c>
      <c r="D775" s="9">
        <v>10738.65</v>
      </c>
      <c r="E775" s="9">
        <v>10754.0</v>
      </c>
      <c r="F775" s="9">
        <v>3.89235107E8</v>
      </c>
      <c r="G775" s="47">
        <v>18663.85</v>
      </c>
    </row>
    <row r="776" ht="14.25" customHeight="1">
      <c r="A776" s="46">
        <v>43458.0</v>
      </c>
      <c r="B776" s="9">
        <v>10780.9</v>
      </c>
      <c r="C776" s="9">
        <v>10782.3</v>
      </c>
      <c r="D776" s="9">
        <v>10649.25</v>
      </c>
      <c r="E776" s="9">
        <v>10663.5</v>
      </c>
      <c r="F776" s="9">
        <v>2.30291344E8</v>
      </c>
      <c r="G776" s="47">
        <v>10695.6</v>
      </c>
    </row>
    <row r="777" ht="14.25" customHeight="1">
      <c r="A777" s="46">
        <v>43460.0</v>
      </c>
      <c r="B777" s="9">
        <v>10635.45</v>
      </c>
      <c r="C777" s="9">
        <v>10747.5</v>
      </c>
      <c r="D777" s="9">
        <v>10534.55</v>
      </c>
      <c r="E777" s="9">
        <v>10729.85</v>
      </c>
      <c r="F777" s="9">
        <v>2.71942701E8</v>
      </c>
      <c r="G777" s="47">
        <v>12831.99</v>
      </c>
    </row>
    <row r="778" ht="14.25" customHeight="1">
      <c r="A778" s="46">
        <v>43461.0</v>
      </c>
      <c r="B778" s="9">
        <v>10817.9</v>
      </c>
      <c r="C778" s="9">
        <v>10834.2</v>
      </c>
      <c r="D778" s="9">
        <v>10764.45</v>
      </c>
      <c r="E778" s="9">
        <v>10779.8</v>
      </c>
      <c r="F778" s="9">
        <v>4.70160392E8</v>
      </c>
      <c r="G778" s="47">
        <v>19119.88</v>
      </c>
    </row>
    <row r="779" ht="14.25" customHeight="1">
      <c r="A779" s="46">
        <v>43462.0</v>
      </c>
      <c r="B779" s="9">
        <v>10820.95</v>
      </c>
      <c r="C779" s="9">
        <v>10893.6</v>
      </c>
      <c r="D779" s="9">
        <v>10817.15</v>
      </c>
      <c r="E779" s="9">
        <v>10859.9</v>
      </c>
      <c r="F779" s="9">
        <v>2.53086507E8</v>
      </c>
      <c r="G779" s="47">
        <v>12615.01</v>
      </c>
    </row>
    <row r="780" ht="14.25" customHeight="1">
      <c r="A780" s="46">
        <v>43465.0</v>
      </c>
      <c r="B780" s="9">
        <v>10913.2</v>
      </c>
      <c r="C780" s="9">
        <v>10923.55</v>
      </c>
      <c r="D780" s="9">
        <v>10853.2</v>
      </c>
      <c r="E780" s="9">
        <v>10862.55</v>
      </c>
      <c r="F780" s="9">
        <v>1.86494657E8</v>
      </c>
      <c r="G780" s="47">
        <v>10176.13</v>
      </c>
    </row>
    <row r="781" ht="14.25" customHeight="1">
      <c r="A781" s="46">
        <v>43466.0</v>
      </c>
      <c r="B781" s="9">
        <v>10881.7</v>
      </c>
      <c r="C781" s="9">
        <v>10923.6</v>
      </c>
      <c r="D781" s="9">
        <v>10807.1</v>
      </c>
      <c r="E781" s="9">
        <v>10910.1</v>
      </c>
      <c r="F781" s="9">
        <v>1.59404542E8</v>
      </c>
      <c r="G781" s="47">
        <v>8688.26</v>
      </c>
    </row>
    <row r="782" ht="14.25" customHeight="1">
      <c r="A782" s="46">
        <v>43467.0</v>
      </c>
      <c r="B782" s="9">
        <v>10868.85</v>
      </c>
      <c r="C782" s="9">
        <v>10895.35</v>
      </c>
      <c r="D782" s="9">
        <v>10735.05</v>
      </c>
      <c r="E782" s="9">
        <v>10792.5</v>
      </c>
      <c r="F782" s="9">
        <v>3.09665939E8</v>
      </c>
      <c r="G782" s="47">
        <v>15352.25</v>
      </c>
    </row>
    <row r="783" ht="14.25" customHeight="1">
      <c r="A783" s="46">
        <v>43468.0</v>
      </c>
      <c r="B783" s="9">
        <v>10796.8</v>
      </c>
      <c r="C783" s="9">
        <v>10814.05</v>
      </c>
      <c r="D783" s="9">
        <v>10661.25</v>
      </c>
      <c r="E783" s="9">
        <v>10672.25</v>
      </c>
      <c r="F783" s="9">
        <v>2.86241745E8</v>
      </c>
      <c r="G783" s="47">
        <v>15030.45</v>
      </c>
    </row>
    <row r="784" ht="14.25" customHeight="1">
      <c r="A784" s="46">
        <v>43469.0</v>
      </c>
      <c r="B784" s="9">
        <v>10699.7</v>
      </c>
      <c r="C784" s="9">
        <v>10741.05</v>
      </c>
      <c r="D784" s="9">
        <v>10628.65</v>
      </c>
      <c r="E784" s="9">
        <v>10727.35</v>
      </c>
      <c r="F784" s="9">
        <v>2.96596655E8</v>
      </c>
      <c r="G784" s="47">
        <v>14516.74</v>
      </c>
    </row>
    <row r="785" ht="14.25" customHeight="1">
      <c r="A785" s="46">
        <v>43472.0</v>
      </c>
      <c r="B785" s="9">
        <v>10804.85</v>
      </c>
      <c r="C785" s="9">
        <v>10835.95</v>
      </c>
      <c r="D785" s="9">
        <v>10750.15</v>
      </c>
      <c r="E785" s="9">
        <v>10771.8</v>
      </c>
      <c r="F785" s="9">
        <v>2.6937108E8</v>
      </c>
      <c r="G785" s="47">
        <v>12731.29</v>
      </c>
    </row>
    <row r="786" ht="14.25" customHeight="1">
      <c r="A786" s="46">
        <v>43473.0</v>
      </c>
      <c r="B786" s="9">
        <v>10786.25</v>
      </c>
      <c r="C786" s="9">
        <v>10818.45</v>
      </c>
      <c r="D786" s="9">
        <v>10733.25</v>
      </c>
      <c r="E786" s="9">
        <v>10802.15</v>
      </c>
      <c r="F786" s="9">
        <v>2.77697672E8</v>
      </c>
      <c r="G786" s="47">
        <v>13433.48</v>
      </c>
    </row>
    <row r="787" ht="14.25" customHeight="1">
      <c r="A787" s="46">
        <v>43474.0</v>
      </c>
      <c r="B787" s="9">
        <v>10862.4</v>
      </c>
      <c r="C787" s="9">
        <v>10870.4</v>
      </c>
      <c r="D787" s="9">
        <v>10749.4</v>
      </c>
      <c r="E787" s="9">
        <v>10855.15</v>
      </c>
      <c r="F787" s="9">
        <v>3.33010535E8</v>
      </c>
      <c r="G787" s="47">
        <v>16213.3</v>
      </c>
    </row>
    <row r="788" ht="14.25" customHeight="1">
      <c r="A788" s="46">
        <v>43475.0</v>
      </c>
      <c r="B788" s="9">
        <v>10859.35</v>
      </c>
      <c r="C788" s="9">
        <v>10859.35</v>
      </c>
      <c r="D788" s="9">
        <v>10801.8</v>
      </c>
      <c r="E788" s="9">
        <v>10821.6</v>
      </c>
      <c r="F788" s="9">
        <v>2.54365477E8</v>
      </c>
      <c r="G788" s="47">
        <v>12031.26</v>
      </c>
    </row>
    <row r="789" ht="14.25" customHeight="1">
      <c r="A789" s="46">
        <v>43476.0</v>
      </c>
      <c r="B789" s="9">
        <v>10834.75</v>
      </c>
      <c r="C789" s="9">
        <v>10850.15</v>
      </c>
      <c r="D789" s="9">
        <v>10739.4</v>
      </c>
      <c r="E789" s="9">
        <v>10794.95</v>
      </c>
      <c r="F789" s="9">
        <v>2.607922E8</v>
      </c>
      <c r="G789" s="47">
        <v>13084.6</v>
      </c>
    </row>
    <row r="790" ht="14.25" customHeight="1">
      <c r="A790" s="46">
        <v>43479.0</v>
      </c>
      <c r="B790" s="9">
        <v>10807.0</v>
      </c>
      <c r="C790" s="9">
        <v>10808.0</v>
      </c>
      <c r="D790" s="9">
        <v>10692.35</v>
      </c>
      <c r="E790" s="9">
        <v>10737.6</v>
      </c>
      <c r="F790" s="9">
        <v>2.98774178E8</v>
      </c>
      <c r="G790" s="47">
        <v>12732.57</v>
      </c>
    </row>
    <row r="791" ht="14.25" customHeight="1">
      <c r="A791" s="46">
        <v>43480.0</v>
      </c>
      <c r="B791" s="9">
        <v>10777.55</v>
      </c>
      <c r="C791" s="9">
        <v>10896.95</v>
      </c>
      <c r="D791" s="9">
        <v>10777.55</v>
      </c>
      <c r="E791" s="9">
        <v>10886.8</v>
      </c>
      <c r="F791" s="9">
        <v>3.10737078E8</v>
      </c>
      <c r="G791" s="47">
        <v>14879.91</v>
      </c>
    </row>
    <row r="792" ht="14.25" customHeight="1">
      <c r="A792" s="46">
        <v>43481.0</v>
      </c>
      <c r="B792" s="9">
        <v>10899.65</v>
      </c>
      <c r="C792" s="9">
        <v>10928.15</v>
      </c>
      <c r="D792" s="9">
        <v>10876.9</v>
      </c>
      <c r="E792" s="9">
        <v>10890.3</v>
      </c>
      <c r="F792" s="9">
        <v>2.76539042E8</v>
      </c>
      <c r="G792" s="47">
        <v>13081.63</v>
      </c>
    </row>
    <row r="793" ht="14.25" customHeight="1">
      <c r="A793" s="46">
        <v>43482.0</v>
      </c>
      <c r="B793" s="9">
        <v>10920.85</v>
      </c>
      <c r="C793" s="9">
        <v>10930.65</v>
      </c>
      <c r="D793" s="9">
        <v>10844.65</v>
      </c>
      <c r="E793" s="9">
        <v>10905.2</v>
      </c>
      <c r="F793" s="9">
        <v>2.71676319E8</v>
      </c>
      <c r="G793" s="47">
        <v>13215.83</v>
      </c>
    </row>
    <row r="794" ht="14.25" customHeight="1">
      <c r="A794" s="46">
        <v>43483.0</v>
      </c>
      <c r="B794" s="9">
        <v>10914.85</v>
      </c>
      <c r="C794" s="9">
        <v>10928.2</v>
      </c>
      <c r="D794" s="9">
        <v>10852.2</v>
      </c>
      <c r="E794" s="9">
        <v>10906.95</v>
      </c>
      <c r="F794" s="9">
        <v>3.23814108E8</v>
      </c>
      <c r="G794" s="47">
        <v>16408.83</v>
      </c>
    </row>
    <row r="795" ht="14.25" customHeight="1">
      <c r="A795" s="46">
        <v>43486.0</v>
      </c>
      <c r="B795" s="9">
        <v>10919.35</v>
      </c>
      <c r="C795" s="9">
        <v>10987.45</v>
      </c>
      <c r="D795" s="9">
        <v>10885.75</v>
      </c>
      <c r="E795" s="9">
        <v>10961.85</v>
      </c>
      <c r="F795" s="9">
        <v>2.88829125E8</v>
      </c>
      <c r="G795" s="47">
        <v>17289.7</v>
      </c>
    </row>
    <row r="796" ht="14.25" customHeight="1">
      <c r="A796" s="46">
        <v>43487.0</v>
      </c>
      <c r="B796" s="9">
        <v>10949.8</v>
      </c>
      <c r="C796" s="9">
        <v>10949.8</v>
      </c>
      <c r="D796" s="9">
        <v>10864.15</v>
      </c>
      <c r="E796" s="9">
        <v>10922.75</v>
      </c>
      <c r="F796" s="9">
        <v>3.00768112E8</v>
      </c>
      <c r="G796" s="47">
        <v>17483.62</v>
      </c>
    </row>
    <row r="797" ht="14.25" customHeight="1">
      <c r="A797" s="46">
        <v>43488.0</v>
      </c>
      <c r="B797" s="9">
        <v>10931.05</v>
      </c>
      <c r="C797" s="9">
        <v>10944.8</v>
      </c>
      <c r="D797" s="9">
        <v>10811.95</v>
      </c>
      <c r="E797" s="9">
        <v>10831.5</v>
      </c>
      <c r="F797" s="9">
        <v>2.98876314E8</v>
      </c>
      <c r="G797" s="47">
        <v>14736.91</v>
      </c>
    </row>
    <row r="798" ht="14.25" customHeight="1">
      <c r="A798" s="46">
        <v>43489.0</v>
      </c>
      <c r="B798" s="9">
        <v>10844.05</v>
      </c>
      <c r="C798" s="9">
        <v>10866.6</v>
      </c>
      <c r="D798" s="9">
        <v>10798.65</v>
      </c>
      <c r="E798" s="9">
        <v>10849.8</v>
      </c>
      <c r="F798" s="9">
        <v>3.61082096E8</v>
      </c>
      <c r="G798" s="47">
        <v>15298.48</v>
      </c>
    </row>
    <row r="799" ht="14.25" customHeight="1">
      <c r="A799" s="46">
        <v>43490.0</v>
      </c>
      <c r="B799" s="9">
        <v>10859.75</v>
      </c>
      <c r="C799" s="9">
        <v>10931.7</v>
      </c>
      <c r="D799" s="9">
        <v>10756.45</v>
      </c>
      <c r="E799" s="9">
        <v>10780.55</v>
      </c>
      <c r="F799" s="9">
        <v>4.63444758E8</v>
      </c>
      <c r="G799" s="47">
        <v>20542.36</v>
      </c>
    </row>
    <row r="800" ht="14.25" customHeight="1">
      <c r="A800" s="46">
        <v>43493.0</v>
      </c>
      <c r="B800" s="9">
        <v>10792.45</v>
      </c>
      <c r="C800" s="9">
        <v>10804.45</v>
      </c>
      <c r="D800" s="9">
        <v>10630.95</v>
      </c>
      <c r="E800" s="9">
        <v>10661.55</v>
      </c>
      <c r="F800" s="9">
        <v>4.19682627E8</v>
      </c>
      <c r="G800" s="47">
        <v>21144.33</v>
      </c>
    </row>
    <row r="801" ht="14.25" customHeight="1">
      <c r="A801" s="46">
        <v>43494.0</v>
      </c>
      <c r="B801" s="9">
        <v>10653.7</v>
      </c>
      <c r="C801" s="9">
        <v>10690.35</v>
      </c>
      <c r="D801" s="9">
        <v>10583.65</v>
      </c>
      <c r="E801" s="9">
        <v>10652.2</v>
      </c>
      <c r="F801" s="9">
        <v>3.56908994E8</v>
      </c>
      <c r="G801" s="47">
        <v>18832.06</v>
      </c>
    </row>
    <row r="802" ht="14.25" customHeight="1">
      <c r="A802" s="46">
        <v>43495.0</v>
      </c>
      <c r="B802" s="9">
        <v>10702.25</v>
      </c>
      <c r="C802" s="9">
        <v>10710.2</v>
      </c>
      <c r="D802" s="9">
        <v>10612.85</v>
      </c>
      <c r="E802" s="9">
        <v>10651.8</v>
      </c>
      <c r="F802" s="9">
        <v>4.1010791E8</v>
      </c>
      <c r="G802" s="47">
        <v>21214.81</v>
      </c>
    </row>
    <row r="803" ht="14.25" customHeight="1">
      <c r="A803" s="46">
        <v>43496.0</v>
      </c>
      <c r="B803" s="9">
        <v>10690.55</v>
      </c>
      <c r="C803" s="9">
        <v>10838.05</v>
      </c>
      <c r="D803" s="9">
        <v>10678.55</v>
      </c>
      <c r="E803" s="9">
        <v>10830.95</v>
      </c>
      <c r="F803" s="9">
        <v>6.04818027E8</v>
      </c>
      <c r="G803" s="47">
        <v>27471.18</v>
      </c>
    </row>
    <row r="804" ht="14.25" customHeight="1">
      <c r="A804" s="46">
        <v>43497.0</v>
      </c>
      <c r="B804" s="9">
        <v>10851.35</v>
      </c>
      <c r="C804" s="9">
        <v>10983.45</v>
      </c>
      <c r="D804" s="9">
        <v>10813.45</v>
      </c>
      <c r="E804" s="9">
        <v>10893.65</v>
      </c>
      <c r="F804" s="9">
        <v>4.82272661E8</v>
      </c>
      <c r="G804" s="47">
        <v>23112.37</v>
      </c>
    </row>
    <row r="805" ht="14.25" customHeight="1">
      <c r="A805" s="46">
        <v>43500.0</v>
      </c>
      <c r="B805" s="9">
        <v>10876.75</v>
      </c>
      <c r="C805" s="9">
        <v>10927.9</v>
      </c>
      <c r="D805" s="9">
        <v>10814.15</v>
      </c>
      <c r="E805" s="9">
        <v>10912.25</v>
      </c>
      <c r="F805" s="9">
        <v>3.18300039E8</v>
      </c>
      <c r="G805" s="47">
        <v>15478.81</v>
      </c>
    </row>
    <row r="806" ht="14.25" customHeight="1">
      <c r="A806" s="46">
        <v>43501.0</v>
      </c>
      <c r="B806" s="9">
        <v>10908.65</v>
      </c>
      <c r="C806" s="9">
        <v>10956.7</v>
      </c>
      <c r="D806" s="9">
        <v>10886.7</v>
      </c>
      <c r="E806" s="9">
        <v>10934.35</v>
      </c>
      <c r="F806" s="9">
        <v>2.68095127E8</v>
      </c>
      <c r="G806" s="47">
        <v>13435.13</v>
      </c>
    </row>
    <row r="807" ht="14.25" customHeight="1">
      <c r="A807" s="46">
        <v>43502.0</v>
      </c>
      <c r="B807" s="9">
        <v>10965.1</v>
      </c>
      <c r="C807" s="9">
        <v>11072.6</v>
      </c>
      <c r="D807" s="9">
        <v>10962.7</v>
      </c>
      <c r="E807" s="9">
        <v>11062.45</v>
      </c>
      <c r="F807" s="9">
        <v>2.98510497E8</v>
      </c>
      <c r="G807" s="47">
        <v>15172.85</v>
      </c>
    </row>
    <row r="808" ht="14.25" customHeight="1">
      <c r="A808" s="46">
        <v>43503.0</v>
      </c>
      <c r="B808" s="9">
        <v>11070.45</v>
      </c>
      <c r="C808" s="9">
        <v>11118.1</v>
      </c>
      <c r="D808" s="9">
        <v>11043.6</v>
      </c>
      <c r="E808" s="9">
        <v>11069.4</v>
      </c>
      <c r="F808" s="9">
        <v>2.63544426E8</v>
      </c>
      <c r="G808" s="47">
        <v>13542.69</v>
      </c>
    </row>
    <row r="809" ht="14.25" customHeight="1">
      <c r="A809" s="46">
        <v>43504.0</v>
      </c>
      <c r="B809" s="9">
        <v>11023.5</v>
      </c>
      <c r="C809" s="9">
        <v>11041.2</v>
      </c>
      <c r="D809" s="9">
        <v>10925.45</v>
      </c>
      <c r="E809" s="9">
        <v>10943.6</v>
      </c>
      <c r="F809" s="9">
        <v>3.52787419E8</v>
      </c>
      <c r="G809" s="47">
        <v>15507.05</v>
      </c>
    </row>
    <row r="810" ht="14.25" customHeight="1">
      <c r="A810" s="46">
        <v>43507.0</v>
      </c>
      <c r="B810" s="9">
        <v>10930.9</v>
      </c>
      <c r="C810" s="9">
        <v>10930.9</v>
      </c>
      <c r="D810" s="9">
        <v>10857.1</v>
      </c>
      <c r="E810" s="9">
        <v>10888.8</v>
      </c>
      <c r="F810" s="9">
        <v>2.85985383E8</v>
      </c>
      <c r="G810" s="47">
        <v>13818.92</v>
      </c>
    </row>
    <row r="811" ht="14.25" customHeight="1">
      <c r="A811" s="46">
        <v>43508.0</v>
      </c>
      <c r="B811" s="9">
        <v>10879.7</v>
      </c>
      <c r="C811" s="9">
        <v>10910.9</v>
      </c>
      <c r="D811" s="9">
        <v>10823.8</v>
      </c>
      <c r="E811" s="9">
        <v>10831.4</v>
      </c>
      <c r="F811" s="9">
        <v>2.92314643E8</v>
      </c>
      <c r="G811" s="47">
        <v>14424.78</v>
      </c>
    </row>
    <row r="812" ht="14.25" customHeight="1">
      <c r="A812" s="46">
        <v>43509.0</v>
      </c>
      <c r="B812" s="9">
        <v>10870.55</v>
      </c>
      <c r="C812" s="9">
        <v>10891.65</v>
      </c>
      <c r="D812" s="9">
        <v>10772.1</v>
      </c>
      <c r="E812" s="9">
        <v>10793.65</v>
      </c>
      <c r="F812" s="9">
        <v>3.21958549E8</v>
      </c>
      <c r="G812" s="47">
        <v>15360.98</v>
      </c>
    </row>
    <row r="813" ht="14.25" customHeight="1">
      <c r="A813" s="46">
        <v>43510.0</v>
      </c>
      <c r="B813" s="9">
        <v>10786.1</v>
      </c>
      <c r="C813" s="9">
        <v>10792.7</v>
      </c>
      <c r="D813" s="9">
        <v>10718.75</v>
      </c>
      <c r="E813" s="9">
        <v>10746.05</v>
      </c>
      <c r="F813" s="9">
        <v>6.27041405E8</v>
      </c>
      <c r="G813" s="47">
        <v>20797.41</v>
      </c>
    </row>
    <row r="814" ht="14.25" customHeight="1">
      <c r="A814" s="46">
        <v>43511.0</v>
      </c>
      <c r="B814" s="9">
        <v>10780.25</v>
      </c>
      <c r="C814" s="9">
        <v>10785.75</v>
      </c>
      <c r="D814" s="9">
        <v>10620.4</v>
      </c>
      <c r="E814" s="9">
        <v>10724.4</v>
      </c>
      <c r="F814" s="9">
        <v>5.21876968E8</v>
      </c>
      <c r="G814" s="47">
        <v>20733.95</v>
      </c>
    </row>
    <row r="815" ht="14.25" customHeight="1">
      <c r="A815" s="46">
        <v>43514.0</v>
      </c>
      <c r="B815" s="9">
        <v>10738.65</v>
      </c>
      <c r="C815" s="9">
        <v>10759.9</v>
      </c>
      <c r="D815" s="9">
        <v>10628.4</v>
      </c>
      <c r="E815" s="9">
        <v>10640.95</v>
      </c>
      <c r="F815" s="9">
        <v>3.4544024E8</v>
      </c>
      <c r="G815" s="47">
        <v>14903.19</v>
      </c>
    </row>
    <row r="816" ht="14.25" customHeight="1">
      <c r="A816" s="46">
        <v>43515.0</v>
      </c>
      <c r="B816" s="9">
        <v>10636.7</v>
      </c>
      <c r="C816" s="9">
        <v>10722.85</v>
      </c>
      <c r="D816" s="9">
        <v>10585.65</v>
      </c>
      <c r="E816" s="9">
        <v>10604.35</v>
      </c>
      <c r="F816" s="9">
        <v>2.9150706E8</v>
      </c>
      <c r="G816" s="47">
        <v>13765.01</v>
      </c>
    </row>
    <row r="817" ht="14.25" customHeight="1">
      <c r="A817" s="46">
        <v>43516.0</v>
      </c>
      <c r="B817" s="9">
        <v>10655.45</v>
      </c>
      <c r="C817" s="9">
        <v>10752.7</v>
      </c>
      <c r="D817" s="9">
        <v>10646.4</v>
      </c>
      <c r="E817" s="9">
        <v>10735.45</v>
      </c>
      <c r="F817" s="9">
        <v>2.89195306E8</v>
      </c>
      <c r="G817" s="47">
        <v>13209.71</v>
      </c>
    </row>
    <row r="818" ht="14.25" customHeight="1">
      <c r="A818" s="46">
        <v>43517.0</v>
      </c>
      <c r="B818" s="9">
        <v>10744.1</v>
      </c>
      <c r="C818" s="9">
        <v>10808.85</v>
      </c>
      <c r="D818" s="9">
        <v>10721.5</v>
      </c>
      <c r="E818" s="9">
        <v>10789.85</v>
      </c>
      <c r="F818" s="9">
        <v>2.79584955E8</v>
      </c>
      <c r="G818" s="47">
        <v>14758.5</v>
      </c>
    </row>
    <row r="819" ht="14.25" customHeight="1">
      <c r="A819" s="46">
        <v>43518.0</v>
      </c>
      <c r="B819" s="9">
        <v>10782.7</v>
      </c>
      <c r="C819" s="9">
        <v>10801.55</v>
      </c>
      <c r="D819" s="9">
        <v>10758.4</v>
      </c>
      <c r="E819" s="9">
        <v>10791.65</v>
      </c>
      <c r="F819" s="9">
        <v>3.96846597E8</v>
      </c>
      <c r="G819" s="47">
        <v>24386.42</v>
      </c>
    </row>
    <row r="820" ht="14.25" customHeight="1">
      <c r="A820" s="46">
        <v>43521.0</v>
      </c>
      <c r="B820" s="9">
        <v>10813.25</v>
      </c>
      <c r="C820" s="9">
        <v>10887.1</v>
      </c>
      <c r="D820" s="9">
        <v>10788.05</v>
      </c>
      <c r="E820" s="9">
        <v>10880.1</v>
      </c>
      <c r="F820" s="9">
        <v>3.85905142E8</v>
      </c>
      <c r="G820" s="47">
        <v>16466.09</v>
      </c>
    </row>
    <row r="821" ht="14.25" customHeight="1">
      <c r="A821" s="46">
        <v>43522.0</v>
      </c>
      <c r="B821" s="9">
        <v>10775.3</v>
      </c>
      <c r="C821" s="9">
        <v>10888.75</v>
      </c>
      <c r="D821" s="9">
        <v>10729.3</v>
      </c>
      <c r="E821" s="9">
        <v>10835.3</v>
      </c>
      <c r="F821" s="9">
        <v>4.14954476E8</v>
      </c>
      <c r="G821" s="47">
        <v>19186.75</v>
      </c>
    </row>
    <row r="822" ht="14.25" customHeight="1">
      <c r="A822" s="46">
        <v>43523.0</v>
      </c>
      <c r="B822" s="9">
        <v>10881.2</v>
      </c>
      <c r="C822" s="9">
        <v>10939.7</v>
      </c>
      <c r="D822" s="9">
        <v>10751.2</v>
      </c>
      <c r="E822" s="9">
        <v>10806.65</v>
      </c>
      <c r="F822" s="9">
        <v>3.81080073E8</v>
      </c>
      <c r="G822" s="47">
        <v>18313.85</v>
      </c>
    </row>
    <row r="823" ht="14.25" customHeight="1">
      <c r="A823" s="46">
        <v>43524.0</v>
      </c>
      <c r="B823" s="9">
        <v>10865.7</v>
      </c>
      <c r="C823" s="9">
        <v>10865.7</v>
      </c>
      <c r="D823" s="9">
        <v>10784.85</v>
      </c>
      <c r="E823" s="9">
        <v>10792.5</v>
      </c>
      <c r="F823" s="9">
        <v>6.44159018E8</v>
      </c>
      <c r="G823" s="47">
        <v>27123.34</v>
      </c>
    </row>
    <row r="824" ht="14.25" customHeight="1">
      <c r="A824" s="46">
        <v>43525.0</v>
      </c>
      <c r="B824" s="9">
        <v>10842.65</v>
      </c>
      <c r="C824" s="9">
        <v>10877.9</v>
      </c>
      <c r="D824" s="9">
        <v>10823.1</v>
      </c>
      <c r="E824" s="9">
        <v>10863.5</v>
      </c>
      <c r="F824" s="9">
        <v>3.08526309E8</v>
      </c>
      <c r="G824" s="47">
        <v>15010.06</v>
      </c>
    </row>
    <row r="825" ht="14.25" customHeight="1">
      <c r="A825" s="46">
        <v>43529.0</v>
      </c>
      <c r="B825" s="9">
        <v>10864.85</v>
      </c>
      <c r="C825" s="9">
        <v>10994.9</v>
      </c>
      <c r="D825" s="9">
        <v>10817.0</v>
      </c>
      <c r="E825" s="9">
        <v>10987.45</v>
      </c>
      <c r="F825" s="9">
        <v>3.73220239E8</v>
      </c>
      <c r="G825" s="47">
        <v>17960.03</v>
      </c>
    </row>
    <row r="826" ht="14.25" customHeight="1">
      <c r="A826" s="46">
        <v>43530.0</v>
      </c>
      <c r="B826" s="9">
        <v>11024.85</v>
      </c>
      <c r="C826" s="9">
        <v>11062.3</v>
      </c>
      <c r="D826" s="9">
        <v>10998.85</v>
      </c>
      <c r="E826" s="9">
        <v>11053.0</v>
      </c>
      <c r="F826" s="9">
        <v>3.7255085E8</v>
      </c>
      <c r="G826" s="47">
        <v>17850.93</v>
      </c>
    </row>
    <row r="827" ht="14.25" customHeight="1">
      <c r="A827" s="46">
        <v>43531.0</v>
      </c>
      <c r="B827" s="9">
        <v>11077.95</v>
      </c>
      <c r="C827" s="9">
        <v>11089.05</v>
      </c>
      <c r="D827" s="9">
        <v>11027.1</v>
      </c>
      <c r="E827" s="9">
        <v>11058.2</v>
      </c>
      <c r="F827" s="9">
        <v>3.21208766E8</v>
      </c>
      <c r="G827" s="47">
        <v>15321.68</v>
      </c>
    </row>
    <row r="828" ht="14.25" customHeight="1">
      <c r="A828" s="46">
        <v>43532.0</v>
      </c>
      <c r="B828" s="9">
        <v>11038.85</v>
      </c>
      <c r="C828" s="9">
        <v>11049.0</v>
      </c>
      <c r="D828" s="9">
        <v>11008.95</v>
      </c>
      <c r="E828" s="9">
        <v>11035.4</v>
      </c>
      <c r="F828" s="9">
        <v>3.26569833E8</v>
      </c>
      <c r="G828" s="47">
        <v>14369.77</v>
      </c>
    </row>
    <row r="829" ht="14.25" customHeight="1">
      <c r="A829" s="46">
        <v>43535.0</v>
      </c>
      <c r="B829" s="9">
        <v>11068.75</v>
      </c>
      <c r="C829" s="9">
        <v>11180.9</v>
      </c>
      <c r="D829" s="9">
        <v>11059.85</v>
      </c>
      <c r="E829" s="9">
        <v>11168.05</v>
      </c>
      <c r="F829" s="9">
        <v>3.52242287E8</v>
      </c>
      <c r="G829" s="47">
        <v>17349.95</v>
      </c>
    </row>
    <row r="830" ht="14.25" customHeight="1">
      <c r="A830" s="46">
        <v>43536.0</v>
      </c>
      <c r="B830" s="9">
        <v>11231.35</v>
      </c>
      <c r="C830" s="9">
        <v>11320.4</v>
      </c>
      <c r="D830" s="9">
        <v>11227.0</v>
      </c>
      <c r="E830" s="9">
        <v>11301.2</v>
      </c>
      <c r="F830" s="9">
        <v>3.91310519E8</v>
      </c>
      <c r="G830" s="47">
        <v>20861.35</v>
      </c>
    </row>
    <row r="831" ht="14.25" customHeight="1">
      <c r="A831" s="46">
        <v>43537.0</v>
      </c>
      <c r="B831" s="9">
        <v>11326.2</v>
      </c>
      <c r="C831" s="9">
        <v>11352.3</v>
      </c>
      <c r="D831" s="9">
        <v>11276.6</v>
      </c>
      <c r="E831" s="9">
        <v>11341.7</v>
      </c>
      <c r="F831" s="9">
        <v>3.82996187E8</v>
      </c>
      <c r="G831" s="47">
        <v>20851.67</v>
      </c>
    </row>
    <row r="832" ht="14.25" customHeight="1">
      <c r="A832" s="46">
        <v>43538.0</v>
      </c>
      <c r="B832" s="9">
        <v>11382.5</v>
      </c>
      <c r="C832" s="9">
        <v>11383.45</v>
      </c>
      <c r="D832" s="9">
        <v>11313.75</v>
      </c>
      <c r="E832" s="9">
        <v>11343.25</v>
      </c>
      <c r="F832" s="9">
        <v>2.94480678E8</v>
      </c>
      <c r="G832" s="47">
        <v>15661.05</v>
      </c>
    </row>
    <row r="833" ht="14.25" customHeight="1">
      <c r="A833" s="46">
        <v>43539.0</v>
      </c>
      <c r="B833" s="9">
        <v>11376.85</v>
      </c>
      <c r="C833" s="9">
        <v>11487.0</v>
      </c>
      <c r="D833" s="9">
        <v>11370.8</v>
      </c>
      <c r="E833" s="9">
        <v>11426.85</v>
      </c>
      <c r="F833" s="9">
        <v>4.63704896E8</v>
      </c>
      <c r="G833" s="47">
        <v>25143.26</v>
      </c>
    </row>
    <row r="834" ht="14.25" customHeight="1">
      <c r="A834" s="46">
        <v>43542.0</v>
      </c>
      <c r="B834" s="9">
        <v>11473.85</v>
      </c>
      <c r="C834" s="9">
        <v>11530.15</v>
      </c>
      <c r="D834" s="9">
        <v>11412.5</v>
      </c>
      <c r="E834" s="9">
        <v>11462.2</v>
      </c>
      <c r="F834" s="9">
        <v>3.20250041E8</v>
      </c>
      <c r="G834" s="47">
        <v>16942.22</v>
      </c>
    </row>
    <row r="835" ht="14.25" customHeight="1">
      <c r="A835" s="46">
        <v>43543.0</v>
      </c>
      <c r="B835" s="9">
        <v>11500.3</v>
      </c>
      <c r="C835" s="9">
        <v>11543.85</v>
      </c>
      <c r="D835" s="9">
        <v>11451.25</v>
      </c>
      <c r="E835" s="9">
        <v>11532.4</v>
      </c>
      <c r="F835" s="9">
        <v>3.26099667E8</v>
      </c>
      <c r="G835" s="47">
        <v>16179.92</v>
      </c>
    </row>
    <row r="836" ht="14.25" customHeight="1">
      <c r="A836" s="46">
        <v>43544.0</v>
      </c>
      <c r="B836" s="9">
        <v>11553.35</v>
      </c>
      <c r="C836" s="9">
        <v>11556.1</v>
      </c>
      <c r="D836" s="9">
        <v>11503.1</v>
      </c>
      <c r="E836" s="9">
        <v>11521.05</v>
      </c>
      <c r="F836" s="9">
        <v>3.66298049E8</v>
      </c>
      <c r="G836" s="47">
        <v>18311.44</v>
      </c>
    </row>
    <row r="837" ht="14.25" customHeight="1">
      <c r="A837" s="46">
        <v>43546.0</v>
      </c>
      <c r="B837" s="9">
        <v>11549.2</v>
      </c>
      <c r="C837" s="9">
        <v>11572.8</v>
      </c>
      <c r="D837" s="9">
        <v>11434.55</v>
      </c>
      <c r="E837" s="9">
        <v>11456.9</v>
      </c>
      <c r="F837" s="9">
        <v>3.86193935E8</v>
      </c>
      <c r="G837" s="47">
        <v>19755.74</v>
      </c>
    </row>
    <row r="838" ht="14.25" customHeight="1">
      <c r="A838" s="46">
        <v>43549.0</v>
      </c>
      <c r="B838" s="9">
        <v>11395.65</v>
      </c>
      <c r="C838" s="9">
        <v>11395.65</v>
      </c>
      <c r="D838" s="9">
        <v>11311.6</v>
      </c>
      <c r="E838" s="9">
        <v>11354.25</v>
      </c>
      <c r="F838" s="9">
        <v>2.94459196E8</v>
      </c>
      <c r="G838" s="47">
        <v>14101.14</v>
      </c>
    </row>
    <row r="839" ht="14.25" customHeight="1">
      <c r="A839" s="46">
        <v>43550.0</v>
      </c>
      <c r="B839" s="9">
        <v>11375.2</v>
      </c>
      <c r="C839" s="9">
        <v>11496.75</v>
      </c>
      <c r="D839" s="9">
        <v>11352.45</v>
      </c>
      <c r="E839" s="9">
        <v>11483.25</v>
      </c>
      <c r="F839" s="9">
        <v>2.82575496E8</v>
      </c>
      <c r="G839" s="47">
        <v>14611.68</v>
      </c>
    </row>
    <row r="840" ht="14.25" customHeight="1">
      <c r="A840" s="46">
        <v>43551.0</v>
      </c>
      <c r="B840" s="9">
        <v>11531.45</v>
      </c>
      <c r="C840" s="9">
        <v>11546.2</v>
      </c>
      <c r="D840" s="9">
        <v>11413.0</v>
      </c>
      <c r="E840" s="9">
        <v>11445.05</v>
      </c>
      <c r="F840" s="9">
        <v>3.50446089E8</v>
      </c>
      <c r="G840" s="47">
        <v>18356.52</v>
      </c>
    </row>
    <row r="841" ht="14.25" customHeight="1">
      <c r="A841" s="46">
        <v>43552.0</v>
      </c>
      <c r="B841" s="9">
        <v>11463.65</v>
      </c>
      <c r="C841" s="9">
        <v>11588.5</v>
      </c>
      <c r="D841" s="9">
        <v>11452.45</v>
      </c>
      <c r="E841" s="9">
        <v>11570.0</v>
      </c>
      <c r="F841" s="9">
        <v>5.27678809E8</v>
      </c>
      <c r="G841" s="47">
        <v>25719.65</v>
      </c>
    </row>
    <row r="842" ht="14.25" customHeight="1">
      <c r="A842" s="46">
        <v>43553.0</v>
      </c>
      <c r="B842" s="9">
        <v>11625.45</v>
      </c>
      <c r="C842" s="9">
        <v>11630.35</v>
      </c>
      <c r="D842" s="9">
        <v>11570.15</v>
      </c>
      <c r="E842" s="9">
        <v>11623.9</v>
      </c>
      <c r="F842" s="9">
        <v>4.16276981E8</v>
      </c>
      <c r="G842" s="47">
        <v>20515.25</v>
      </c>
    </row>
    <row r="843" ht="14.25" customHeight="1">
      <c r="A843" s="46">
        <v>43556.0</v>
      </c>
      <c r="B843" s="9">
        <v>11665.2</v>
      </c>
      <c r="C843" s="9">
        <v>11738.1</v>
      </c>
      <c r="D843" s="9">
        <v>11644.75</v>
      </c>
      <c r="E843" s="9">
        <v>11669.15</v>
      </c>
      <c r="F843" s="9">
        <v>3.7957266E8</v>
      </c>
      <c r="G843" s="47">
        <v>18977.99</v>
      </c>
    </row>
    <row r="844" ht="14.25" customHeight="1">
      <c r="A844" s="46">
        <v>43557.0</v>
      </c>
      <c r="B844" s="9">
        <v>11711.55</v>
      </c>
      <c r="C844" s="9">
        <v>11729.35</v>
      </c>
      <c r="D844" s="9">
        <v>11655.85</v>
      </c>
      <c r="E844" s="9">
        <v>11713.2</v>
      </c>
      <c r="F844" s="9">
        <v>3.86131413E8</v>
      </c>
      <c r="G844" s="47">
        <v>18673.7</v>
      </c>
    </row>
    <row r="845" ht="14.25" customHeight="1">
      <c r="A845" s="46">
        <v>43558.0</v>
      </c>
      <c r="B845" s="9">
        <v>11735.3</v>
      </c>
      <c r="C845" s="9">
        <v>11761.0</v>
      </c>
      <c r="D845" s="9">
        <v>11629.15</v>
      </c>
      <c r="E845" s="9">
        <v>11643.95</v>
      </c>
      <c r="F845" s="9">
        <v>3.6576007E8</v>
      </c>
      <c r="G845" s="47">
        <v>19050.95</v>
      </c>
    </row>
    <row r="846" ht="14.25" customHeight="1">
      <c r="A846" s="46">
        <v>43559.0</v>
      </c>
      <c r="B846" s="9">
        <v>11660.2</v>
      </c>
      <c r="C846" s="9">
        <v>11662.55</v>
      </c>
      <c r="D846" s="9">
        <v>11559.2</v>
      </c>
      <c r="E846" s="9">
        <v>11598.0</v>
      </c>
      <c r="F846" s="9">
        <v>3.4902983E8</v>
      </c>
      <c r="G846" s="47">
        <v>19713.01</v>
      </c>
    </row>
    <row r="847" ht="14.25" customHeight="1">
      <c r="A847" s="46">
        <v>43560.0</v>
      </c>
      <c r="B847" s="9">
        <v>11638.4</v>
      </c>
      <c r="C847" s="9">
        <v>11689.65</v>
      </c>
      <c r="D847" s="9">
        <v>11609.5</v>
      </c>
      <c r="E847" s="9">
        <v>11665.95</v>
      </c>
      <c r="F847" s="9">
        <v>2.66665797E8</v>
      </c>
      <c r="G847" s="47">
        <v>15000.35</v>
      </c>
    </row>
    <row r="848" ht="14.25" customHeight="1">
      <c r="A848" s="46">
        <v>43563.0</v>
      </c>
      <c r="B848" s="9">
        <v>11704.35</v>
      </c>
      <c r="C848" s="9">
        <v>11710.3</v>
      </c>
      <c r="D848" s="9">
        <v>11549.1</v>
      </c>
      <c r="E848" s="9">
        <v>11604.5</v>
      </c>
      <c r="F848" s="9">
        <v>2.60932608E8</v>
      </c>
      <c r="G848" s="47">
        <v>14203.96</v>
      </c>
    </row>
    <row r="849" ht="14.25" customHeight="1">
      <c r="A849" s="46">
        <v>43564.0</v>
      </c>
      <c r="B849" s="9">
        <v>11612.05</v>
      </c>
      <c r="C849" s="9">
        <v>11683.9</v>
      </c>
      <c r="D849" s="9">
        <v>11569.7</v>
      </c>
      <c r="E849" s="9">
        <v>11671.95</v>
      </c>
      <c r="F849" s="9">
        <v>3.00467538E8</v>
      </c>
      <c r="G849" s="47">
        <v>15984.39</v>
      </c>
    </row>
    <row r="850" ht="14.25" customHeight="1">
      <c r="A850" s="46">
        <v>43565.0</v>
      </c>
      <c r="B850" s="9">
        <v>11646.85</v>
      </c>
      <c r="C850" s="9">
        <v>11680.05</v>
      </c>
      <c r="D850" s="9">
        <v>11571.75</v>
      </c>
      <c r="E850" s="9">
        <v>11584.3</v>
      </c>
      <c r="F850" s="9">
        <v>3.5994111E8</v>
      </c>
      <c r="G850" s="47">
        <v>22258.46</v>
      </c>
    </row>
    <row r="851" ht="14.25" customHeight="1">
      <c r="A851" s="46">
        <v>43566.0</v>
      </c>
      <c r="B851" s="9">
        <v>11592.55</v>
      </c>
      <c r="C851" s="9">
        <v>11606.7</v>
      </c>
      <c r="D851" s="9">
        <v>11550.55</v>
      </c>
      <c r="E851" s="9">
        <v>11596.7</v>
      </c>
      <c r="F851" s="9">
        <v>2.79775726E8</v>
      </c>
      <c r="G851" s="47">
        <v>14332.2</v>
      </c>
    </row>
    <row r="852" ht="14.25" customHeight="1">
      <c r="A852" s="46">
        <v>43567.0</v>
      </c>
      <c r="B852" s="9">
        <v>11612.85</v>
      </c>
      <c r="C852" s="9">
        <v>11657.35</v>
      </c>
      <c r="D852" s="9">
        <v>11578.8</v>
      </c>
      <c r="E852" s="9">
        <v>11643.45</v>
      </c>
      <c r="F852" s="9">
        <v>2.46006184E8</v>
      </c>
      <c r="G852" s="47">
        <v>13598.61</v>
      </c>
    </row>
    <row r="853" ht="14.25" customHeight="1">
      <c r="A853" s="46">
        <v>43570.0</v>
      </c>
      <c r="B853" s="9">
        <v>11667.0</v>
      </c>
      <c r="C853" s="9">
        <v>11704.6</v>
      </c>
      <c r="D853" s="9">
        <v>11648.25</v>
      </c>
      <c r="E853" s="9">
        <v>11690.35</v>
      </c>
      <c r="F853" s="9">
        <v>2.89996075E8</v>
      </c>
      <c r="G853" s="47">
        <v>15635.79</v>
      </c>
    </row>
    <row r="854" ht="14.25" customHeight="1">
      <c r="A854" s="46">
        <v>43571.0</v>
      </c>
      <c r="B854" s="9">
        <v>11736.2</v>
      </c>
      <c r="C854" s="9">
        <v>11810.95</v>
      </c>
      <c r="D854" s="9">
        <v>11731.55</v>
      </c>
      <c r="E854" s="9">
        <v>11787.15</v>
      </c>
      <c r="F854" s="9">
        <v>3.5431504E8</v>
      </c>
      <c r="G854" s="47">
        <v>17585.48</v>
      </c>
    </row>
    <row r="855" ht="14.25" customHeight="1">
      <c r="A855" s="46">
        <v>43573.0</v>
      </c>
      <c r="B855" s="9">
        <v>11856.15</v>
      </c>
      <c r="C855" s="9">
        <v>11856.15</v>
      </c>
      <c r="D855" s="9">
        <v>11738.5</v>
      </c>
      <c r="E855" s="9">
        <v>11752.8</v>
      </c>
      <c r="F855" s="9">
        <v>3.39653709E8</v>
      </c>
      <c r="G855" s="47">
        <v>18271.27</v>
      </c>
    </row>
    <row r="856" ht="14.25" customHeight="1">
      <c r="A856" s="46">
        <v>43577.0</v>
      </c>
      <c r="B856" s="9">
        <v>11727.05</v>
      </c>
      <c r="C856" s="9">
        <v>11727.05</v>
      </c>
      <c r="D856" s="9">
        <v>11583.95</v>
      </c>
      <c r="E856" s="9">
        <v>11594.45</v>
      </c>
      <c r="F856" s="9">
        <v>2.60356055E8</v>
      </c>
      <c r="G856" s="47">
        <v>13754.12</v>
      </c>
    </row>
    <row r="857" ht="14.25" customHeight="1">
      <c r="A857" s="46">
        <v>43578.0</v>
      </c>
      <c r="B857" s="9">
        <v>11612.95</v>
      </c>
      <c r="C857" s="9">
        <v>11645.95</v>
      </c>
      <c r="D857" s="9">
        <v>11564.8</v>
      </c>
      <c r="E857" s="9">
        <v>11575.95</v>
      </c>
      <c r="F857" s="9">
        <v>2.72544486E8</v>
      </c>
      <c r="G857" s="47">
        <v>14500.53</v>
      </c>
    </row>
    <row r="858" ht="14.25" customHeight="1">
      <c r="A858" s="46">
        <v>43579.0</v>
      </c>
      <c r="B858" s="9">
        <v>11601.5</v>
      </c>
      <c r="C858" s="9">
        <v>11740.85</v>
      </c>
      <c r="D858" s="9">
        <v>11578.85</v>
      </c>
      <c r="E858" s="9">
        <v>11726.15</v>
      </c>
      <c r="F858" s="9">
        <v>3.35196513E8</v>
      </c>
      <c r="G858" s="47">
        <v>17046.66</v>
      </c>
    </row>
    <row r="859" ht="14.25" customHeight="1">
      <c r="A859" s="46">
        <v>43580.0</v>
      </c>
      <c r="B859" s="9">
        <v>11735.7</v>
      </c>
      <c r="C859" s="9">
        <v>11796.75</v>
      </c>
      <c r="D859" s="9">
        <v>11624.3</v>
      </c>
      <c r="E859" s="9">
        <v>11641.8</v>
      </c>
      <c r="F859" s="9">
        <v>6.04360395E8</v>
      </c>
      <c r="G859" s="47">
        <v>28254.3</v>
      </c>
    </row>
    <row r="860" ht="14.25" customHeight="1">
      <c r="A860" s="46">
        <v>43581.0</v>
      </c>
      <c r="B860" s="9">
        <v>11683.75</v>
      </c>
      <c r="C860" s="9">
        <v>11762.9</v>
      </c>
      <c r="D860" s="9">
        <v>11661.75</v>
      </c>
      <c r="E860" s="9">
        <v>11754.65</v>
      </c>
      <c r="F860" s="9">
        <v>3.33483764E8</v>
      </c>
      <c r="G860" s="47">
        <v>18098.83</v>
      </c>
    </row>
    <row r="861" ht="14.25" customHeight="1">
      <c r="A861" s="46">
        <v>43585.0</v>
      </c>
      <c r="B861" s="9">
        <v>11748.75</v>
      </c>
      <c r="C861" s="9">
        <v>11756.25</v>
      </c>
      <c r="D861" s="9">
        <v>11655.9</v>
      </c>
      <c r="E861" s="9">
        <v>11748.15</v>
      </c>
      <c r="F861" s="9">
        <v>5.32630874E8</v>
      </c>
      <c r="G861" s="47">
        <v>23324.98</v>
      </c>
    </row>
    <row r="862" ht="14.25" customHeight="1">
      <c r="A862" s="46">
        <v>43587.0</v>
      </c>
      <c r="B862" s="9">
        <v>11725.55</v>
      </c>
      <c r="C862" s="9">
        <v>11789.3</v>
      </c>
      <c r="D862" s="9">
        <v>11699.55</v>
      </c>
      <c r="E862" s="9">
        <v>11724.75</v>
      </c>
      <c r="F862" s="9">
        <v>3.80278045E8</v>
      </c>
      <c r="G862" s="47">
        <v>17790.06</v>
      </c>
    </row>
    <row r="863" ht="14.25" customHeight="1">
      <c r="A863" s="46">
        <v>43588.0</v>
      </c>
      <c r="B863" s="9">
        <v>11722.6</v>
      </c>
      <c r="C863" s="9">
        <v>11770.9</v>
      </c>
      <c r="D863" s="9">
        <v>11699.35</v>
      </c>
      <c r="E863" s="9">
        <v>11712.25</v>
      </c>
      <c r="F863" s="9">
        <v>3.05519934E8</v>
      </c>
      <c r="G863" s="47">
        <v>15156.32</v>
      </c>
    </row>
    <row r="864" ht="14.25" customHeight="1">
      <c r="A864" s="46">
        <v>43591.0</v>
      </c>
      <c r="B864" s="9">
        <v>11605.8</v>
      </c>
      <c r="C864" s="9">
        <v>11632.55</v>
      </c>
      <c r="D864" s="9">
        <v>11571.35</v>
      </c>
      <c r="E864" s="9">
        <v>11598.25</v>
      </c>
      <c r="F864" s="9">
        <v>2.9904648E8</v>
      </c>
      <c r="G864" s="47">
        <v>14703.42</v>
      </c>
    </row>
    <row r="865" ht="14.25" customHeight="1">
      <c r="A865" s="46">
        <v>43592.0</v>
      </c>
      <c r="B865" s="9">
        <v>11651.5</v>
      </c>
      <c r="C865" s="9">
        <v>11657.05</v>
      </c>
      <c r="D865" s="9">
        <v>11484.45</v>
      </c>
      <c r="E865" s="9">
        <v>11497.9</v>
      </c>
      <c r="F865" s="9">
        <v>3.37495624E8</v>
      </c>
      <c r="G865" s="47">
        <v>16632.84</v>
      </c>
    </row>
    <row r="866" ht="14.25" customHeight="1">
      <c r="A866" s="46">
        <v>43593.0</v>
      </c>
      <c r="B866" s="9">
        <v>11478.7</v>
      </c>
      <c r="C866" s="9">
        <v>11479.1</v>
      </c>
      <c r="D866" s="9">
        <v>11346.95</v>
      </c>
      <c r="E866" s="9">
        <v>11359.45</v>
      </c>
      <c r="F866" s="9">
        <v>3.72826025E8</v>
      </c>
      <c r="G866" s="47">
        <v>17440.01</v>
      </c>
    </row>
    <row r="867" ht="14.25" customHeight="1">
      <c r="A867" s="46">
        <v>43594.0</v>
      </c>
      <c r="B867" s="9">
        <v>11322.4</v>
      </c>
      <c r="C867" s="9">
        <v>11357.6</v>
      </c>
      <c r="D867" s="9">
        <v>11255.05</v>
      </c>
      <c r="E867" s="9">
        <v>11301.8</v>
      </c>
      <c r="F867" s="9">
        <v>3.73028059E8</v>
      </c>
      <c r="G867" s="47">
        <v>17602.86</v>
      </c>
    </row>
    <row r="868" ht="14.25" customHeight="1">
      <c r="A868" s="46">
        <v>43595.0</v>
      </c>
      <c r="B868" s="9">
        <v>11314.15</v>
      </c>
      <c r="C868" s="9">
        <v>11345.8</v>
      </c>
      <c r="D868" s="9">
        <v>11251.05</v>
      </c>
      <c r="E868" s="9">
        <v>11278.9</v>
      </c>
      <c r="F868" s="9">
        <v>3.87323416E8</v>
      </c>
      <c r="G868" s="47">
        <v>18085.19</v>
      </c>
    </row>
    <row r="869" ht="14.25" customHeight="1">
      <c r="A869" s="46">
        <v>43598.0</v>
      </c>
      <c r="B869" s="9">
        <v>11258.7</v>
      </c>
      <c r="C869" s="9">
        <v>11300.2</v>
      </c>
      <c r="D869" s="9">
        <v>11125.6</v>
      </c>
      <c r="E869" s="9">
        <v>11148.2</v>
      </c>
      <c r="F869" s="9">
        <v>3.57586433E8</v>
      </c>
      <c r="G869" s="47">
        <v>16722.91</v>
      </c>
    </row>
    <row r="870" ht="14.25" customHeight="1">
      <c r="A870" s="46">
        <v>43599.0</v>
      </c>
      <c r="B870" s="9">
        <v>11151.65</v>
      </c>
      <c r="C870" s="9">
        <v>11294.75</v>
      </c>
      <c r="D870" s="9">
        <v>11108.3</v>
      </c>
      <c r="E870" s="9">
        <v>11222.05</v>
      </c>
      <c r="F870" s="9">
        <v>3.98122725E8</v>
      </c>
      <c r="G870" s="47">
        <v>19906.38</v>
      </c>
    </row>
    <row r="871" ht="14.25" customHeight="1">
      <c r="A871" s="46">
        <v>43600.0</v>
      </c>
      <c r="B871" s="9">
        <v>11271.7</v>
      </c>
      <c r="C871" s="9">
        <v>11286.8</v>
      </c>
      <c r="D871" s="9">
        <v>11136.95</v>
      </c>
      <c r="E871" s="9">
        <v>11157.0</v>
      </c>
      <c r="F871" s="9">
        <v>4.14174258E8</v>
      </c>
      <c r="G871" s="47">
        <v>17931.75</v>
      </c>
    </row>
    <row r="872" ht="14.25" customHeight="1">
      <c r="A872" s="46">
        <v>43601.0</v>
      </c>
      <c r="B872" s="9">
        <v>11180.35</v>
      </c>
      <c r="C872" s="9">
        <v>11281.55</v>
      </c>
      <c r="D872" s="9">
        <v>11143.35</v>
      </c>
      <c r="E872" s="9">
        <v>11257.1</v>
      </c>
      <c r="F872" s="9">
        <v>3.50734572E8</v>
      </c>
      <c r="G872" s="47">
        <v>15629.57</v>
      </c>
    </row>
    <row r="873" ht="14.25" customHeight="1">
      <c r="A873" s="46">
        <v>43602.0</v>
      </c>
      <c r="B873" s="9">
        <v>11261.9</v>
      </c>
      <c r="C873" s="9">
        <v>11426.15</v>
      </c>
      <c r="D873" s="9">
        <v>11259.85</v>
      </c>
      <c r="E873" s="9">
        <v>11407.15</v>
      </c>
      <c r="F873" s="9">
        <v>4.121092E8</v>
      </c>
      <c r="G873" s="47">
        <v>20177.63</v>
      </c>
    </row>
    <row r="874" ht="14.25" customHeight="1">
      <c r="A874" s="46">
        <v>43605.0</v>
      </c>
      <c r="B874" s="9">
        <v>11651.9</v>
      </c>
      <c r="C874" s="9">
        <v>11845.2</v>
      </c>
      <c r="D874" s="9">
        <v>11591.7</v>
      </c>
      <c r="E874" s="9">
        <v>11828.25</v>
      </c>
      <c r="F874" s="9">
        <v>4.52096261E8</v>
      </c>
      <c r="G874" s="47">
        <v>25223.78</v>
      </c>
    </row>
    <row r="875" ht="14.25" customHeight="1">
      <c r="A875" s="46">
        <v>43606.0</v>
      </c>
      <c r="B875" s="9">
        <v>11863.65</v>
      </c>
      <c r="C875" s="9">
        <v>11883.55</v>
      </c>
      <c r="D875" s="9">
        <v>11682.8</v>
      </c>
      <c r="E875" s="9">
        <v>11709.1</v>
      </c>
      <c r="F875" s="9">
        <v>3.81038129E8</v>
      </c>
      <c r="G875" s="47">
        <v>20324.67</v>
      </c>
    </row>
    <row r="876" ht="14.25" customHeight="1">
      <c r="A876" s="46">
        <v>43607.0</v>
      </c>
      <c r="B876" s="9">
        <v>11727.95</v>
      </c>
      <c r="C876" s="9">
        <v>11784.8</v>
      </c>
      <c r="D876" s="9">
        <v>11682.4</v>
      </c>
      <c r="E876" s="9">
        <v>11737.9</v>
      </c>
      <c r="F876" s="9">
        <v>3.55870667E8</v>
      </c>
      <c r="G876" s="47">
        <v>19582.41</v>
      </c>
    </row>
    <row r="877" ht="14.25" customHeight="1">
      <c r="A877" s="46">
        <v>43608.0</v>
      </c>
      <c r="B877" s="9">
        <v>11901.3</v>
      </c>
      <c r="C877" s="9">
        <v>12041.15</v>
      </c>
      <c r="D877" s="9">
        <v>11614.5</v>
      </c>
      <c r="E877" s="9">
        <v>11657.05</v>
      </c>
      <c r="F877" s="9">
        <v>5.69030654E8</v>
      </c>
      <c r="G877" s="47">
        <v>31180.08</v>
      </c>
    </row>
    <row r="878" ht="14.25" customHeight="1">
      <c r="A878" s="46">
        <v>43609.0</v>
      </c>
      <c r="B878" s="9">
        <v>11748.0</v>
      </c>
      <c r="C878" s="9">
        <v>11859.0</v>
      </c>
      <c r="D878" s="9">
        <v>11658.1</v>
      </c>
      <c r="E878" s="9">
        <v>11844.1</v>
      </c>
      <c r="F878" s="9">
        <v>3.74637415E8</v>
      </c>
      <c r="G878" s="47">
        <v>20028.49</v>
      </c>
    </row>
    <row r="879" ht="14.25" customHeight="1">
      <c r="A879" s="46">
        <v>43612.0</v>
      </c>
      <c r="B879" s="9">
        <v>11855.5</v>
      </c>
      <c r="C879" s="9">
        <v>11957.15</v>
      </c>
      <c r="D879" s="9">
        <v>11812.4</v>
      </c>
      <c r="E879" s="9">
        <v>11924.75</v>
      </c>
      <c r="F879" s="9">
        <v>3.48356214E8</v>
      </c>
      <c r="G879" s="47">
        <v>17735.36</v>
      </c>
    </row>
    <row r="880" ht="14.25" customHeight="1">
      <c r="A880" s="46">
        <v>43613.0</v>
      </c>
      <c r="B880" s="9">
        <v>11958.35</v>
      </c>
      <c r="C880" s="9">
        <v>11958.55</v>
      </c>
      <c r="D880" s="9">
        <v>11864.9</v>
      </c>
      <c r="E880" s="9">
        <v>11928.75</v>
      </c>
      <c r="F880" s="9">
        <v>5.98308334E8</v>
      </c>
      <c r="G880" s="47">
        <v>28833.54</v>
      </c>
    </row>
    <row r="881" ht="14.25" customHeight="1">
      <c r="A881" s="46">
        <v>43614.0</v>
      </c>
      <c r="B881" s="9">
        <v>11905.8</v>
      </c>
      <c r="C881" s="9">
        <v>11931.9</v>
      </c>
      <c r="D881" s="9">
        <v>11836.8</v>
      </c>
      <c r="E881" s="9">
        <v>11861.1</v>
      </c>
      <c r="F881" s="9">
        <v>3.18068673E8</v>
      </c>
      <c r="G881" s="47">
        <v>15985.92</v>
      </c>
    </row>
    <row r="882" ht="14.25" customHeight="1">
      <c r="A882" s="46">
        <v>43615.0</v>
      </c>
      <c r="B882" s="9">
        <v>11865.3</v>
      </c>
      <c r="C882" s="9">
        <v>11968.55</v>
      </c>
      <c r="D882" s="9">
        <v>11859.4</v>
      </c>
      <c r="E882" s="9">
        <v>11945.9</v>
      </c>
      <c r="F882" s="9">
        <v>4.21199867E8</v>
      </c>
      <c r="G882" s="47">
        <v>20261.85</v>
      </c>
    </row>
    <row r="883" ht="14.25" customHeight="1">
      <c r="A883" s="46">
        <v>43616.0</v>
      </c>
      <c r="B883" s="9">
        <v>11999.8</v>
      </c>
      <c r="C883" s="9">
        <v>12039.25</v>
      </c>
      <c r="D883" s="9">
        <v>11829.45</v>
      </c>
      <c r="E883" s="9">
        <v>11922.8</v>
      </c>
      <c r="F883" s="9">
        <v>4.38879129E8</v>
      </c>
      <c r="G883" s="47">
        <v>22789.0</v>
      </c>
    </row>
    <row r="884" ht="14.25" customHeight="1">
      <c r="A884" s="46">
        <v>43619.0</v>
      </c>
      <c r="B884" s="9">
        <v>11953.75</v>
      </c>
      <c r="C884" s="9">
        <v>12103.05</v>
      </c>
      <c r="D884" s="9">
        <v>11920.1</v>
      </c>
      <c r="E884" s="9">
        <v>12088.55</v>
      </c>
      <c r="F884" s="9">
        <v>3.15296955E8</v>
      </c>
      <c r="G884" s="47">
        <v>17451.36</v>
      </c>
    </row>
    <row r="885" ht="14.25" customHeight="1">
      <c r="A885" s="46">
        <v>43620.0</v>
      </c>
      <c r="B885" s="9">
        <v>12052.65</v>
      </c>
      <c r="C885" s="9">
        <v>12095.2</v>
      </c>
      <c r="D885" s="9">
        <v>12005.85</v>
      </c>
      <c r="E885" s="9">
        <v>12021.65</v>
      </c>
      <c r="F885" s="9">
        <v>2.89221904E8</v>
      </c>
      <c r="G885" s="47">
        <v>15308.28</v>
      </c>
    </row>
    <row r="886" ht="14.25" customHeight="1">
      <c r="A886" s="46">
        <v>43622.0</v>
      </c>
      <c r="B886" s="9">
        <v>12039.8</v>
      </c>
      <c r="C886" s="9">
        <v>12039.8</v>
      </c>
      <c r="D886" s="9">
        <v>11830.25</v>
      </c>
      <c r="E886" s="9">
        <v>11843.75</v>
      </c>
      <c r="F886" s="9">
        <v>4.15206942E8</v>
      </c>
      <c r="G886" s="47">
        <v>21144.77</v>
      </c>
    </row>
    <row r="887" ht="14.25" customHeight="1">
      <c r="A887" s="46">
        <v>43623.0</v>
      </c>
      <c r="B887" s="9">
        <v>11865.2</v>
      </c>
      <c r="C887" s="9">
        <v>11897.5</v>
      </c>
      <c r="D887" s="9">
        <v>11769.5</v>
      </c>
      <c r="E887" s="9">
        <v>11870.65</v>
      </c>
      <c r="F887" s="9">
        <v>3.0245591E8</v>
      </c>
      <c r="G887" s="47">
        <v>14939.4</v>
      </c>
    </row>
    <row r="888" ht="14.25" customHeight="1">
      <c r="A888" s="46">
        <v>43626.0</v>
      </c>
      <c r="B888" s="9">
        <v>11934.9</v>
      </c>
      <c r="C888" s="9">
        <v>11975.05</v>
      </c>
      <c r="D888" s="9">
        <v>11871.75</v>
      </c>
      <c r="E888" s="9">
        <v>11922.7</v>
      </c>
      <c r="F888" s="9">
        <v>3.03329445E8</v>
      </c>
      <c r="G888" s="47">
        <v>13125.41</v>
      </c>
    </row>
    <row r="889" ht="14.25" customHeight="1">
      <c r="A889" s="46">
        <v>43627.0</v>
      </c>
      <c r="B889" s="9">
        <v>11959.85</v>
      </c>
      <c r="C889" s="9">
        <v>12000.35</v>
      </c>
      <c r="D889" s="9">
        <v>11904.35</v>
      </c>
      <c r="E889" s="9">
        <v>11965.6</v>
      </c>
      <c r="F889" s="9">
        <v>3.32181958E8</v>
      </c>
      <c r="G889" s="47">
        <v>15392.28</v>
      </c>
    </row>
    <row r="890" ht="14.25" customHeight="1">
      <c r="A890" s="46">
        <v>43628.0</v>
      </c>
      <c r="B890" s="9">
        <v>11962.45</v>
      </c>
      <c r="C890" s="9">
        <v>11962.45</v>
      </c>
      <c r="D890" s="9">
        <v>11866.35</v>
      </c>
      <c r="E890" s="9">
        <v>11906.2</v>
      </c>
      <c r="F890" s="9">
        <v>2.83718253E8</v>
      </c>
      <c r="G890" s="47">
        <v>14120.17</v>
      </c>
    </row>
    <row r="891" ht="14.25" customHeight="1">
      <c r="A891" s="46">
        <v>43629.0</v>
      </c>
      <c r="B891" s="9">
        <v>11873.9</v>
      </c>
      <c r="C891" s="9">
        <v>11931.35</v>
      </c>
      <c r="D891" s="9">
        <v>11817.05</v>
      </c>
      <c r="E891" s="9">
        <v>11914.05</v>
      </c>
      <c r="F891" s="9">
        <v>4.47901993E8</v>
      </c>
      <c r="G891" s="47">
        <v>18680.91</v>
      </c>
    </row>
    <row r="892" ht="14.25" customHeight="1">
      <c r="A892" s="46">
        <v>43630.0</v>
      </c>
      <c r="B892" s="9">
        <v>11910.1</v>
      </c>
      <c r="C892" s="9">
        <v>11911.85</v>
      </c>
      <c r="D892" s="9">
        <v>11797.7</v>
      </c>
      <c r="E892" s="9">
        <v>11823.3</v>
      </c>
      <c r="F892" s="9">
        <v>3.90294634E8</v>
      </c>
      <c r="G892" s="47">
        <v>16226.57</v>
      </c>
    </row>
    <row r="893" ht="14.25" customHeight="1">
      <c r="A893" s="46">
        <v>43633.0</v>
      </c>
      <c r="B893" s="9">
        <v>11844.0</v>
      </c>
      <c r="C893" s="9">
        <v>11844.05</v>
      </c>
      <c r="D893" s="9">
        <v>11657.75</v>
      </c>
      <c r="E893" s="9">
        <v>11672.15</v>
      </c>
      <c r="F893" s="9">
        <v>2.95528399E8</v>
      </c>
      <c r="G893" s="47">
        <v>13851.67</v>
      </c>
    </row>
    <row r="894" ht="14.25" customHeight="1">
      <c r="A894" s="46">
        <v>43634.0</v>
      </c>
      <c r="B894" s="9">
        <v>11677.05</v>
      </c>
      <c r="C894" s="9">
        <v>11727.2</v>
      </c>
      <c r="D894" s="9">
        <v>11641.15</v>
      </c>
      <c r="E894" s="9">
        <v>11691.5</v>
      </c>
      <c r="F894" s="9">
        <v>3.65525622E8</v>
      </c>
      <c r="G894" s="47">
        <v>16120.69</v>
      </c>
    </row>
    <row r="895" ht="14.25" customHeight="1">
      <c r="A895" s="46">
        <v>43635.0</v>
      </c>
      <c r="B895" s="9">
        <v>11744.45</v>
      </c>
      <c r="C895" s="9">
        <v>11802.5</v>
      </c>
      <c r="D895" s="9">
        <v>11625.1</v>
      </c>
      <c r="E895" s="9">
        <v>11691.45</v>
      </c>
      <c r="F895" s="9">
        <v>4.46933027E8</v>
      </c>
      <c r="G895" s="47">
        <v>18722.71</v>
      </c>
    </row>
    <row r="896" ht="14.25" customHeight="1">
      <c r="A896" s="46">
        <v>43636.0</v>
      </c>
      <c r="B896" s="9">
        <v>11653.65</v>
      </c>
      <c r="C896" s="9">
        <v>11843.5</v>
      </c>
      <c r="D896" s="9">
        <v>11635.05</v>
      </c>
      <c r="E896" s="9">
        <v>11831.75</v>
      </c>
      <c r="F896" s="9">
        <v>4.42016954E8</v>
      </c>
      <c r="G896" s="47">
        <v>18839.11</v>
      </c>
    </row>
    <row r="897" ht="14.25" customHeight="1">
      <c r="A897" s="46">
        <v>43637.0</v>
      </c>
      <c r="B897" s="9">
        <v>11827.6</v>
      </c>
      <c r="C897" s="9">
        <v>11827.95</v>
      </c>
      <c r="D897" s="9">
        <v>11705.1</v>
      </c>
      <c r="E897" s="9">
        <v>11724.1</v>
      </c>
      <c r="F897" s="9">
        <v>4.68430388E8</v>
      </c>
      <c r="G897" s="47">
        <v>23346.13</v>
      </c>
    </row>
    <row r="898" ht="14.25" customHeight="1">
      <c r="A898" s="46">
        <v>43640.0</v>
      </c>
      <c r="B898" s="9">
        <v>11725.8</v>
      </c>
      <c r="C898" s="9">
        <v>11754.0</v>
      </c>
      <c r="D898" s="9">
        <v>11670.2</v>
      </c>
      <c r="E898" s="9">
        <v>11699.65</v>
      </c>
      <c r="F898" s="9">
        <v>2.77620788E8</v>
      </c>
      <c r="G898" s="47">
        <v>12631.38</v>
      </c>
    </row>
    <row r="899" ht="14.25" customHeight="1">
      <c r="A899" s="46">
        <v>43641.0</v>
      </c>
      <c r="B899" s="9">
        <v>11681.0</v>
      </c>
      <c r="C899" s="9">
        <v>11814.4</v>
      </c>
      <c r="D899" s="9">
        <v>11651.0</v>
      </c>
      <c r="E899" s="9">
        <v>11796.45</v>
      </c>
      <c r="F899" s="9">
        <v>3.00476353E8</v>
      </c>
      <c r="G899" s="47">
        <v>13822.83</v>
      </c>
    </row>
    <row r="900" ht="14.25" customHeight="1">
      <c r="A900" s="46">
        <v>43642.0</v>
      </c>
      <c r="B900" s="9">
        <v>11768.15</v>
      </c>
      <c r="C900" s="9">
        <v>11871.85</v>
      </c>
      <c r="D900" s="9">
        <v>11757.55</v>
      </c>
      <c r="E900" s="9">
        <v>11847.55</v>
      </c>
      <c r="F900" s="9">
        <v>3.27885018E8</v>
      </c>
      <c r="G900" s="47">
        <v>14650.89</v>
      </c>
    </row>
    <row r="901" ht="14.25" customHeight="1">
      <c r="A901" s="46">
        <v>43643.0</v>
      </c>
      <c r="B901" s="9">
        <v>11860.85</v>
      </c>
      <c r="C901" s="9">
        <v>11911.15</v>
      </c>
      <c r="D901" s="9">
        <v>11821.05</v>
      </c>
      <c r="E901" s="9">
        <v>11841.55</v>
      </c>
      <c r="F901" s="9">
        <v>4.8016935E8</v>
      </c>
      <c r="G901" s="47">
        <v>23300.3</v>
      </c>
    </row>
    <row r="902" ht="14.25" customHeight="1">
      <c r="A902" s="46">
        <v>43644.0</v>
      </c>
      <c r="B902" s="9">
        <v>11861.15</v>
      </c>
      <c r="C902" s="9">
        <v>11871.7</v>
      </c>
      <c r="D902" s="9">
        <v>11775.5</v>
      </c>
      <c r="E902" s="9">
        <v>11788.85</v>
      </c>
      <c r="F902" s="9">
        <v>3.03888701E8</v>
      </c>
      <c r="G902" s="47">
        <v>15191.9</v>
      </c>
    </row>
    <row r="903" ht="14.25" customHeight="1">
      <c r="A903" s="46">
        <v>43647.0</v>
      </c>
      <c r="B903" s="9">
        <v>11839.9</v>
      </c>
      <c r="C903" s="9">
        <v>11884.65</v>
      </c>
      <c r="D903" s="9">
        <v>11830.8</v>
      </c>
      <c r="E903" s="9">
        <v>11865.6</v>
      </c>
      <c r="F903" s="9">
        <v>2.78415889E8</v>
      </c>
      <c r="G903" s="47">
        <v>12874.96</v>
      </c>
    </row>
    <row r="904" ht="14.25" customHeight="1">
      <c r="A904" s="46">
        <v>43648.0</v>
      </c>
      <c r="B904" s="9">
        <v>11890.3</v>
      </c>
      <c r="C904" s="9">
        <v>11917.45</v>
      </c>
      <c r="D904" s="9">
        <v>11814.7</v>
      </c>
      <c r="E904" s="9">
        <v>11910.3</v>
      </c>
      <c r="F904" s="9">
        <v>3.63197036E8</v>
      </c>
      <c r="G904" s="47">
        <v>13615.94</v>
      </c>
    </row>
    <row r="905" ht="14.25" customHeight="1">
      <c r="A905" s="46">
        <v>43649.0</v>
      </c>
      <c r="B905" s="9">
        <v>11932.15</v>
      </c>
      <c r="C905" s="9">
        <v>11945.2</v>
      </c>
      <c r="D905" s="9">
        <v>11887.05</v>
      </c>
      <c r="E905" s="9">
        <v>11916.75</v>
      </c>
      <c r="F905" s="9">
        <v>3.40527508E8</v>
      </c>
      <c r="G905" s="47">
        <v>14290.33</v>
      </c>
    </row>
    <row r="906" ht="14.25" customHeight="1">
      <c r="A906" s="46">
        <v>43650.0</v>
      </c>
      <c r="B906" s="9">
        <v>11928.8</v>
      </c>
      <c r="C906" s="9">
        <v>11969.25</v>
      </c>
      <c r="D906" s="9">
        <v>11923.65</v>
      </c>
      <c r="E906" s="9">
        <v>11946.75</v>
      </c>
      <c r="F906" s="9">
        <v>3.33595172E8</v>
      </c>
      <c r="G906" s="47">
        <v>14758.87</v>
      </c>
    </row>
    <row r="907" ht="14.25" customHeight="1">
      <c r="A907" s="46">
        <v>43651.0</v>
      </c>
      <c r="B907" s="9">
        <v>11964.75</v>
      </c>
      <c r="C907" s="9">
        <v>11981.75</v>
      </c>
      <c r="D907" s="9">
        <v>11797.9</v>
      </c>
      <c r="E907" s="9">
        <v>11811.15</v>
      </c>
      <c r="F907" s="9">
        <v>5.30720039E8</v>
      </c>
      <c r="G907" s="47">
        <v>18871.99</v>
      </c>
    </row>
    <row r="908" ht="14.25" customHeight="1">
      <c r="A908" s="46">
        <v>43654.0</v>
      </c>
      <c r="B908" s="9">
        <v>11770.4</v>
      </c>
      <c r="C908" s="9">
        <v>11771.9</v>
      </c>
      <c r="D908" s="9">
        <v>11523.3</v>
      </c>
      <c r="E908" s="9">
        <v>11558.6</v>
      </c>
      <c r="F908" s="9">
        <v>4.64029444E8</v>
      </c>
      <c r="G908" s="47">
        <v>19146.25</v>
      </c>
    </row>
    <row r="909" ht="14.25" customHeight="1">
      <c r="A909" s="46">
        <v>43655.0</v>
      </c>
      <c r="B909" s="9">
        <v>11531.6</v>
      </c>
      <c r="C909" s="9">
        <v>11582.55</v>
      </c>
      <c r="D909" s="9">
        <v>11461.0</v>
      </c>
      <c r="E909" s="9">
        <v>11555.9</v>
      </c>
      <c r="F909" s="9">
        <v>4.42520253E8</v>
      </c>
      <c r="G909" s="47">
        <v>21577.95</v>
      </c>
    </row>
    <row r="910" ht="14.25" customHeight="1">
      <c r="A910" s="46">
        <v>43656.0</v>
      </c>
      <c r="B910" s="9">
        <v>11536.15</v>
      </c>
      <c r="C910" s="9">
        <v>11593.7</v>
      </c>
      <c r="D910" s="9">
        <v>11475.65</v>
      </c>
      <c r="E910" s="9">
        <v>11498.9</v>
      </c>
      <c r="F910" s="9">
        <v>3.37571014E8</v>
      </c>
      <c r="G910" s="47">
        <v>16098.53</v>
      </c>
    </row>
    <row r="911" ht="14.25" customHeight="1">
      <c r="A911" s="46">
        <v>43657.0</v>
      </c>
      <c r="B911" s="9">
        <v>11561.45</v>
      </c>
      <c r="C911" s="9">
        <v>11599.0</v>
      </c>
      <c r="D911" s="9">
        <v>11519.5</v>
      </c>
      <c r="E911" s="9">
        <v>11582.9</v>
      </c>
      <c r="F911" s="9">
        <v>3.17257578E8</v>
      </c>
      <c r="G911" s="47">
        <v>14586.2</v>
      </c>
    </row>
    <row r="912" ht="14.25" customHeight="1">
      <c r="A912" s="46">
        <v>43658.0</v>
      </c>
      <c r="B912" s="9">
        <v>11601.15</v>
      </c>
      <c r="C912" s="9">
        <v>11639.55</v>
      </c>
      <c r="D912" s="9">
        <v>11538.6</v>
      </c>
      <c r="E912" s="9">
        <v>11552.5</v>
      </c>
      <c r="F912" s="9">
        <v>3.59421182E8</v>
      </c>
      <c r="G912" s="47">
        <v>16947.57</v>
      </c>
    </row>
    <row r="913" ht="14.25" customHeight="1">
      <c r="A913" s="46">
        <v>43661.0</v>
      </c>
      <c r="B913" s="9">
        <v>11614.75</v>
      </c>
      <c r="C913" s="9">
        <v>11618.4</v>
      </c>
      <c r="D913" s="9">
        <v>11532.3</v>
      </c>
      <c r="E913" s="9">
        <v>11588.35</v>
      </c>
      <c r="F913" s="9">
        <v>3.68788782E8</v>
      </c>
      <c r="G913" s="47">
        <v>15835.99</v>
      </c>
    </row>
    <row r="914" ht="14.25" customHeight="1">
      <c r="A914" s="46">
        <v>43662.0</v>
      </c>
      <c r="B914" s="9">
        <v>11596.65</v>
      </c>
      <c r="C914" s="9">
        <v>11670.05</v>
      </c>
      <c r="D914" s="9">
        <v>11573.95</v>
      </c>
      <c r="E914" s="9">
        <v>11662.6</v>
      </c>
      <c r="F914" s="9">
        <v>4.80156167E8</v>
      </c>
      <c r="G914" s="47">
        <v>15967.91</v>
      </c>
    </row>
    <row r="915" ht="14.25" customHeight="1">
      <c r="A915" s="46">
        <v>43663.0</v>
      </c>
      <c r="B915" s="9">
        <v>11670.75</v>
      </c>
      <c r="C915" s="9">
        <v>11706.65</v>
      </c>
      <c r="D915" s="9">
        <v>11651.15</v>
      </c>
      <c r="E915" s="9">
        <v>11687.5</v>
      </c>
      <c r="F915" s="9">
        <v>4.64827734E8</v>
      </c>
      <c r="G915" s="47">
        <v>15250.5</v>
      </c>
    </row>
    <row r="916" ht="14.25" customHeight="1">
      <c r="A916" s="46">
        <v>43664.0</v>
      </c>
      <c r="B916" s="9">
        <v>11675.6</v>
      </c>
      <c r="C916" s="9">
        <v>11677.15</v>
      </c>
      <c r="D916" s="9">
        <v>11582.4</v>
      </c>
      <c r="E916" s="9">
        <v>11596.9</v>
      </c>
      <c r="F916" s="9">
        <v>4.98258158E8</v>
      </c>
      <c r="G916" s="47">
        <v>16684.03</v>
      </c>
    </row>
    <row r="917" ht="14.25" customHeight="1">
      <c r="A917" s="46">
        <v>43665.0</v>
      </c>
      <c r="B917" s="9">
        <v>11627.95</v>
      </c>
      <c r="C917" s="9">
        <v>11640.35</v>
      </c>
      <c r="D917" s="9">
        <v>11399.3</v>
      </c>
      <c r="E917" s="9">
        <v>11419.25</v>
      </c>
      <c r="F917" s="9">
        <v>4.46049198E8</v>
      </c>
      <c r="G917" s="47">
        <v>17326.4</v>
      </c>
    </row>
    <row r="918" ht="14.25" customHeight="1">
      <c r="A918" s="46">
        <v>43668.0</v>
      </c>
      <c r="B918" s="9">
        <v>11392.85</v>
      </c>
      <c r="C918" s="9">
        <v>11398.15</v>
      </c>
      <c r="D918" s="9">
        <v>11301.25</v>
      </c>
      <c r="E918" s="9">
        <v>11346.2</v>
      </c>
      <c r="F918" s="9">
        <v>5.16044335E8</v>
      </c>
      <c r="G918" s="47">
        <v>19304.23</v>
      </c>
    </row>
    <row r="919" ht="14.25" customHeight="1">
      <c r="A919" s="46">
        <v>43669.0</v>
      </c>
      <c r="B919" s="9">
        <v>11372.25</v>
      </c>
      <c r="C919" s="9">
        <v>11398.15</v>
      </c>
      <c r="D919" s="9">
        <v>11302.8</v>
      </c>
      <c r="E919" s="9">
        <v>11331.05</v>
      </c>
      <c r="F919" s="9">
        <v>4.58931191E8</v>
      </c>
      <c r="G919" s="47">
        <v>19199.32</v>
      </c>
    </row>
    <row r="920" ht="14.25" customHeight="1">
      <c r="A920" s="46">
        <v>43670.0</v>
      </c>
      <c r="B920" s="9">
        <v>11322.45</v>
      </c>
      <c r="C920" s="9">
        <v>11359.75</v>
      </c>
      <c r="D920" s="9">
        <v>11229.8</v>
      </c>
      <c r="E920" s="9">
        <v>11271.3</v>
      </c>
      <c r="F920" s="9">
        <v>4.13202832E8</v>
      </c>
      <c r="G920" s="47">
        <v>18353.13</v>
      </c>
    </row>
    <row r="921" ht="14.25" customHeight="1">
      <c r="A921" s="46">
        <v>43671.0</v>
      </c>
      <c r="B921" s="9">
        <v>11290.4</v>
      </c>
      <c r="C921" s="9">
        <v>11361.4</v>
      </c>
      <c r="D921" s="9">
        <v>11239.35</v>
      </c>
      <c r="E921" s="9">
        <v>11252.15</v>
      </c>
      <c r="F921" s="9">
        <v>5.53676897E8</v>
      </c>
      <c r="G921" s="47">
        <v>24329.21</v>
      </c>
    </row>
    <row r="922" ht="14.25" customHeight="1">
      <c r="A922" s="46">
        <v>43672.0</v>
      </c>
      <c r="B922" s="9">
        <v>11247.45</v>
      </c>
      <c r="C922" s="9">
        <v>11307.6</v>
      </c>
      <c r="D922" s="9">
        <v>11210.05</v>
      </c>
      <c r="E922" s="9">
        <v>11284.3</v>
      </c>
      <c r="F922" s="9">
        <v>5.2267042E8</v>
      </c>
      <c r="G922" s="47">
        <v>20350.38</v>
      </c>
    </row>
    <row r="923" ht="14.25" customHeight="1">
      <c r="A923" s="46">
        <v>43675.0</v>
      </c>
      <c r="B923" s="9">
        <v>11307.5</v>
      </c>
      <c r="C923" s="9">
        <v>11310.95</v>
      </c>
      <c r="D923" s="9">
        <v>11152.4</v>
      </c>
      <c r="E923" s="9">
        <v>11189.2</v>
      </c>
      <c r="F923" s="9">
        <v>4.82862376E8</v>
      </c>
      <c r="G923" s="47">
        <v>18705.92</v>
      </c>
    </row>
    <row r="924" ht="14.25" customHeight="1">
      <c r="A924" s="46">
        <v>43676.0</v>
      </c>
      <c r="B924" s="9">
        <v>11213.7</v>
      </c>
      <c r="C924" s="9">
        <v>11267.45</v>
      </c>
      <c r="D924" s="9">
        <v>11072.65</v>
      </c>
      <c r="E924" s="9">
        <v>11085.4</v>
      </c>
      <c r="F924" s="9">
        <v>4.79059399E8</v>
      </c>
      <c r="G924" s="47">
        <v>20545.71</v>
      </c>
    </row>
    <row r="925" ht="14.25" customHeight="1">
      <c r="A925" s="46">
        <v>43677.0</v>
      </c>
      <c r="B925" s="9">
        <v>11034.05</v>
      </c>
      <c r="C925" s="9">
        <v>11145.3</v>
      </c>
      <c r="D925" s="9">
        <v>10999.4</v>
      </c>
      <c r="E925" s="9">
        <v>11118.0</v>
      </c>
      <c r="F925" s="9">
        <v>5.36694278E8</v>
      </c>
      <c r="G925" s="47">
        <v>23681.22</v>
      </c>
    </row>
    <row r="926" ht="14.25" customHeight="1">
      <c r="A926" s="46">
        <v>43678.0</v>
      </c>
      <c r="B926" s="9">
        <v>11060.2</v>
      </c>
      <c r="C926" s="9">
        <v>11076.75</v>
      </c>
      <c r="D926" s="9">
        <v>10881.0</v>
      </c>
      <c r="E926" s="9">
        <v>10980.0</v>
      </c>
      <c r="F926" s="9">
        <v>4.99918953E8</v>
      </c>
      <c r="G926" s="47">
        <v>21048.32</v>
      </c>
    </row>
    <row r="927" ht="14.25" customHeight="1">
      <c r="A927" s="46">
        <v>43679.0</v>
      </c>
      <c r="B927" s="9">
        <v>10930.3</v>
      </c>
      <c r="C927" s="9">
        <v>11080.15</v>
      </c>
      <c r="D927" s="9">
        <v>10848.95</v>
      </c>
      <c r="E927" s="9">
        <v>10997.35</v>
      </c>
      <c r="F927" s="9">
        <v>5.47416246E8</v>
      </c>
      <c r="G927" s="47">
        <v>23972.04</v>
      </c>
    </row>
    <row r="928" ht="14.25" customHeight="1">
      <c r="A928" s="46">
        <v>43682.0</v>
      </c>
      <c r="B928" s="9">
        <v>10895.8</v>
      </c>
      <c r="C928" s="9">
        <v>10895.8</v>
      </c>
      <c r="D928" s="9">
        <v>10782.6</v>
      </c>
      <c r="E928" s="9">
        <v>10862.6</v>
      </c>
      <c r="F928" s="9">
        <v>5.06556609E8</v>
      </c>
      <c r="G928" s="47">
        <v>20824.1</v>
      </c>
    </row>
    <row r="929" ht="14.25" customHeight="1">
      <c r="A929" s="46">
        <v>43683.0</v>
      </c>
      <c r="B929" s="9">
        <v>10815.4</v>
      </c>
      <c r="C929" s="9">
        <v>11018.55</v>
      </c>
      <c r="D929" s="9">
        <v>10813.8</v>
      </c>
      <c r="E929" s="9">
        <v>10948.25</v>
      </c>
      <c r="F929" s="9">
        <v>5.17891491E8</v>
      </c>
      <c r="G929" s="47">
        <v>21676.4</v>
      </c>
    </row>
    <row r="930" ht="14.25" customHeight="1">
      <c r="A930" s="46">
        <v>43684.0</v>
      </c>
      <c r="B930" s="9">
        <v>10958.1</v>
      </c>
      <c r="C930" s="9">
        <v>10975.65</v>
      </c>
      <c r="D930" s="9">
        <v>10835.9</v>
      </c>
      <c r="E930" s="9">
        <v>10855.5</v>
      </c>
      <c r="F930" s="9">
        <v>5.48465787E8</v>
      </c>
      <c r="G930" s="47">
        <v>21228.28</v>
      </c>
    </row>
    <row r="931" ht="14.25" customHeight="1">
      <c r="A931" s="46">
        <v>43685.0</v>
      </c>
      <c r="B931" s="9">
        <v>10899.2</v>
      </c>
      <c r="C931" s="9">
        <v>11058.05</v>
      </c>
      <c r="D931" s="9">
        <v>10842.95</v>
      </c>
      <c r="E931" s="9">
        <v>11032.45</v>
      </c>
      <c r="F931" s="9">
        <v>4.82471622E8</v>
      </c>
      <c r="G931" s="47">
        <v>20667.6</v>
      </c>
    </row>
    <row r="932" ht="14.25" customHeight="1">
      <c r="A932" s="46">
        <v>43686.0</v>
      </c>
      <c r="B932" s="9">
        <v>11087.9</v>
      </c>
      <c r="C932" s="9">
        <v>11181.45</v>
      </c>
      <c r="D932" s="9">
        <v>11062.8</v>
      </c>
      <c r="E932" s="9">
        <v>11109.65</v>
      </c>
      <c r="F932" s="9">
        <v>5.38063563E8</v>
      </c>
      <c r="G932" s="47">
        <v>21092.05</v>
      </c>
    </row>
    <row r="933" ht="14.25" customHeight="1">
      <c r="A933" s="46">
        <v>43690.0</v>
      </c>
      <c r="B933" s="9">
        <v>11139.4</v>
      </c>
      <c r="C933" s="9">
        <v>11145.9</v>
      </c>
      <c r="D933" s="9">
        <v>10901.6</v>
      </c>
      <c r="E933" s="9">
        <v>10925.85</v>
      </c>
      <c r="F933" s="9">
        <v>6.24634647E8</v>
      </c>
      <c r="G933" s="47">
        <v>24790.67</v>
      </c>
    </row>
    <row r="934" ht="14.25" customHeight="1">
      <c r="A934" s="46">
        <v>43691.0</v>
      </c>
      <c r="B934" s="9">
        <v>11003.25</v>
      </c>
      <c r="C934" s="9">
        <v>11078.15</v>
      </c>
      <c r="D934" s="9">
        <v>10935.6</v>
      </c>
      <c r="E934" s="9">
        <v>11029.4</v>
      </c>
      <c r="F934" s="9">
        <v>5.11541716E8</v>
      </c>
      <c r="G934" s="47">
        <v>19712.81</v>
      </c>
    </row>
    <row r="935" ht="14.25" customHeight="1">
      <c r="A935" s="46">
        <v>43693.0</v>
      </c>
      <c r="B935" s="9">
        <v>11043.65</v>
      </c>
      <c r="C935" s="9">
        <v>11068.65</v>
      </c>
      <c r="D935" s="9">
        <v>10924.3</v>
      </c>
      <c r="E935" s="9">
        <v>11047.8</v>
      </c>
      <c r="F935" s="9">
        <v>4.70909918E8</v>
      </c>
      <c r="G935" s="47">
        <v>19281.91</v>
      </c>
    </row>
    <row r="936" ht="14.25" customHeight="1">
      <c r="A936" s="46">
        <v>43696.0</v>
      </c>
      <c r="B936" s="9">
        <v>11094.8</v>
      </c>
      <c r="C936" s="9">
        <v>11146.9</v>
      </c>
      <c r="D936" s="9">
        <v>11037.85</v>
      </c>
      <c r="E936" s="9">
        <v>11053.9</v>
      </c>
      <c r="F936" s="9">
        <v>3.69493161E8</v>
      </c>
      <c r="G936" s="47">
        <v>14120.35</v>
      </c>
    </row>
    <row r="937" ht="14.25" customHeight="1">
      <c r="A937" s="46">
        <v>43697.0</v>
      </c>
      <c r="B937" s="9">
        <v>11063.9</v>
      </c>
      <c r="C937" s="9">
        <v>11076.3</v>
      </c>
      <c r="D937" s="9">
        <v>10985.3</v>
      </c>
      <c r="E937" s="9">
        <v>11017.0</v>
      </c>
      <c r="F937" s="9">
        <v>4.44715679E8</v>
      </c>
      <c r="G937" s="47">
        <v>16915.96</v>
      </c>
    </row>
    <row r="938" ht="14.25" customHeight="1">
      <c r="A938" s="46">
        <v>43698.0</v>
      </c>
      <c r="B938" s="9">
        <v>11018.15</v>
      </c>
      <c r="C938" s="9">
        <v>11034.2</v>
      </c>
      <c r="D938" s="9">
        <v>10906.65</v>
      </c>
      <c r="E938" s="9">
        <v>10918.7</v>
      </c>
      <c r="F938" s="9">
        <v>5.57867906E8</v>
      </c>
      <c r="G938" s="47">
        <v>16747.99</v>
      </c>
    </row>
    <row r="939" ht="14.25" customHeight="1">
      <c r="A939" s="46">
        <v>43699.0</v>
      </c>
      <c r="B939" s="9">
        <v>10905.3</v>
      </c>
      <c r="C939" s="9">
        <v>10908.25</v>
      </c>
      <c r="D939" s="9">
        <v>10718.3</v>
      </c>
      <c r="E939" s="9">
        <v>10741.35</v>
      </c>
      <c r="F939" s="9">
        <v>6.68193449E8</v>
      </c>
      <c r="G939" s="47">
        <v>18764.38</v>
      </c>
    </row>
    <row r="940" ht="14.25" customHeight="1">
      <c r="A940" s="46">
        <v>43700.0</v>
      </c>
      <c r="B940" s="9">
        <v>10699.6</v>
      </c>
      <c r="C940" s="9">
        <v>10862.55</v>
      </c>
      <c r="D940" s="9">
        <v>10637.15</v>
      </c>
      <c r="E940" s="9">
        <v>10829.35</v>
      </c>
      <c r="F940" s="9">
        <v>6.67079625E8</v>
      </c>
      <c r="G940" s="47">
        <v>20983.75</v>
      </c>
    </row>
    <row r="941" ht="14.25" customHeight="1">
      <c r="A941" s="46">
        <v>43703.0</v>
      </c>
      <c r="B941" s="9">
        <v>11000.3</v>
      </c>
      <c r="C941" s="9">
        <v>11070.3</v>
      </c>
      <c r="D941" s="9">
        <v>10756.55</v>
      </c>
      <c r="E941" s="9">
        <v>11057.85</v>
      </c>
      <c r="F941" s="9">
        <v>6.84141923E8</v>
      </c>
      <c r="G941" s="47">
        <v>22375.99</v>
      </c>
    </row>
    <row r="942" ht="14.25" customHeight="1">
      <c r="A942" s="46">
        <v>43704.0</v>
      </c>
      <c r="B942" s="9">
        <v>11106.55</v>
      </c>
      <c r="C942" s="9">
        <v>11141.75</v>
      </c>
      <c r="D942" s="9">
        <v>11049.5</v>
      </c>
      <c r="E942" s="9">
        <v>11105.35</v>
      </c>
      <c r="F942" s="9">
        <v>6.85551267E8</v>
      </c>
      <c r="G942" s="47">
        <v>27413.16</v>
      </c>
    </row>
    <row r="943" ht="14.25" customHeight="1">
      <c r="A943" s="46">
        <v>43705.0</v>
      </c>
      <c r="B943" s="9">
        <v>11101.3</v>
      </c>
      <c r="C943" s="9">
        <v>11129.65</v>
      </c>
      <c r="D943" s="9">
        <v>10987.65</v>
      </c>
      <c r="E943" s="9">
        <v>11046.1</v>
      </c>
      <c r="F943" s="9">
        <v>5.49954696E8</v>
      </c>
      <c r="G943" s="47">
        <v>16739.43</v>
      </c>
    </row>
    <row r="944" ht="14.25" customHeight="1">
      <c r="A944" s="46">
        <v>43706.0</v>
      </c>
      <c r="B944" s="9">
        <v>10996.05</v>
      </c>
      <c r="C944" s="9">
        <v>11021.1</v>
      </c>
      <c r="D944" s="9">
        <v>10922.4</v>
      </c>
      <c r="E944" s="9">
        <v>10948.3</v>
      </c>
      <c r="F944" s="9">
        <v>6.4987616E8</v>
      </c>
      <c r="G944" s="47">
        <v>20127.77</v>
      </c>
    </row>
    <row r="945" ht="14.25" customHeight="1">
      <c r="A945" s="46">
        <v>43707.0</v>
      </c>
      <c r="B945" s="9">
        <v>10987.8</v>
      </c>
      <c r="C945" s="9">
        <v>11042.6</v>
      </c>
      <c r="D945" s="9">
        <v>10874.8</v>
      </c>
      <c r="E945" s="9">
        <v>11023.25</v>
      </c>
      <c r="F945" s="9">
        <v>6.28154431E8</v>
      </c>
      <c r="G945" s="47">
        <v>21057.31</v>
      </c>
    </row>
    <row r="946" ht="14.25" customHeight="1">
      <c r="A946" s="46">
        <v>43711.0</v>
      </c>
      <c r="B946" s="9">
        <v>10960.95</v>
      </c>
      <c r="C946" s="9">
        <v>10967.5</v>
      </c>
      <c r="D946" s="9">
        <v>10772.7</v>
      </c>
      <c r="E946" s="9">
        <v>10797.9</v>
      </c>
      <c r="F946" s="9">
        <v>4.83038985E8</v>
      </c>
      <c r="G946" s="47">
        <v>16595.6</v>
      </c>
    </row>
    <row r="947" ht="14.25" customHeight="1">
      <c r="A947" s="46">
        <v>43712.0</v>
      </c>
      <c r="B947" s="9">
        <v>10790.4</v>
      </c>
      <c r="C947" s="9">
        <v>10858.75</v>
      </c>
      <c r="D947" s="9">
        <v>10746.35</v>
      </c>
      <c r="E947" s="9">
        <v>10844.65</v>
      </c>
      <c r="F947" s="9">
        <v>5.08784352E8</v>
      </c>
      <c r="G947" s="47">
        <v>19195.1</v>
      </c>
    </row>
    <row r="948" ht="14.25" customHeight="1">
      <c r="A948" s="46">
        <v>43713.0</v>
      </c>
      <c r="B948" s="9">
        <v>10860.95</v>
      </c>
      <c r="C948" s="9">
        <v>10920.1</v>
      </c>
      <c r="D948" s="9">
        <v>10816.0</v>
      </c>
      <c r="E948" s="9">
        <v>10847.9</v>
      </c>
      <c r="F948" s="9">
        <v>5.95699267E8</v>
      </c>
      <c r="G948" s="47">
        <v>18279.88</v>
      </c>
    </row>
    <row r="949" ht="14.25" customHeight="1">
      <c r="A949" s="46">
        <v>43714.0</v>
      </c>
      <c r="B949" s="9">
        <v>10883.8</v>
      </c>
      <c r="C949" s="9">
        <v>10957.05</v>
      </c>
      <c r="D949" s="9">
        <v>10867.45</v>
      </c>
      <c r="E949" s="9">
        <v>10946.2</v>
      </c>
      <c r="F949" s="9">
        <v>4.97214445E8</v>
      </c>
      <c r="G949" s="47">
        <v>18167.78</v>
      </c>
    </row>
    <row r="950" ht="14.25" customHeight="1">
      <c r="A950" s="46">
        <v>43717.0</v>
      </c>
      <c r="B950" s="9">
        <v>10936.7</v>
      </c>
      <c r="C950" s="9">
        <v>11028.85</v>
      </c>
      <c r="D950" s="9">
        <v>10889.8</v>
      </c>
      <c r="E950" s="9">
        <v>11003.05</v>
      </c>
      <c r="F950" s="9">
        <v>4.12471067E8</v>
      </c>
      <c r="G950" s="47">
        <v>14762.07</v>
      </c>
    </row>
    <row r="951" ht="14.25" customHeight="1">
      <c r="A951" s="46">
        <v>43719.0</v>
      </c>
      <c r="B951" s="9">
        <v>11028.5</v>
      </c>
      <c r="C951" s="9">
        <v>11054.8</v>
      </c>
      <c r="D951" s="9">
        <v>11011.65</v>
      </c>
      <c r="E951" s="9">
        <v>11035.7</v>
      </c>
      <c r="F951" s="9">
        <v>6.87140326E8</v>
      </c>
      <c r="G951" s="47">
        <v>19550.59</v>
      </c>
    </row>
    <row r="952" ht="14.25" customHeight="1">
      <c r="A952" s="46">
        <v>43720.0</v>
      </c>
      <c r="B952" s="9">
        <v>11058.3</v>
      </c>
      <c r="C952" s="9">
        <v>11081.75</v>
      </c>
      <c r="D952" s="9">
        <v>10964.95</v>
      </c>
      <c r="E952" s="9">
        <v>10982.8</v>
      </c>
      <c r="F952" s="9">
        <v>5.5143605E8</v>
      </c>
      <c r="G952" s="47">
        <v>17510.17</v>
      </c>
    </row>
    <row r="953" ht="14.25" customHeight="1">
      <c r="A953" s="46">
        <v>43721.0</v>
      </c>
      <c r="B953" s="9">
        <v>10986.8</v>
      </c>
      <c r="C953" s="9">
        <v>11084.45</v>
      </c>
      <c r="D953" s="9">
        <v>10945.75</v>
      </c>
      <c r="E953" s="9">
        <v>11075.9</v>
      </c>
      <c r="F953" s="9">
        <v>6.24305151E8</v>
      </c>
      <c r="G953" s="47">
        <v>18012.76</v>
      </c>
    </row>
    <row r="954" ht="14.25" customHeight="1">
      <c r="A954" s="46">
        <v>43724.0</v>
      </c>
      <c r="B954" s="9">
        <v>10994.85</v>
      </c>
      <c r="C954" s="9">
        <v>11052.7</v>
      </c>
      <c r="D954" s="9">
        <v>10968.2</v>
      </c>
      <c r="E954" s="9">
        <v>11003.5</v>
      </c>
      <c r="F954" s="9">
        <v>4.34449776E8</v>
      </c>
      <c r="G954" s="47">
        <v>15786.17</v>
      </c>
    </row>
    <row r="955" ht="14.25" customHeight="1">
      <c r="A955" s="46">
        <v>43725.0</v>
      </c>
      <c r="B955" s="9">
        <v>11000.1</v>
      </c>
      <c r="C955" s="9">
        <v>11000.1</v>
      </c>
      <c r="D955" s="9">
        <v>10796.5</v>
      </c>
      <c r="E955" s="9">
        <v>10817.6</v>
      </c>
      <c r="F955" s="9">
        <v>4.82013044E8</v>
      </c>
      <c r="G955" s="47">
        <v>17721.93</v>
      </c>
    </row>
    <row r="956" ht="14.25" customHeight="1">
      <c r="A956" s="46">
        <v>43726.0</v>
      </c>
      <c r="B956" s="9">
        <v>10872.8</v>
      </c>
      <c r="C956" s="9">
        <v>10885.15</v>
      </c>
      <c r="D956" s="9">
        <v>10804.85</v>
      </c>
      <c r="E956" s="9">
        <v>10840.65</v>
      </c>
      <c r="F956" s="9">
        <v>5.19155072E8</v>
      </c>
      <c r="G956" s="47">
        <v>16784.43</v>
      </c>
    </row>
    <row r="957" ht="14.25" customHeight="1">
      <c r="A957" s="46">
        <v>43727.0</v>
      </c>
      <c r="B957" s="9">
        <v>10845.2</v>
      </c>
      <c r="C957" s="9">
        <v>10845.2</v>
      </c>
      <c r="D957" s="9">
        <v>10670.25</v>
      </c>
      <c r="E957" s="9">
        <v>10704.8</v>
      </c>
      <c r="F957" s="9">
        <v>6.42599183E8</v>
      </c>
      <c r="G957" s="47">
        <v>16642.83</v>
      </c>
    </row>
    <row r="958" ht="14.25" customHeight="1">
      <c r="A958" s="46">
        <v>43728.0</v>
      </c>
      <c r="B958" s="9">
        <v>10746.8</v>
      </c>
      <c r="C958" s="9">
        <v>11381.9</v>
      </c>
      <c r="D958" s="9">
        <v>10691.0</v>
      </c>
      <c r="E958" s="9">
        <v>11274.2</v>
      </c>
      <c r="F958" s="9">
        <v>1.35676745E9</v>
      </c>
      <c r="G958" s="47">
        <v>54081.53</v>
      </c>
    </row>
    <row r="959" ht="14.25" customHeight="1">
      <c r="A959" s="46">
        <v>43731.0</v>
      </c>
      <c r="B959" s="9">
        <v>11542.7</v>
      </c>
      <c r="C959" s="9">
        <v>11694.85</v>
      </c>
      <c r="D959" s="9">
        <v>11471.35</v>
      </c>
      <c r="E959" s="9">
        <v>11600.2</v>
      </c>
      <c r="F959" s="9">
        <v>8.82826741E8</v>
      </c>
      <c r="G959" s="47">
        <v>40005.01</v>
      </c>
    </row>
    <row r="960" ht="14.25" customHeight="1">
      <c r="A960" s="46">
        <v>43732.0</v>
      </c>
      <c r="B960" s="9">
        <v>11590.7</v>
      </c>
      <c r="C960" s="9">
        <v>11655.05</v>
      </c>
      <c r="D960" s="9">
        <v>11539.2</v>
      </c>
      <c r="E960" s="9">
        <v>11588.2</v>
      </c>
      <c r="F960" s="9">
        <v>6.51722255E8</v>
      </c>
      <c r="G960" s="47">
        <v>26930.07</v>
      </c>
    </row>
    <row r="961" ht="14.25" customHeight="1">
      <c r="A961" s="46">
        <v>43733.0</v>
      </c>
      <c r="B961" s="9">
        <v>11564.85</v>
      </c>
      <c r="C961" s="9">
        <v>11564.95</v>
      </c>
      <c r="D961" s="9">
        <v>11416.1</v>
      </c>
      <c r="E961" s="9">
        <v>11440.2</v>
      </c>
      <c r="F961" s="9">
        <v>6.2905464E8</v>
      </c>
      <c r="G961" s="47">
        <v>25266.24</v>
      </c>
    </row>
    <row r="962" ht="14.25" customHeight="1">
      <c r="A962" s="46">
        <v>43734.0</v>
      </c>
      <c r="B962" s="9">
        <v>11469.85</v>
      </c>
      <c r="C962" s="9">
        <v>11610.85</v>
      </c>
      <c r="D962" s="9">
        <v>11466.35</v>
      </c>
      <c r="E962" s="9">
        <v>11571.2</v>
      </c>
      <c r="F962" s="9">
        <v>8.44465614E8</v>
      </c>
      <c r="G962" s="47">
        <v>30707.84</v>
      </c>
    </row>
    <row r="963" ht="14.25" customHeight="1">
      <c r="A963" s="46">
        <v>43735.0</v>
      </c>
      <c r="B963" s="9">
        <v>11556.35</v>
      </c>
      <c r="C963" s="9">
        <v>11593.6</v>
      </c>
      <c r="D963" s="9">
        <v>11499.75</v>
      </c>
      <c r="E963" s="9">
        <v>11512.4</v>
      </c>
      <c r="F963" s="9">
        <v>6.5001728E8</v>
      </c>
      <c r="G963" s="47">
        <v>19036.94</v>
      </c>
    </row>
    <row r="964" ht="14.25" customHeight="1">
      <c r="A964" s="46">
        <v>43738.0</v>
      </c>
      <c r="B964" s="9">
        <v>11491.15</v>
      </c>
      <c r="C964" s="9">
        <v>11508.25</v>
      </c>
      <c r="D964" s="9">
        <v>11390.8</v>
      </c>
      <c r="E964" s="9">
        <v>11474.45</v>
      </c>
      <c r="F964" s="9">
        <v>7.56848686E8</v>
      </c>
      <c r="G964" s="47">
        <v>23748.07</v>
      </c>
    </row>
    <row r="965" ht="14.25" customHeight="1">
      <c r="A965" s="46">
        <v>43739.0</v>
      </c>
      <c r="B965" s="9">
        <v>11515.4</v>
      </c>
      <c r="C965" s="9">
        <v>11554.2</v>
      </c>
      <c r="D965" s="9">
        <v>11247.9</v>
      </c>
      <c r="E965" s="9">
        <v>11359.9</v>
      </c>
      <c r="F965" s="9">
        <v>1.305415159E9</v>
      </c>
      <c r="G965" s="47">
        <v>28972.72</v>
      </c>
    </row>
    <row r="966" ht="14.25" customHeight="1">
      <c r="A966" s="46">
        <v>43741.0</v>
      </c>
      <c r="B966" s="9">
        <v>11322.25</v>
      </c>
      <c r="C966" s="9">
        <v>11370.4</v>
      </c>
      <c r="D966" s="9">
        <v>11257.35</v>
      </c>
      <c r="E966" s="9">
        <v>11314.0</v>
      </c>
      <c r="F966" s="9">
        <v>1.017479514E9</v>
      </c>
      <c r="G966" s="47">
        <v>21658.38</v>
      </c>
    </row>
    <row r="967" ht="14.25" customHeight="1">
      <c r="A967" s="46">
        <v>43742.0</v>
      </c>
      <c r="B967" s="9">
        <v>11388.45</v>
      </c>
      <c r="C967" s="9">
        <v>11400.3</v>
      </c>
      <c r="D967" s="9">
        <v>11158.35</v>
      </c>
      <c r="E967" s="9">
        <v>11174.75</v>
      </c>
      <c r="F967" s="9">
        <v>9.2852445E8</v>
      </c>
      <c r="G967" s="47">
        <v>22470.76</v>
      </c>
    </row>
    <row r="968" ht="14.25" customHeight="1">
      <c r="A968" s="46">
        <v>43745.0</v>
      </c>
      <c r="B968" s="9">
        <v>11196.2</v>
      </c>
      <c r="C968" s="9">
        <v>11233.85</v>
      </c>
      <c r="D968" s="9">
        <v>11112.65</v>
      </c>
      <c r="E968" s="9">
        <v>11126.4</v>
      </c>
      <c r="F968" s="9">
        <v>7.33198763E8</v>
      </c>
      <c r="G968" s="47">
        <v>18641.37</v>
      </c>
    </row>
    <row r="969" ht="14.25" customHeight="1">
      <c r="A969" s="46">
        <v>43747.0</v>
      </c>
      <c r="B969" s="9">
        <v>11152.95</v>
      </c>
      <c r="C969" s="9">
        <v>11321.6</v>
      </c>
      <c r="D969" s="9">
        <v>11090.15</v>
      </c>
      <c r="E969" s="9">
        <v>11313.3</v>
      </c>
      <c r="F969" s="9">
        <v>7.41148639E8</v>
      </c>
      <c r="G969" s="47">
        <v>20961.54</v>
      </c>
    </row>
    <row r="970" ht="14.25" customHeight="1">
      <c r="A970" s="46">
        <v>43748.0</v>
      </c>
      <c r="B970" s="9">
        <v>11280.5</v>
      </c>
      <c r="C970" s="9">
        <v>11293.35</v>
      </c>
      <c r="D970" s="9">
        <v>11208.55</v>
      </c>
      <c r="E970" s="9">
        <v>11234.55</v>
      </c>
      <c r="F970" s="9">
        <v>5.62017945E8</v>
      </c>
      <c r="G970" s="47">
        <v>19234.31</v>
      </c>
    </row>
    <row r="971" ht="14.25" customHeight="1">
      <c r="A971" s="46">
        <v>43749.0</v>
      </c>
      <c r="B971" s="9">
        <v>11257.7</v>
      </c>
      <c r="C971" s="9">
        <v>11362.9</v>
      </c>
      <c r="D971" s="9">
        <v>11189.4</v>
      </c>
      <c r="E971" s="9">
        <v>11305.05</v>
      </c>
      <c r="F971" s="9">
        <v>7.3779515E8</v>
      </c>
      <c r="G971" s="47">
        <v>22511.39</v>
      </c>
    </row>
    <row r="972" ht="14.25" customHeight="1">
      <c r="A972" s="46">
        <v>43752.0</v>
      </c>
      <c r="B972" s="9">
        <v>11335.9</v>
      </c>
      <c r="C972" s="9">
        <v>11420.45</v>
      </c>
      <c r="D972" s="9">
        <v>11290.05</v>
      </c>
      <c r="E972" s="9">
        <v>11341.15</v>
      </c>
      <c r="F972" s="9">
        <v>5.87579191E8</v>
      </c>
      <c r="G972" s="47">
        <v>17499.48</v>
      </c>
    </row>
    <row r="973" ht="14.25" customHeight="1">
      <c r="A973" s="46">
        <v>43753.0</v>
      </c>
      <c r="B973" s="9">
        <v>11360.85</v>
      </c>
      <c r="C973" s="9">
        <v>11462.35</v>
      </c>
      <c r="D973" s="9">
        <v>11342.1</v>
      </c>
      <c r="E973" s="9">
        <v>11428.3</v>
      </c>
      <c r="F973" s="9">
        <v>5.2739618E8</v>
      </c>
      <c r="G973" s="47">
        <v>17041.55</v>
      </c>
    </row>
    <row r="974" ht="14.25" customHeight="1">
      <c r="A974" s="46">
        <v>43754.0</v>
      </c>
      <c r="B974" s="9">
        <v>11464.95</v>
      </c>
      <c r="C974" s="9">
        <v>11481.05</v>
      </c>
      <c r="D974" s="9">
        <v>11411.1</v>
      </c>
      <c r="E974" s="9">
        <v>11464.0</v>
      </c>
      <c r="F974" s="9">
        <v>5.33468525E8</v>
      </c>
      <c r="G974" s="47">
        <v>18266.06</v>
      </c>
    </row>
    <row r="975" ht="14.25" customHeight="1">
      <c r="A975" s="46">
        <v>43755.0</v>
      </c>
      <c r="B975" s="9">
        <v>11466.3</v>
      </c>
      <c r="C975" s="9">
        <v>11599.1</v>
      </c>
      <c r="D975" s="9">
        <v>11439.65</v>
      </c>
      <c r="E975" s="9">
        <v>11586.35</v>
      </c>
      <c r="F975" s="9">
        <v>7.97572398E8</v>
      </c>
      <c r="G975" s="47">
        <v>20839.2</v>
      </c>
    </row>
    <row r="976" ht="14.25" customHeight="1">
      <c r="A976" s="46">
        <v>43756.0</v>
      </c>
      <c r="B976" s="9">
        <v>11580.3</v>
      </c>
      <c r="C976" s="9">
        <v>11684.7</v>
      </c>
      <c r="D976" s="9">
        <v>11553.15</v>
      </c>
      <c r="E976" s="9">
        <v>11661.85</v>
      </c>
      <c r="F976" s="9">
        <v>8.53440208E8</v>
      </c>
      <c r="G976" s="47">
        <v>22315.99</v>
      </c>
    </row>
    <row r="977" ht="14.25" customHeight="1">
      <c r="A977" s="46">
        <v>43760.0</v>
      </c>
      <c r="B977" s="9">
        <v>11657.15</v>
      </c>
      <c r="C977" s="9">
        <v>11714.35</v>
      </c>
      <c r="D977" s="9">
        <v>11573.65</v>
      </c>
      <c r="E977" s="9">
        <v>11588.35</v>
      </c>
      <c r="F977" s="9">
        <v>8.67601307E8</v>
      </c>
      <c r="G977" s="47">
        <v>29726.27</v>
      </c>
    </row>
    <row r="978" ht="14.25" customHeight="1">
      <c r="A978" s="46">
        <v>43761.0</v>
      </c>
      <c r="B978" s="9">
        <v>11596.2</v>
      </c>
      <c r="C978" s="9">
        <v>11651.6</v>
      </c>
      <c r="D978" s="9">
        <v>11554.4</v>
      </c>
      <c r="E978" s="9">
        <v>11604.1</v>
      </c>
      <c r="F978" s="9">
        <v>6.64159887E8</v>
      </c>
      <c r="G978" s="47">
        <v>23397.69</v>
      </c>
    </row>
    <row r="979" ht="14.25" customHeight="1">
      <c r="A979" s="46">
        <v>43762.0</v>
      </c>
      <c r="B979" s="9">
        <v>11661.65</v>
      </c>
      <c r="C979" s="9">
        <v>11679.6</v>
      </c>
      <c r="D979" s="9">
        <v>11534.65</v>
      </c>
      <c r="E979" s="9">
        <v>11582.6</v>
      </c>
      <c r="F979" s="9">
        <v>7.00481662E8</v>
      </c>
      <c r="G979" s="47">
        <v>25177.46</v>
      </c>
    </row>
    <row r="980" ht="14.25" customHeight="1">
      <c r="A980" s="46">
        <v>43763.0</v>
      </c>
      <c r="B980" s="9">
        <v>11646.15</v>
      </c>
      <c r="C980" s="9">
        <v>11646.9</v>
      </c>
      <c r="D980" s="9">
        <v>11490.75</v>
      </c>
      <c r="E980" s="9">
        <v>11583.9</v>
      </c>
      <c r="F980" s="9">
        <v>8.1202784E8</v>
      </c>
      <c r="G980" s="47">
        <v>23611.51</v>
      </c>
    </row>
    <row r="981" ht="14.25" customHeight="1">
      <c r="A981" s="46">
        <v>43765.0</v>
      </c>
      <c r="B981" s="9">
        <v>11662.25</v>
      </c>
      <c r="C981" s="9">
        <v>11672.4</v>
      </c>
      <c r="D981" s="9">
        <v>11604.6</v>
      </c>
      <c r="E981" s="9">
        <v>11627.15</v>
      </c>
      <c r="F981" s="9">
        <v>1.61779004E8</v>
      </c>
      <c r="G981" s="47">
        <v>3548.21</v>
      </c>
    </row>
    <row r="982" ht="14.25" customHeight="1">
      <c r="A982" s="46">
        <v>43767.0</v>
      </c>
      <c r="B982" s="9">
        <v>11643.95</v>
      </c>
      <c r="C982" s="9">
        <v>11809.4</v>
      </c>
      <c r="D982" s="9">
        <v>11627.35</v>
      </c>
      <c r="E982" s="9">
        <v>11786.85</v>
      </c>
      <c r="F982" s="9">
        <v>9.51722529E8</v>
      </c>
      <c r="G982" s="47">
        <v>27054.87</v>
      </c>
    </row>
    <row r="983" ht="14.25" customHeight="1">
      <c r="A983" s="46">
        <v>43768.0</v>
      </c>
      <c r="B983" s="9">
        <v>11883.9</v>
      </c>
      <c r="C983" s="9">
        <v>11883.95</v>
      </c>
      <c r="D983" s="9">
        <v>11784.45</v>
      </c>
      <c r="E983" s="9">
        <v>11844.1</v>
      </c>
      <c r="F983" s="9">
        <v>7.2521976E8</v>
      </c>
      <c r="G983" s="47">
        <v>22672.18</v>
      </c>
    </row>
    <row r="984" ht="14.25" customHeight="1">
      <c r="A984" s="46">
        <v>43769.0</v>
      </c>
      <c r="B984" s="9">
        <v>11890.45</v>
      </c>
      <c r="C984" s="9">
        <v>11945.0</v>
      </c>
      <c r="D984" s="9">
        <v>11855.1</v>
      </c>
      <c r="E984" s="9">
        <v>11877.45</v>
      </c>
      <c r="F984" s="9">
        <v>1.41483725E9</v>
      </c>
      <c r="G984" s="47">
        <v>31304.73</v>
      </c>
    </row>
    <row r="985" ht="14.25" customHeight="1">
      <c r="A985" s="46">
        <v>43770.0</v>
      </c>
      <c r="B985" s="9">
        <v>11886.6</v>
      </c>
      <c r="C985" s="9">
        <v>11918.3</v>
      </c>
      <c r="D985" s="9">
        <v>11843.35</v>
      </c>
      <c r="E985" s="9">
        <v>11890.6</v>
      </c>
      <c r="F985" s="9">
        <v>8.55338495E8</v>
      </c>
      <c r="G985" s="47">
        <v>24933.55</v>
      </c>
    </row>
    <row r="986" ht="14.25" customHeight="1">
      <c r="A986" s="46">
        <v>43773.0</v>
      </c>
      <c r="B986" s="9">
        <v>11928.9</v>
      </c>
      <c r="C986" s="9">
        <v>11989.15</v>
      </c>
      <c r="D986" s="9">
        <v>11905.35</v>
      </c>
      <c r="E986" s="9">
        <v>11941.3</v>
      </c>
      <c r="F986" s="9">
        <v>8.23050457E8</v>
      </c>
      <c r="G986" s="47">
        <v>23203.88</v>
      </c>
    </row>
    <row r="987" ht="14.25" customHeight="1">
      <c r="A987" s="46">
        <v>43774.0</v>
      </c>
      <c r="B987" s="9">
        <v>11974.6</v>
      </c>
      <c r="C987" s="9">
        <v>11978.95</v>
      </c>
      <c r="D987" s="9">
        <v>11861.9</v>
      </c>
      <c r="E987" s="9">
        <v>11917.2</v>
      </c>
      <c r="F987" s="9">
        <v>6.31952071E8</v>
      </c>
      <c r="G987" s="47">
        <v>20995.88</v>
      </c>
    </row>
    <row r="988" ht="14.25" customHeight="1">
      <c r="A988" s="46">
        <v>43775.0</v>
      </c>
      <c r="B988" s="9">
        <v>11911.5</v>
      </c>
      <c r="C988" s="9">
        <v>12002.9</v>
      </c>
      <c r="D988" s="9">
        <v>11850.25</v>
      </c>
      <c r="E988" s="9">
        <v>11966.05</v>
      </c>
      <c r="F988" s="9">
        <v>6.0335129E8</v>
      </c>
      <c r="G988" s="47">
        <v>23324.97</v>
      </c>
    </row>
    <row r="989" ht="14.25" customHeight="1">
      <c r="A989" s="46">
        <v>43776.0</v>
      </c>
      <c r="B989" s="9">
        <v>12021.1</v>
      </c>
      <c r="C989" s="9">
        <v>12021.4</v>
      </c>
      <c r="D989" s="9">
        <v>11946.85</v>
      </c>
      <c r="E989" s="9">
        <v>12012.05</v>
      </c>
      <c r="F989" s="9">
        <v>5.62963817E8</v>
      </c>
      <c r="G989" s="47">
        <v>20898.24</v>
      </c>
    </row>
    <row r="990" ht="14.25" customHeight="1">
      <c r="A990" s="46">
        <v>43777.0</v>
      </c>
      <c r="B990" s="9">
        <v>11987.15</v>
      </c>
      <c r="C990" s="9">
        <v>12034.15</v>
      </c>
      <c r="D990" s="9">
        <v>11888.75</v>
      </c>
      <c r="E990" s="9">
        <v>11908.15</v>
      </c>
      <c r="F990" s="9">
        <v>7.8925436E8</v>
      </c>
      <c r="G990" s="47">
        <v>22931.52</v>
      </c>
    </row>
    <row r="991" ht="14.25" customHeight="1">
      <c r="A991" s="46">
        <v>43780.0</v>
      </c>
      <c r="B991" s="9">
        <v>11879.2</v>
      </c>
      <c r="C991" s="9">
        <v>11932.65</v>
      </c>
      <c r="D991" s="9">
        <v>11853.95</v>
      </c>
      <c r="E991" s="9">
        <v>11913.45</v>
      </c>
      <c r="F991" s="9">
        <v>5.48979515E8</v>
      </c>
      <c r="G991" s="47">
        <v>16548.47</v>
      </c>
    </row>
    <row r="992" ht="14.25" customHeight="1">
      <c r="A992" s="46">
        <v>43782.0</v>
      </c>
      <c r="B992" s="9">
        <v>11908.3</v>
      </c>
      <c r="C992" s="9">
        <v>11946.8</v>
      </c>
      <c r="D992" s="9">
        <v>11823.2</v>
      </c>
      <c r="E992" s="9">
        <v>11840.45</v>
      </c>
      <c r="F992" s="9">
        <v>6.59035969E8</v>
      </c>
      <c r="G992" s="47">
        <v>20401.5</v>
      </c>
    </row>
    <row r="993" ht="14.25" customHeight="1">
      <c r="A993" s="46">
        <v>43783.0</v>
      </c>
      <c r="B993" s="9">
        <v>11858.75</v>
      </c>
      <c r="C993" s="9">
        <v>11895.65</v>
      </c>
      <c r="D993" s="9">
        <v>11802.65</v>
      </c>
      <c r="E993" s="9">
        <v>11872.1</v>
      </c>
      <c r="F993" s="9">
        <v>5.59494025E8</v>
      </c>
      <c r="G993" s="47">
        <v>19114.86</v>
      </c>
    </row>
    <row r="994" ht="14.25" customHeight="1">
      <c r="A994" s="46">
        <v>43784.0</v>
      </c>
      <c r="B994" s="9">
        <v>11904.2</v>
      </c>
      <c r="C994" s="9">
        <v>11973.65</v>
      </c>
      <c r="D994" s="9">
        <v>11879.25</v>
      </c>
      <c r="E994" s="9">
        <v>11895.45</v>
      </c>
      <c r="F994" s="9">
        <v>5.80154179E8</v>
      </c>
      <c r="G994" s="47">
        <v>22350.63</v>
      </c>
    </row>
    <row r="995" ht="14.25" customHeight="1">
      <c r="A995" s="46">
        <v>43787.0</v>
      </c>
      <c r="B995" s="9">
        <v>11915.15</v>
      </c>
      <c r="C995" s="9">
        <v>11946.2</v>
      </c>
      <c r="D995" s="9">
        <v>11867.6</v>
      </c>
      <c r="E995" s="9">
        <v>11884.5</v>
      </c>
      <c r="F995" s="9">
        <v>5.14352437E8</v>
      </c>
      <c r="G995" s="47">
        <v>17991.41</v>
      </c>
    </row>
    <row r="996" ht="14.25" customHeight="1">
      <c r="A996" s="46">
        <v>43788.0</v>
      </c>
      <c r="B996" s="9">
        <v>11919.45</v>
      </c>
      <c r="C996" s="9">
        <v>11958.85</v>
      </c>
      <c r="D996" s="9">
        <v>11881.75</v>
      </c>
      <c r="E996" s="9">
        <v>11940.1</v>
      </c>
      <c r="F996" s="9">
        <v>6.13909679E8</v>
      </c>
      <c r="G996" s="47">
        <v>21574.84</v>
      </c>
    </row>
    <row r="997" ht="14.25" customHeight="1">
      <c r="A997" s="46">
        <v>43789.0</v>
      </c>
      <c r="B997" s="9">
        <v>12004.75</v>
      </c>
      <c r="C997" s="9">
        <v>12038.6</v>
      </c>
      <c r="D997" s="9">
        <v>11966.05</v>
      </c>
      <c r="E997" s="9">
        <v>11999.1</v>
      </c>
      <c r="F997" s="9">
        <v>6.46661147E8</v>
      </c>
      <c r="G997" s="47">
        <v>24341.14</v>
      </c>
    </row>
    <row r="998" ht="14.25" customHeight="1">
      <c r="A998" s="46">
        <v>43790.0</v>
      </c>
      <c r="B998" s="9">
        <v>12025.65</v>
      </c>
      <c r="C998" s="9">
        <v>12028.2</v>
      </c>
      <c r="D998" s="9">
        <v>11956.9</v>
      </c>
      <c r="E998" s="9">
        <v>11968.4</v>
      </c>
      <c r="F998" s="9">
        <v>5.57685781E8</v>
      </c>
      <c r="G998" s="47">
        <v>21609.99</v>
      </c>
    </row>
    <row r="999" ht="14.25" customHeight="1">
      <c r="A999" s="46">
        <v>43791.0</v>
      </c>
      <c r="B999" s="9">
        <v>11967.3</v>
      </c>
      <c r="C999" s="9">
        <v>11968.1</v>
      </c>
      <c r="D999" s="9">
        <v>11883.5</v>
      </c>
      <c r="E999" s="9">
        <v>11914.4</v>
      </c>
      <c r="F999" s="9">
        <v>4.86815185E8</v>
      </c>
      <c r="G999" s="47">
        <v>19243.57</v>
      </c>
    </row>
    <row r="1000" ht="14.25" customHeight="1">
      <c r="A1000" s="46">
        <v>43794.0</v>
      </c>
      <c r="B1000" s="9">
        <v>11922.45</v>
      </c>
      <c r="C1000" s="9">
        <v>12084.5</v>
      </c>
      <c r="D1000" s="9">
        <v>11919.75</v>
      </c>
      <c r="E1000" s="9">
        <v>12073.75</v>
      </c>
      <c r="F1000" s="9">
        <v>5.34289467E8</v>
      </c>
      <c r="G1000" s="47">
        <v>19990.44</v>
      </c>
    </row>
    <row r="1001" ht="14.25" customHeight="1">
      <c r="A1001" s="46">
        <v>43795.0</v>
      </c>
      <c r="B1001" s="9">
        <v>12110.2</v>
      </c>
      <c r="C1001" s="9">
        <v>12132.45</v>
      </c>
      <c r="D1001" s="9">
        <v>12006.35</v>
      </c>
      <c r="E1001" s="9">
        <v>12037.7</v>
      </c>
      <c r="F1001" s="9">
        <v>1.201335831E9</v>
      </c>
      <c r="G1001" s="47">
        <v>46030.62</v>
      </c>
    </row>
    <row r="1002" ht="14.25" customHeight="1">
      <c r="A1002" s="46">
        <v>43796.0</v>
      </c>
      <c r="B1002" s="9">
        <v>12068.5</v>
      </c>
      <c r="C1002" s="9">
        <v>12114.9</v>
      </c>
      <c r="D1002" s="9">
        <v>12055.15</v>
      </c>
      <c r="E1002" s="9">
        <v>12100.7</v>
      </c>
      <c r="F1002" s="9">
        <v>5.84226618E8</v>
      </c>
      <c r="G1002" s="47">
        <v>19937.4</v>
      </c>
    </row>
    <row r="1003" ht="14.25" customHeight="1">
      <c r="A1003" s="46">
        <v>43797.0</v>
      </c>
      <c r="B1003" s="9">
        <v>12132.1</v>
      </c>
      <c r="C1003" s="9">
        <v>12158.8</v>
      </c>
      <c r="D1003" s="9">
        <v>12099.95</v>
      </c>
      <c r="E1003" s="9">
        <v>12151.15</v>
      </c>
      <c r="F1003" s="9">
        <v>6.20479403E8</v>
      </c>
      <c r="G1003" s="47">
        <v>21229.58</v>
      </c>
    </row>
    <row r="1004" ht="14.25" customHeight="1">
      <c r="A1004" s="46">
        <v>43798.0</v>
      </c>
      <c r="B1004" s="9">
        <v>12146.2</v>
      </c>
      <c r="C1004" s="9">
        <v>12147.4</v>
      </c>
      <c r="D1004" s="9">
        <v>12017.4</v>
      </c>
      <c r="E1004" s="9">
        <v>12056.05</v>
      </c>
      <c r="F1004" s="9">
        <v>8.04430391E8</v>
      </c>
      <c r="G1004" s="47">
        <v>21838.04</v>
      </c>
    </row>
    <row r="1005" ht="14.25" customHeight="1">
      <c r="A1005" s="46">
        <v>43801.0</v>
      </c>
      <c r="B1005" s="9">
        <v>12137.05</v>
      </c>
      <c r="C1005" s="9">
        <v>12137.15</v>
      </c>
      <c r="D1005" s="9">
        <v>12023.7</v>
      </c>
      <c r="E1005" s="9">
        <v>12048.2</v>
      </c>
      <c r="F1005" s="9">
        <v>7.20945335E8</v>
      </c>
      <c r="G1005" s="47">
        <v>23113.18</v>
      </c>
    </row>
    <row r="1006" ht="14.25" customHeight="1">
      <c r="A1006" s="46">
        <v>43802.0</v>
      </c>
      <c r="B1006" s="9">
        <v>12067.65</v>
      </c>
      <c r="C1006" s="9">
        <v>12068.6</v>
      </c>
      <c r="D1006" s="9">
        <v>11956.4</v>
      </c>
      <c r="E1006" s="9">
        <v>11994.2</v>
      </c>
      <c r="F1006" s="9">
        <v>6.05789334E8</v>
      </c>
      <c r="G1006" s="47">
        <v>18203.76</v>
      </c>
    </row>
    <row r="1007" ht="14.25" customHeight="1">
      <c r="A1007" s="46">
        <v>43803.0</v>
      </c>
      <c r="B1007" s="9">
        <v>11969.95</v>
      </c>
      <c r="C1007" s="9">
        <v>12054.7</v>
      </c>
      <c r="D1007" s="9">
        <v>11935.3</v>
      </c>
      <c r="E1007" s="9">
        <v>12043.2</v>
      </c>
      <c r="F1007" s="9">
        <v>7.47193818E8</v>
      </c>
      <c r="G1007" s="47">
        <v>22132.83</v>
      </c>
    </row>
    <row r="1008" ht="14.25" customHeight="1">
      <c r="A1008" s="46">
        <v>43804.0</v>
      </c>
      <c r="B1008" s="9">
        <v>12071.25</v>
      </c>
      <c r="C1008" s="9">
        <v>12081.2</v>
      </c>
      <c r="D1008" s="9">
        <v>11998.75</v>
      </c>
      <c r="E1008" s="9">
        <v>12018.4</v>
      </c>
      <c r="F1008" s="9">
        <v>5.62228745E8</v>
      </c>
      <c r="G1008" s="47">
        <v>19589.81</v>
      </c>
    </row>
    <row r="1009" ht="14.25" customHeight="1">
      <c r="A1009" s="46">
        <v>43805.0</v>
      </c>
      <c r="B1009" s="9">
        <v>12047.35</v>
      </c>
      <c r="C1009" s="9">
        <v>12057.05</v>
      </c>
      <c r="D1009" s="9">
        <v>11888.85</v>
      </c>
      <c r="E1009" s="9">
        <v>11921.5</v>
      </c>
      <c r="F1009" s="9">
        <v>6.09221205E8</v>
      </c>
      <c r="G1009" s="47">
        <v>18245.49</v>
      </c>
    </row>
    <row r="1010" ht="14.25" customHeight="1">
      <c r="A1010" s="46">
        <v>43808.0</v>
      </c>
      <c r="B1010" s="9">
        <v>11939.1</v>
      </c>
      <c r="C1010" s="9">
        <v>11981.95</v>
      </c>
      <c r="D1010" s="9">
        <v>11888.05</v>
      </c>
      <c r="E1010" s="9">
        <v>11937.5</v>
      </c>
      <c r="F1010" s="9">
        <v>5.99115748E8</v>
      </c>
      <c r="G1010" s="47">
        <v>16672.87</v>
      </c>
    </row>
    <row r="1011" ht="14.25" customHeight="1">
      <c r="A1011" s="46">
        <v>43809.0</v>
      </c>
      <c r="B1011" s="9">
        <v>11950.5</v>
      </c>
      <c r="C1011" s="9">
        <v>11953.2</v>
      </c>
      <c r="D1011" s="9">
        <v>11844.7</v>
      </c>
      <c r="E1011" s="9">
        <v>11856.8</v>
      </c>
      <c r="F1011" s="9">
        <v>6.50219487E8</v>
      </c>
      <c r="G1011" s="47">
        <v>16514.63</v>
      </c>
    </row>
    <row r="1012" ht="14.25" customHeight="1">
      <c r="A1012" s="46">
        <v>43810.0</v>
      </c>
      <c r="B1012" s="9">
        <v>11867.35</v>
      </c>
      <c r="C1012" s="9">
        <v>11923.2</v>
      </c>
      <c r="D1012" s="9">
        <v>11832.3</v>
      </c>
      <c r="E1012" s="9">
        <v>11910.15</v>
      </c>
      <c r="F1012" s="9">
        <v>9.97655048E8</v>
      </c>
      <c r="G1012" s="47">
        <v>18760.57</v>
      </c>
    </row>
    <row r="1013" ht="14.25" customHeight="1">
      <c r="A1013" s="46">
        <v>43811.0</v>
      </c>
      <c r="B1013" s="9">
        <v>11944.3</v>
      </c>
      <c r="C1013" s="9">
        <v>12005.5</v>
      </c>
      <c r="D1013" s="9">
        <v>11934.0</v>
      </c>
      <c r="E1013" s="9">
        <v>11971.8</v>
      </c>
      <c r="F1013" s="9">
        <v>7.52617138E8</v>
      </c>
      <c r="G1013" s="47">
        <v>18401.22</v>
      </c>
    </row>
    <row r="1014" ht="14.25" customHeight="1">
      <c r="A1014" s="46">
        <v>43812.0</v>
      </c>
      <c r="B1014" s="9">
        <v>12026.4</v>
      </c>
      <c r="C1014" s="9">
        <v>12098.85</v>
      </c>
      <c r="D1014" s="9">
        <v>12023.6</v>
      </c>
      <c r="E1014" s="9">
        <v>12086.7</v>
      </c>
      <c r="F1014" s="9">
        <v>5.97712516E8</v>
      </c>
      <c r="G1014" s="47">
        <v>20626.8</v>
      </c>
    </row>
    <row r="1015" ht="14.25" customHeight="1">
      <c r="A1015" s="46">
        <v>43815.0</v>
      </c>
      <c r="B1015" s="9">
        <v>12131.35</v>
      </c>
      <c r="C1015" s="9">
        <v>12134.65</v>
      </c>
      <c r="D1015" s="9">
        <v>12046.3</v>
      </c>
      <c r="E1015" s="9">
        <v>12053.95</v>
      </c>
      <c r="F1015" s="9">
        <v>4.37703921E8</v>
      </c>
      <c r="G1015" s="47">
        <v>16110.34</v>
      </c>
    </row>
    <row r="1016" ht="14.25" customHeight="1">
      <c r="A1016" s="46">
        <v>43816.0</v>
      </c>
      <c r="B1016" s="9">
        <v>12082.45</v>
      </c>
      <c r="C1016" s="9">
        <v>12182.75</v>
      </c>
      <c r="D1016" s="9">
        <v>12070.35</v>
      </c>
      <c r="E1016" s="9">
        <v>12165.0</v>
      </c>
      <c r="F1016" s="9">
        <v>4.99585789E8</v>
      </c>
      <c r="G1016" s="47">
        <v>20968.79</v>
      </c>
    </row>
    <row r="1017" ht="14.25" customHeight="1">
      <c r="A1017" s="46">
        <v>43817.0</v>
      </c>
      <c r="B1017" s="9">
        <v>12197.0</v>
      </c>
      <c r="C1017" s="9">
        <v>12237.7</v>
      </c>
      <c r="D1017" s="9">
        <v>12163.45</v>
      </c>
      <c r="E1017" s="9">
        <v>12221.65</v>
      </c>
      <c r="F1017" s="9">
        <v>5.18854651E8</v>
      </c>
      <c r="G1017" s="47">
        <v>22341.06</v>
      </c>
    </row>
    <row r="1018" ht="14.25" customHeight="1">
      <c r="A1018" s="46">
        <v>43818.0</v>
      </c>
      <c r="B1018" s="9">
        <v>12223.4</v>
      </c>
      <c r="C1018" s="9">
        <v>12268.35</v>
      </c>
      <c r="D1018" s="9">
        <v>12191.15</v>
      </c>
      <c r="E1018" s="9">
        <v>12259.7</v>
      </c>
      <c r="F1018" s="9">
        <v>6.23049839E8</v>
      </c>
      <c r="G1018" s="47">
        <v>19761.9</v>
      </c>
    </row>
    <row r="1019" ht="14.25" customHeight="1">
      <c r="A1019" s="46">
        <v>43819.0</v>
      </c>
      <c r="B1019" s="9">
        <v>12266.45</v>
      </c>
      <c r="C1019" s="9">
        <v>12293.9</v>
      </c>
      <c r="D1019" s="9">
        <v>12252.75</v>
      </c>
      <c r="E1019" s="9">
        <v>12271.8</v>
      </c>
      <c r="F1019" s="9">
        <v>8.1067609E8</v>
      </c>
      <c r="G1019" s="47">
        <v>25750.24</v>
      </c>
    </row>
    <row r="1020" ht="14.25" customHeight="1">
      <c r="A1020" s="46">
        <v>43822.0</v>
      </c>
      <c r="B1020" s="9">
        <v>12235.45</v>
      </c>
      <c r="C1020" s="9">
        <v>12287.15</v>
      </c>
      <c r="D1020" s="9">
        <v>12213.25</v>
      </c>
      <c r="E1020" s="9">
        <v>12262.75</v>
      </c>
      <c r="F1020" s="9">
        <v>6.04782354E8</v>
      </c>
      <c r="G1020" s="47">
        <v>18078.23</v>
      </c>
    </row>
    <row r="1021" ht="14.25" customHeight="1">
      <c r="A1021" s="46">
        <v>43823.0</v>
      </c>
      <c r="B1021" s="9">
        <v>12269.25</v>
      </c>
      <c r="C1021" s="9">
        <v>12283.7</v>
      </c>
      <c r="D1021" s="9">
        <v>12202.1</v>
      </c>
      <c r="E1021" s="9">
        <v>12214.55</v>
      </c>
      <c r="F1021" s="9">
        <v>4.70290298E8</v>
      </c>
      <c r="G1021" s="47">
        <v>13864.56</v>
      </c>
    </row>
    <row r="1022" ht="14.25" customHeight="1">
      <c r="A1022" s="46">
        <v>43825.0</v>
      </c>
      <c r="B1022" s="9">
        <v>12211.85</v>
      </c>
      <c r="C1022" s="9">
        <v>12221.55</v>
      </c>
      <c r="D1022" s="9">
        <v>12118.85</v>
      </c>
      <c r="E1022" s="9">
        <v>12126.55</v>
      </c>
      <c r="F1022" s="9">
        <v>5.20326632E8</v>
      </c>
      <c r="G1022" s="47">
        <v>16362.31</v>
      </c>
    </row>
    <row r="1023" ht="14.25" customHeight="1">
      <c r="A1023" s="46">
        <v>43826.0</v>
      </c>
      <c r="B1023" s="9">
        <v>12172.9</v>
      </c>
      <c r="C1023" s="9">
        <v>12258.45</v>
      </c>
      <c r="D1023" s="9">
        <v>12157.9</v>
      </c>
      <c r="E1023" s="9">
        <v>12245.8</v>
      </c>
      <c r="F1023" s="9">
        <v>3.83788556E8</v>
      </c>
      <c r="G1023" s="47">
        <v>13676.2</v>
      </c>
    </row>
    <row r="1024" ht="14.25" customHeight="1">
      <c r="A1024" s="46">
        <v>43829.0</v>
      </c>
      <c r="B1024" s="9">
        <v>12274.9</v>
      </c>
      <c r="C1024" s="9">
        <v>12286.45</v>
      </c>
      <c r="D1024" s="9">
        <v>12213.8</v>
      </c>
      <c r="E1024" s="9">
        <v>12255.85</v>
      </c>
      <c r="F1024" s="9">
        <v>4.11084614E8</v>
      </c>
      <c r="G1024" s="47">
        <v>14556.73</v>
      </c>
    </row>
    <row r="1025" ht="14.25" customHeight="1">
      <c r="A1025" s="46">
        <v>43830.0</v>
      </c>
      <c r="B1025" s="9">
        <v>12247.1</v>
      </c>
      <c r="C1025" s="9">
        <v>12247.1</v>
      </c>
      <c r="D1025" s="9">
        <v>12151.8</v>
      </c>
      <c r="E1025" s="9">
        <v>12168.45</v>
      </c>
      <c r="F1025" s="9">
        <v>4.26931711E8</v>
      </c>
      <c r="G1025" s="47">
        <v>14812.89</v>
      </c>
    </row>
    <row r="1026" ht="14.25" customHeight="1">
      <c r="A1026" s="46">
        <v>43831.0</v>
      </c>
      <c r="B1026" s="9">
        <v>12202.15</v>
      </c>
      <c r="C1026" s="9">
        <v>12222.2</v>
      </c>
      <c r="D1026" s="9">
        <v>12165.3</v>
      </c>
      <c r="E1026" s="9">
        <v>12182.5</v>
      </c>
      <c r="F1026" s="9">
        <v>3.04078039E8</v>
      </c>
      <c r="G1026" s="47">
        <v>10445.68</v>
      </c>
    </row>
    <row r="1027" ht="14.25" customHeight="1">
      <c r="A1027" s="46">
        <v>43832.0</v>
      </c>
      <c r="B1027" s="9">
        <v>12198.55</v>
      </c>
      <c r="C1027" s="9">
        <v>12289.9</v>
      </c>
      <c r="D1027" s="9">
        <v>12195.25</v>
      </c>
      <c r="E1027" s="9">
        <v>12282.2</v>
      </c>
      <c r="F1027" s="9">
        <v>4.07697594E8</v>
      </c>
      <c r="G1027" s="47">
        <v>15256.55</v>
      </c>
    </row>
    <row r="1028" ht="14.25" customHeight="1">
      <c r="A1028" s="46">
        <v>43833.0</v>
      </c>
      <c r="B1028" s="9">
        <v>12261.1</v>
      </c>
      <c r="C1028" s="9">
        <v>12265.6</v>
      </c>
      <c r="D1028" s="9">
        <v>12191.35</v>
      </c>
      <c r="E1028" s="9">
        <v>12226.65</v>
      </c>
      <c r="F1028" s="9">
        <v>4.28770054E8</v>
      </c>
      <c r="G1028" s="47">
        <v>16827.27</v>
      </c>
    </row>
    <row r="1029" ht="14.25" customHeight="1">
      <c r="A1029" s="46">
        <v>43836.0</v>
      </c>
      <c r="B1029" s="9">
        <v>12170.6</v>
      </c>
      <c r="C1029" s="9">
        <v>12179.1</v>
      </c>
      <c r="D1029" s="9">
        <v>11974.2</v>
      </c>
      <c r="E1029" s="9">
        <v>11993.05</v>
      </c>
      <c r="F1029" s="9">
        <v>3.96501419E8</v>
      </c>
      <c r="G1029" s="47">
        <v>16869.22</v>
      </c>
    </row>
    <row r="1030" ht="14.25" customHeight="1">
      <c r="A1030" s="46">
        <v>43837.0</v>
      </c>
      <c r="B1030" s="9">
        <v>12079.1</v>
      </c>
      <c r="C1030" s="9">
        <v>12152.15</v>
      </c>
      <c r="D1030" s="9">
        <v>12005.35</v>
      </c>
      <c r="E1030" s="9">
        <v>12052.95</v>
      </c>
      <c r="F1030" s="9">
        <v>4.47818617E8</v>
      </c>
      <c r="G1030" s="47">
        <v>17797.68</v>
      </c>
    </row>
    <row r="1031" ht="14.25" customHeight="1">
      <c r="A1031" s="46">
        <v>43838.0</v>
      </c>
      <c r="B1031" s="9">
        <v>11939.1</v>
      </c>
      <c r="C1031" s="9">
        <v>12044.95</v>
      </c>
      <c r="D1031" s="9">
        <v>11929.6</v>
      </c>
      <c r="E1031" s="9">
        <v>12025.35</v>
      </c>
      <c r="F1031" s="9">
        <v>4.4599164E8</v>
      </c>
      <c r="G1031" s="47">
        <v>18281.15</v>
      </c>
    </row>
    <row r="1032" ht="14.25" customHeight="1">
      <c r="A1032" s="46">
        <v>43839.0</v>
      </c>
      <c r="B1032" s="9">
        <v>12153.15</v>
      </c>
      <c r="C1032" s="9">
        <v>12224.05</v>
      </c>
      <c r="D1032" s="9">
        <v>12132.55</v>
      </c>
      <c r="E1032" s="9">
        <v>12215.9</v>
      </c>
      <c r="F1032" s="9">
        <v>4.77469878E8</v>
      </c>
      <c r="G1032" s="47">
        <v>18456.64</v>
      </c>
    </row>
    <row r="1033" ht="14.25" customHeight="1">
      <c r="A1033" s="46">
        <v>43840.0</v>
      </c>
      <c r="B1033" s="9">
        <v>12271.0</v>
      </c>
      <c r="C1033" s="9">
        <v>12311.2</v>
      </c>
      <c r="D1033" s="9">
        <v>12213.2</v>
      </c>
      <c r="E1033" s="9">
        <v>12256.8</v>
      </c>
      <c r="F1033" s="9">
        <v>6.6062793E8</v>
      </c>
      <c r="G1033" s="47">
        <v>18818.62</v>
      </c>
    </row>
    <row r="1034" ht="14.25" customHeight="1">
      <c r="A1034" s="46">
        <v>43843.0</v>
      </c>
      <c r="B1034" s="9">
        <v>12296.7</v>
      </c>
      <c r="C1034" s="9">
        <v>12337.75</v>
      </c>
      <c r="D1034" s="9">
        <v>12285.8</v>
      </c>
      <c r="E1034" s="9">
        <v>12329.55</v>
      </c>
      <c r="F1034" s="9">
        <v>5.00968242E8</v>
      </c>
      <c r="G1034" s="47">
        <v>17522.13</v>
      </c>
    </row>
    <row r="1035" ht="14.25" customHeight="1">
      <c r="A1035" s="46">
        <v>43844.0</v>
      </c>
      <c r="B1035" s="9">
        <v>12333.1</v>
      </c>
      <c r="C1035" s="9">
        <v>12374.25</v>
      </c>
      <c r="D1035" s="9">
        <v>12308.7</v>
      </c>
      <c r="E1035" s="9">
        <v>12362.3</v>
      </c>
      <c r="F1035" s="9">
        <v>6.16260555E8</v>
      </c>
      <c r="G1035" s="47">
        <v>17948.92</v>
      </c>
    </row>
    <row r="1036" ht="14.25" customHeight="1">
      <c r="A1036" s="46">
        <v>43845.0</v>
      </c>
      <c r="B1036" s="9">
        <v>12349.4</v>
      </c>
      <c r="C1036" s="9">
        <v>12355.15</v>
      </c>
      <c r="D1036" s="9">
        <v>12278.75</v>
      </c>
      <c r="E1036" s="9">
        <v>12343.3</v>
      </c>
      <c r="F1036" s="9">
        <v>6.84352965E8</v>
      </c>
      <c r="G1036" s="47">
        <v>17882.51</v>
      </c>
    </row>
    <row r="1037" ht="14.25" customHeight="1">
      <c r="A1037" s="46">
        <v>43846.0</v>
      </c>
      <c r="B1037" s="9">
        <v>12347.1</v>
      </c>
      <c r="C1037" s="9">
        <v>12389.05</v>
      </c>
      <c r="D1037" s="9">
        <v>12315.8</v>
      </c>
      <c r="E1037" s="9">
        <v>12355.5</v>
      </c>
      <c r="F1037" s="9">
        <v>3.95670245E8</v>
      </c>
      <c r="G1037" s="47">
        <v>16004.06</v>
      </c>
    </row>
    <row r="1038" ht="14.25" customHeight="1">
      <c r="A1038" s="46">
        <v>43847.0</v>
      </c>
      <c r="B1038" s="9">
        <v>12328.4</v>
      </c>
      <c r="C1038" s="9">
        <v>12385.45</v>
      </c>
      <c r="D1038" s="9">
        <v>12321.4</v>
      </c>
      <c r="E1038" s="9">
        <v>12352.35</v>
      </c>
      <c r="F1038" s="9">
        <v>5.02060615E8</v>
      </c>
      <c r="G1038" s="47">
        <v>21397.63</v>
      </c>
    </row>
    <row r="1039" ht="14.25" customHeight="1">
      <c r="A1039" s="46">
        <v>43850.0</v>
      </c>
      <c r="B1039" s="9">
        <v>12430.5</v>
      </c>
      <c r="C1039" s="9">
        <v>12430.5</v>
      </c>
      <c r="D1039" s="9">
        <v>12216.9</v>
      </c>
      <c r="E1039" s="9">
        <v>12224.55</v>
      </c>
      <c r="F1039" s="9">
        <v>4.91609317E8</v>
      </c>
      <c r="G1039" s="47">
        <v>21415.43</v>
      </c>
    </row>
    <row r="1040" ht="14.25" customHeight="1">
      <c r="A1040" s="46">
        <v>43851.0</v>
      </c>
      <c r="B1040" s="9">
        <v>12195.3</v>
      </c>
      <c r="C1040" s="9">
        <v>12230.05</v>
      </c>
      <c r="D1040" s="9">
        <v>12162.3</v>
      </c>
      <c r="E1040" s="9">
        <v>12169.85</v>
      </c>
      <c r="F1040" s="9">
        <v>4.43976442E8</v>
      </c>
      <c r="G1040" s="47">
        <v>18682.65</v>
      </c>
    </row>
    <row r="1041" ht="14.25" customHeight="1">
      <c r="A1041" s="46">
        <v>43852.0</v>
      </c>
      <c r="B1041" s="9">
        <v>12218.35</v>
      </c>
      <c r="C1041" s="9">
        <v>12225.05</v>
      </c>
      <c r="D1041" s="9">
        <v>12087.9</v>
      </c>
      <c r="E1041" s="9">
        <v>12106.9</v>
      </c>
      <c r="F1041" s="9">
        <v>5.26294513E8</v>
      </c>
      <c r="G1041" s="47">
        <v>19758.68</v>
      </c>
    </row>
    <row r="1042" ht="14.25" customHeight="1">
      <c r="A1042" s="46">
        <v>43853.0</v>
      </c>
      <c r="B1042" s="9">
        <v>12123.75</v>
      </c>
      <c r="C1042" s="9">
        <v>12189.0</v>
      </c>
      <c r="D1042" s="9">
        <v>12094.1</v>
      </c>
      <c r="E1042" s="9">
        <v>12180.35</v>
      </c>
      <c r="F1042" s="9">
        <v>8.67653663E8</v>
      </c>
      <c r="G1042" s="47">
        <v>23829.39</v>
      </c>
    </row>
    <row r="1043" ht="14.25" customHeight="1">
      <c r="A1043" s="46">
        <v>43854.0</v>
      </c>
      <c r="B1043" s="9">
        <v>12174.55</v>
      </c>
      <c r="C1043" s="9">
        <v>12272.15</v>
      </c>
      <c r="D1043" s="9">
        <v>12149.65</v>
      </c>
      <c r="E1043" s="9">
        <v>12248.25</v>
      </c>
      <c r="F1043" s="9">
        <v>5.93237908E8</v>
      </c>
      <c r="G1043" s="47">
        <v>18032.27</v>
      </c>
    </row>
    <row r="1044" ht="14.25" customHeight="1">
      <c r="A1044" s="46">
        <v>43857.0</v>
      </c>
      <c r="B1044" s="9">
        <v>12197.1</v>
      </c>
      <c r="C1044" s="9">
        <v>12216.6</v>
      </c>
      <c r="D1044" s="9">
        <v>12107.0</v>
      </c>
      <c r="E1044" s="9">
        <v>12119.0</v>
      </c>
      <c r="F1044" s="9">
        <v>4.41158138E8</v>
      </c>
      <c r="G1044" s="47">
        <v>17988.61</v>
      </c>
    </row>
    <row r="1045" ht="14.25" customHeight="1">
      <c r="A1045" s="46">
        <v>43858.0</v>
      </c>
      <c r="B1045" s="9">
        <v>12148.1</v>
      </c>
      <c r="C1045" s="9">
        <v>12163.55</v>
      </c>
      <c r="D1045" s="9">
        <v>12024.5</v>
      </c>
      <c r="E1045" s="9">
        <v>12055.8</v>
      </c>
      <c r="F1045" s="9">
        <v>4.78484057E8</v>
      </c>
      <c r="G1045" s="47">
        <v>20917.62</v>
      </c>
    </row>
    <row r="1046" ht="14.25" customHeight="1">
      <c r="A1046" s="46">
        <v>43859.0</v>
      </c>
      <c r="B1046" s="9">
        <v>12114.9</v>
      </c>
      <c r="C1046" s="9">
        <v>12169.6</v>
      </c>
      <c r="D1046" s="9">
        <v>12103.8</v>
      </c>
      <c r="E1046" s="9">
        <v>12129.5</v>
      </c>
      <c r="F1046" s="9">
        <v>5.1436234E8</v>
      </c>
      <c r="G1046" s="47">
        <v>20646.18</v>
      </c>
    </row>
    <row r="1047" ht="14.25" customHeight="1">
      <c r="A1047" s="46">
        <v>43860.0</v>
      </c>
      <c r="B1047" s="9">
        <v>12147.75</v>
      </c>
      <c r="C1047" s="9">
        <v>12150.3</v>
      </c>
      <c r="D1047" s="9">
        <v>12010.6</v>
      </c>
      <c r="E1047" s="9">
        <v>12035.8</v>
      </c>
      <c r="F1047" s="9">
        <v>5.38138743E8</v>
      </c>
      <c r="G1047" s="47">
        <v>19372.67</v>
      </c>
    </row>
    <row r="1048" ht="14.25" customHeight="1">
      <c r="A1048" s="46">
        <v>43861.0</v>
      </c>
      <c r="B1048" s="9">
        <v>12100.4</v>
      </c>
      <c r="C1048" s="9">
        <v>12103.55</v>
      </c>
      <c r="D1048" s="9">
        <v>11945.85</v>
      </c>
      <c r="E1048" s="9">
        <v>11962.1</v>
      </c>
      <c r="F1048" s="9">
        <v>7.71278258E8</v>
      </c>
      <c r="G1048" s="47">
        <v>26044.91</v>
      </c>
    </row>
    <row r="1049" ht="14.25" customHeight="1">
      <c r="A1049" s="46">
        <v>43862.0</v>
      </c>
      <c r="B1049" s="9">
        <v>11939.0</v>
      </c>
      <c r="C1049" s="9">
        <v>12017.35</v>
      </c>
      <c r="D1049" s="9">
        <v>11633.3</v>
      </c>
      <c r="E1049" s="9">
        <v>11661.85</v>
      </c>
      <c r="F1049" s="9">
        <v>5.37634767E8</v>
      </c>
      <c r="G1049" s="47">
        <v>20598.12</v>
      </c>
    </row>
    <row r="1050" ht="14.25" customHeight="1">
      <c r="A1050" s="46">
        <v>43864.0</v>
      </c>
      <c r="B1050" s="9">
        <v>11627.45</v>
      </c>
      <c r="C1050" s="9">
        <v>11749.85</v>
      </c>
      <c r="D1050" s="9">
        <v>11614.5</v>
      </c>
      <c r="E1050" s="9">
        <v>11707.9</v>
      </c>
      <c r="F1050" s="9">
        <v>6.69815788E8</v>
      </c>
      <c r="G1050" s="47">
        <v>25415.26</v>
      </c>
    </row>
    <row r="1051" ht="14.25" customHeight="1">
      <c r="A1051" s="46">
        <v>43865.0</v>
      </c>
      <c r="B1051" s="9">
        <v>11786.25</v>
      </c>
      <c r="C1051" s="9">
        <v>11986.15</v>
      </c>
      <c r="D1051" s="9">
        <v>11783.4</v>
      </c>
      <c r="E1051" s="9">
        <v>11979.65</v>
      </c>
      <c r="F1051" s="9">
        <v>5.60430291E8</v>
      </c>
      <c r="G1051" s="47">
        <v>22338.5</v>
      </c>
    </row>
    <row r="1052" ht="14.25" customHeight="1">
      <c r="A1052" s="46">
        <v>43866.0</v>
      </c>
      <c r="B1052" s="9">
        <v>12005.85</v>
      </c>
      <c r="C1052" s="9">
        <v>12098.15</v>
      </c>
      <c r="D1052" s="9">
        <v>11953.35</v>
      </c>
      <c r="E1052" s="9">
        <v>12089.15</v>
      </c>
      <c r="F1052" s="9">
        <v>7.5803258E8</v>
      </c>
      <c r="G1052" s="47">
        <v>22998.05</v>
      </c>
    </row>
    <row r="1053" ht="14.25" customHeight="1">
      <c r="A1053" s="46">
        <v>43867.0</v>
      </c>
      <c r="B1053" s="9">
        <v>12120.0</v>
      </c>
      <c r="C1053" s="9">
        <v>12160.6</v>
      </c>
      <c r="D1053" s="9">
        <v>12084.65</v>
      </c>
      <c r="E1053" s="9">
        <v>12137.95</v>
      </c>
      <c r="F1053" s="9">
        <v>5.65116236E8</v>
      </c>
      <c r="G1053" s="47">
        <v>21735.92</v>
      </c>
    </row>
    <row r="1054" ht="14.25" customHeight="1">
      <c r="A1054" s="46">
        <v>43868.0</v>
      </c>
      <c r="B1054" s="9">
        <v>12151.15</v>
      </c>
      <c r="C1054" s="9">
        <v>12154.7</v>
      </c>
      <c r="D1054" s="9">
        <v>12073.95</v>
      </c>
      <c r="E1054" s="9">
        <v>12098.35</v>
      </c>
      <c r="F1054" s="9">
        <v>4.73475144E8</v>
      </c>
      <c r="G1054" s="47">
        <v>16339.61</v>
      </c>
    </row>
    <row r="1055" ht="14.25" customHeight="1">
      <c r="A1055" s="46">
        <v>43871.0</v>
      </c>
      <c r="B1055" s="9">
        <v>12102.35</v>
      </c>
      <c r="C1055" s="9">
        <v>12103.55</v>
      </c>
      <c r="D1055" s="9">
        <v>11990.75</v>
      </c>
      <c r="E1055" s="9">
        <v>12031.5</v>
      </c>
      <c r="F1055" s="9">
        <v>5.25674715E8</v>
      </c>
      <c r="G1055" s="47">
        <v>17185.14</v>
      </c>
    </row>
    <row r="1056" ht="14.25" customHeight="1">
      <c r="A1056" s="46">
        <v>43872.0</v>
      </c>
      <c r="B1056" s="9">
        <v>12108.4</v>
      </c>
      <c r="C1056" s="9">
        <v>12172.3</v>
      </c>
      <c r="D1056" s="9">
        <v>12099.0</v>
      </c>
      <c r="E1056" s="9">
        <v>12107.9</v>
      </c>
      <c r="F1056" s="9">
        <v>4.80491557E8</v>
      </c>
      <c r="G1056" s="47">
        <v>16209.52</v>
      </c>
    </row>
    <row r="1057" ht="14.25" customHeight="1">
      <c r="A1057" s="46">
        <v>43873.0</v>
      </c>
      <c r="B1057" s="9">
        <v>12151.0</v>
      </c>
      <c r="C1057" s="9">
        <v>12231.75</v>
      </c>
      <c r="D1057" s="9">
        <v>12144.3</v>
      </c>
      <c r="E1057" s="9">
        <v>12201.2</v>
      </c>
      <c r="F1057" s="9">
        <v>4.12399174E8</v>
      </c>
      <c r="G1057" s="47">
        <v>16598.33</v>
      </c>
    </row>
    <row r="1058" ht="14.25" customHeight="1">
      <c r="A1058" s="46">
        <v>43874.0</v>
      </c>
      <c r="B1058" s="9">
        <v>12219.55</v>
      </c>
      <c r="C1058" s="9">
        <v>12225.65</v>
      </c>
      <c r="D1058" s="9">
        <v>12139.8</v>
      </c>
      <c r="E1058" s="9">
        <v>12174.65</v>
      </c>
      <c r="F1058" s="9">
        <v>5.01510138E8</v>
      </c>
      <c r="G1058" s="47">
        <v>16315.27</v>
      </c>
    </row>
    <row r="1059" ht="14.25" customHeight="1">
      <c r="A1059" s="46">
        <v>43875.0</v>
      </c>
      <c r="B1059" s="9">
        <v>12190.15</v>
      </c>
      <c r="C1059" s="9">
        <v>12246.7</v>
      </c>
      <c r="D1059" s="9">
        <v>12091.2</v>
      </c>
      <c r="E1059" s="9">
        <v>12113.45</v>
      </c>
      <c r="F1059" s="9">
        <v>6.2305327E8</v>
      </c>
      <c r="G1059" s="47">
        <v>20759.51</v>
      </c>
    </row>
    <row r="1060" ht="14.25" customHeight="1">
      <c r="A1060" s="46">
        <v>43878.0</v>
      </c>
      <c r="B1060" s="9">
        <v>12131.8</v>
      </c>
      <c r="C1060" s="9">
        <v>12159.6</v>
      </c>
      <c r="D1060" s="9">
        <v>12037.0</v>
      </c>
      <c r="E1060" s="9">
        <v>12045.8</v>
      </c>
      <c r="F1060" s="9">
        <v>4.55412408E8</v>
      </c>
      <c r="G1060" s="47">
        <v>15439.55</v>
      </c>
    </row>
    <row r="1061" ht="14.25" customHeight="1">
      <c r="A1061" s="46">
        <v>43879.0</v>
      </c>
      <c r="B1061" s="9">
        <v>12028.25</v>
      </c>
      <c r="C1061" s="9">
        <v>12030.75</v>
      </c>
      <c r="D1061" s="9">
        <v>11908.05</v>
      </c>
      <c r="E1061" s="9">
        <v>11992.5</v>
      </c>
      <c r="F1061" s="9">
        <v>6.77307424E8</v>
      </c>
      <c r="G1061" s="47">
        <v>18853.0</v>
      </c>
    </row>
    <row r="1062" ht="14.25" customHeight="1">
      <c r="A1062" s="46">
        <v>43880.0</v>
      </c>
      <c r="B1062" s="9">
        <v>12090.6</v>
      </c>
      <c r="C1062" s="9">
        <v>12134.7</v>
      </c>
      <c r="D1062" s="9">
        <v>12042.1</v>
      </c>
      <c r="E1062" s="9">
        <v>12125.9</v>
      </c>
      <c r="F1062" s="9">
        <v>5.14030605E8</v>
      </c>
      <c r="G1062" s="47">
        <v>17610.89</v>
      </c>
    </row>
    <row r="1063" ht="14.25" customHeight="1">
      <c r="A1063" s="46">
        <v>43881.0</v>
      </c>
      <c r="B1063" s="9">
        <v>12119.0</v>
      </c>
      <c r="C1063" s="9">
        <v>12152.0</v>
      </c>
      <c r="D1063" s="9">
        <v>12071.45</v>
      </c>
      <c r="E1063" s="9">
        <v>12080.85</v>
      </c>
      <c r="F1063" s="9">
        <v>5.02875583E8</v>
      </c>
      <c r="G1063" s="47">
        <v>18831.51</v>
      </c>
    </row>
    <row r="1064" ht="14.25" customHeight="1">
      <c r="A1064" s="46">
        <v>43885.0</v>
      </c>
      <c r="B1064" s="9">
        <v>12012.55</v>
      </c>
      <c r="C1064" s="9">
        <v>12012.55</v>
      </c>
      <c r="D1064" s="9">
        <v>11813.4</v>
      </c>
      <c r="E1064" s="9">
        <v>11829.4</v>
      </c>
      <c r="F1064" s="9">
        <v>4.91224913E8</v>
      </c>
      <c r="G1064" s="47">
        <v>19421.04</v>
      </c>
    </row>
    <row r="1065" ht="14.25" customHeight="1">
      <c r="A1065" s="46">
        <v>43886.0</v>
      </c>
      <c r="B1065" s="9">
        <v>11877.5</v>
      </c>
      <c r="C1065" s="9">
        <v>11883.05</v>
      </c>
      <c r="D1065" s="9">
        <v>11779.9</v>
      </c>
      <c r="E1065" s="9">
        <v>11797.9</v>
      </c>
      <c r="F1065" s="9">
        <v>4.61349973E8</v>
      </c>
      <c r="G1065" s="47">
        <v>18510.82</v>
      </c>
    </row>
    <row r="1066" ht="14.25" customHeight="1">
      <c r="A1066" s="46">
        <v>43887.0</v>
      </c>
      <c r="B1066" s="9">
        <v>11738.55</v>
      </c>
      <c r="C1066" s="9">
        <v>11783.25</v>
      </c>
      <c r="D1066" s="9">
        <v>11639.6</v>
      </c>
      <c r="E1066" s="9">
        <v>11678.5</v>
      </c>
      <c r="F1066" s="9">
        <v>5.67990976E8</v>
      </c>
      <c r="G1066" s="47">
        <v>21887.07</v>
      </c>
    </row>
    <row r="1067" ht="14.25" customHeight="1">
      <c r="A1067" s="46">
        <v>43888.0</v>
      </c>
      <c r="B1067" s="9">
        <v>11661.25</v>
      </c>
      <c r="C1067" s="9">
        <v>11663.85</v>
      </c>
      <c r="D1067" s="9">
        <v>11536.7</v>
      </c>
      <c r="E1067" s="9">
        <v>11633.3</v>
      </c>
      <c r="F1067" s="9">
        <v>6.09266324E8</v>
      </c>
      <c r="G1067" s="47">
        <v>21623.47</v>
      </c>
    </row>
    <row r="1068" ht="14.25" customHeight="1">
      <c r="A1068" s="46">
        <v>43889.0</v>
      </c>
      <c r="B1068" s="9">
        <v>11382.0</v>
      </c>
      <c r="C1068" s="9">
        <v>11384.8</v>
      </c>
      <c r="D1068" s="9">
        <v>11175.05</v>
      </c>
      <c r="E1068" s="9">
        <v>11201.75</v>
      </c>
      <c r="F1068" s="9">
        <v>8.10523106E8</v>
      </c>
      <c r="G1068" s="47">
        <v>32297.15</v>
      </c>
    </row>
    <row r="1069" ht="14.25" customHeight="1">
      <c r="A1069" s="46">
        <v>43892.0</v>
      </c>
      <c r="B1069" s="9">
        <v>11387.35</v>
      </c>
      <c r="C1069" s="9">
        <v>11433.0</v>
      </c>
      <c r="D1069" s="9">
        <v>11036.25</v>
      </c>
      <c r="E1069" s="9">
        <v>11132.75</v>
      </c>
      <c r="F1069" s="9">
        <v>6.81148567E8</v>
      </c>
      <c r="G1069" s="47">
        <v>24204.55</v>
      </c>
    </row>
    <row r="1070" ht="14.25" customHeight="1">
      <c r="A1070" s="46">
        <v>43893.0</v>
      </c>
      <c r="B1070" s="9">
        <v>11217.55</v>
      </c>
      <c r="C1070" s="9">
        <v>11342.25</v>
      </c>
      <c r="D1070" s="9">
        <v>11152.55</v>
      </c>
      <c r="E1070" s="9">
        <v>11303.3</v>
      </c>
      <c r="F1070" s="9">
        <v>6.96919348E8</v>
      </c>
      <c r="G1070" s="47">
        <v>23281.2</v>
      </c>
    </row>
    <row r="1071" ht="14.25" customHeight="1">
      <c r="A1071" s="46">
        <v>43894.0</v>
      </c>
      <c r="B1071" s="9">
        <v>11351.35</v>
      </c>
      <c r="C1071" s="9">
        <v>11356.6</v>
      </c>
      <c r="D1071" s="9">
        <v>11082.15</v>
      </c>
      <c r="E1071" s="9">
        <v>11251.0</v>
      </c>
      <c r="F1071" s="9">
        <v>7.98021596E8</v>
      </c>
      <c r="G1071" s="47">
        <v>26928.46</v>
      </c>
    </row>
    <row r="1072" ht="14.25" customHeight="1">
      <c r="A1072" s="46">
        <v>43895.0</v>
      </c>
      <c r="B1072" s="9">
        <v>11306.05</v>
      </c>
      <c r="C1072" s="9">
        <v>11389.5</v>
      </c>
      <c r="D1072" s="9">
        <v>11244.6</v>
      </c>
      <c r="E1072" s="9">
        <v>11269.0</v>
      </c>
      <c r="F1072" s="9">
        <v>1.353209029E9</v>
      </c>
      <c r="G1072" s="47">
        <v>26980.65</v>
      </c>
    </row>
    <row r="1073" ht="14.25" customHeight="1">
      <c r="A1073" s="46">
        <v>43896.0</v>
      </c>
      <c r="B1073" s="9">
        <v>10942.65</v>
      </c>
      <c r="C1073" s="9">
        <v>11035.1</v>
      </c>
      <c r="D1073" s="9">
        <v>10827.4</v>
      </c>
      <c r="E1073" s="9">
        <v>10989.45</v>
      </c>
      <c r="F1073" s="9">
        <v>1.811564187E9</v>
      </c>
      <c r="G1073" s="47">
        <v>26455.29</v>
      </c>
    </row>
    <row r="1074" ht="14.25" customHeight="1">
      <c r="A1074" s="46">
        <v>43899.0</v>
      </c>
      <c r="B1074" s="9">
        <v>10742.05</v>
      </c>
      <c r="C1074" s="9">
        <v>10751.55</v>
      </c>
      <c r="D1074" s="9">
        <v>10294.45</v>
      </c>
      <c r="E1074" s="9">
        <v>10451.45</v>
      </c>
      <c r="F1074" s="9">
        <v>1.566119057E9</v>
      </c>
      <c r="G1074" s="47">
        <v>35151.79</v>
      </c>
    </row>
    <row r="1075" ht="14.25" customHeight="1">
      <c r="A1075" s="46">
        <v>43901.0</v>
      </c>
      <c r="B1075" s="9">
        <v>10334.3</v>
      </c>
      <c r="C1075" s="9">
        <v>10545.1</v>
      </c>
      <c r="D1075" s="9">
        <v>10334.0</v>
      </c>
      <c r="E1075" s="9">
        <v>10458.4</v>
      </c>
      <c r="F1075" s="9">
        <v>1.219079693E9</v>
      </c>
      <c r="G1075" s="47">
        <v>32548.47</v>
      </c>
    </row>
    <row r="1076" ht="14.25" customHeight="1">
      <c r="A1076" s="46">
        <v>43902.0</v>
      </c>
      <c r="B1076" s="9">
        <v>10039.95</v>
      </c>
      <c r="C1076" s="9">
        <v>10040.75</v>
      </c>
      <c r="D1076" s="9">
        <v>9508.0</v>
      </c>
      <c r="E1076" s="9">
        <v>9590.15</v>
      </c>
      <c r="F1076" s="9">
        <v>1.344263317E9</v>
      </c>
      <c r="G1076" s="47">
        <v>39283.97</v>
      </c>
    </row>
    <row r="1077" ht="14.25" customHeight="1">
      <c r="A1077" s="46">
        <v>43903.0</v>
      </c>
      <c r="B1077" s="9">
        <v>9107.6</v>
      </c>
      <c r="C1077" s="9">
        <v>10159.4</v>
      </c>
      <c r="D1077" s="9">
        <v>8555.15</v>
      </c>
      <c r="E1077" s="9">
        <v>9955.2</v>
      </c>
      <c r="F1077" s="9">
        <v>1.389061775E9</v>
      </c>
      <c r="G1077" s="47">
        <v>44167.89</v>
      </c>
    </row>
    <row r="1078" ht="14.25" customHeight="1">
      <c r="A1078" s="46">
        <v>43906.0</v>
      </c>
      <c r="B1078" s="9">
        <v>9587.8</v>
      </c>
      <c r="C1078" s="9">
        <v>9602.2</v>
      </c>
      <c r="D1078" s="9">
        <v>9165.1</v>
      </c>
      <c r="E1078" s="9">
        <v>9197.4</v>
      </c>
      <c r="F1078" s="9">
        <v>8.98523271E8</v>
      </c>
      <c r="G1078" s="47">
        <v>29181.8</v>
      </c>
    </row>
    <row r="1079" ht="14.25" customHeight="1">
      <c r="A1079" s="46">
        <v>43907.0</v>
      </c>
      <c r="B1079" s="9">
        <v>9285.4</v>
      </c>
      <c r="C1079" s="9">
        <v>9403.8</v>
      </c>
      <c r="D1079" s="9">
        <v>8915.6</v>
      </c>
      <c r="E1079" s="9">
        <v>8967.05</v>
      </c>
      <c r="F1079" s="9">
        <v>9.36185892E8</v>
      </c>
      <c r="G1079" s="47">
        <v>28004.16</v>
      </c>
    </row>
    <row r="1080" ht="14.25" customHeight="1">
      <c r="A1080" s="46">
        <v>43908.0</v>
      </c>
      <c r="B1080" s="9">
        <v>9088.45</v>
      </c>
      <c r="C1080" s="9">
        <v>9127.55</v>
      </c>
      <c r="D1080" s="9">
        <v>8407.05</v>
      </c>
      <c r="E1080" s="9">
        <v>8468.8</v>
      </c>
      <c r="F1080" s="9">
        <v>1.517275761E9</v>
      </c>
      <c r="G1080" s="47">
        <v>39256.71</v>
      </c>
    </row>
    <row r="1081" ht="14.25" customHeight="1">
      <c r="A1081" s="46">
        <v>43909.0</v>
      </c>
      <c r="B1081" s="9">
        <v>8063.3</v>
      </c>
      <c r="C1081" s="9">
        <v>8575.45</v>
      </c>
      <c r="D1081" s="9">
        <v>7832.55</v>
      </c>
      <c r="E1081" s="9">
        <v>8263.45</v>
      </c>
      <c r="F1081" s="9">
        <v>9.26508824E8</v>
      </c>
      <c r="G1081" s="47">
        <v>34274.23</v>
      </c>
    </row>
    <row r="1082" ht="14.25" customHeight="1">
      <c r="A1082" s="46">
        <v>43910.0</v>
      </c>
      <c r="B1082" s="9">
        <v>8284.45</v>
      </c>
      <c r="C1082" s="9">
        <v>8883.0</v>
      </c>
      <c r="D1082" s="9">
        <v>8178.2</v>
      </c>
      <c r="E1082" s="9">
        <v>8745.45</v>
      </c>
      <c r="F1082" s="9">
        <v>1.0722636E9</v>
      </c>
      <c r="G1082" s="47">
        <v>37321.25</v>
      </c>
    </row>
    <row r="1083" ht="14.25" customHeight="1">
      <c r="A1083" s="46">
        <v>43913.0</v>
      </c>
      <c r="B1083" s="9">
        <v>7945.7</v>
      </c>
      <c r="C1083" s="9">
        <v>8159.25</v>
      </c>
      <c r="D1083" s="9">
        <v>7583.6</v>
      </c>
      <c r="E1083" s="9">
        <v>7610.25</v>
      </c>
      <c r="F1083" s="9">
        <v>6.54151814E8</v>
      </c>
      <c r="G1083" s="47">
        <v>23891.9</v>
      </c>
    </row>
    <row r="1084" ht="14.25" customHeight="1">
      <c r="A1084" s="46">
        <v>43914.0</v>
      </c>
      <c r="B1084" s="9">
        <v>7848.3</v>
      </c>
      <c r="C1084" s="9">
        <v>8036.95</v>
      </c>
      <c r="D1084" s="9">
        <v>7511.1</v>
      </c>
      <c r="E1084" s="9">
        <v>7801.05</v>
      </c>
      <c r="F1084" s="9">
        <v>7.39354439E8</v>
      </c>
      <c r="G1084" s="47">
        <v>28282.09</v>
      </c>
    </row>
    <row r="1085" ht="14.25" customHeight="1">
      <c r="A1085" s="46">
        <v>43915.0</v>
      </c>
      <c r="B1085" s="9">
        <v>7735.15</v>
      </c>
      <c r="C1085" s="9">
        <v>8376.75</v>
      </c>
      <c r="D1085" s="9">
        <v>7714.75</v>
      </c>
      <c r="E1085" s="9">
        <v>8317.85</v>
      </c>
      <c r="F1085" s="9">
        <v>7.38114713E8</v>
      </c>
      <c r="G1085" s="47">
        <v>28482.01</v>
      </c>
    </row>
    <row r="1086" ht="14.25" customHeight="1">
      <c r="A1086" s="46">
        <v>43916.0</v>
      </c>
      <c r="B1086" s="9">
        <v>8451.0</v>
      </c>
      <c r="C1086" s="9">
        <v>8749.05</v>
      </c>
      <c r="D1086" s="9">
        <v>8304.9</v>
      </c>
      <c r="E1086" s="9">
        <v>8641.45</v>
      </c>
      <c r="F1086" s="9">
        <v>8.66534643E8</v>
      </c>
      <c r="G1086" s="47">
        <v>32228.31</v>
      </c>
    </row>
    <row r="1087" ht="14.25" customHeight="1">
      <c r="A1087" s="46">
        <v>43917.0</v>
      </c>
      <c r="B1087" s="9">
        <v>8949.1</v>
      </c>
      <c r="C1087" s="9">
        <v>9038.9</v>
      </c>
      <c r="D1087" s="9">
        <v>8522.9</v>
      </c>
      <c r="E1087" s="9">
        <v>8660.25</v>
      </c>
      <c r="F1087" s="9">
        <v>8.01923401E8</v>
      </c>
      <c r="G1087" s="47">
        <v>31336.86</v>
      </c>
    </row>
    <row r="1088" ht="14.25" customHeight="1">
      <c r="A1088" s="46">
        <v>43920.0</v>
      </c>
      <c r="B1088" s="9">
        <v>8385.95</v>
      </c>
      <c r="C1088" s="9">
        <v>8576.0</v>
      </c>
      <c r="D1088" s="9">
        <v>8244.0</v>
      </c>
      <c r="E1088" s="9">
        <v>8281.1</v>
      </c>
      <c r="F1088" s="9">
        <v>5.93953051E8</v>
      </c>
      <c r="G1088" s="47">
        <v>24724.44</v>
      </c>
    </row>
    <row r="1089" ht="14.25" customHeight="1">
      <c r="A1089" s="46">
        <v>43921.0</v>
      </c>
      <c r="B1089" s="9">
        <v>8529.35</v>
      </c>
      <c r="C1089" s="9">
        <v>8678.3</v>
      </c>
      <c r="D1089" s="9">
        <v>8358.0</v>
      </c>
      <c r="E1089" s="9">
        <v>8597.75</v>
      </c>
      <c r="F1089" s="9">
        <v>7.13390935E8</v>
      </c>
      <c r="G1089" s="47">
        <v>27401.3</v>
      </c>
    </row>
    <row r="1090" ht="14.25" customHeight="1">
      <c r="A1090" s="46">
        <v>43922.0</v>
      </c>
      <c r="B1090" s="9">
        <v>8584.1</v>
      </c>
      <c r="C1090" s="9">
        <v>8588.1</v>
      </c>
      <c r="D1090" s="9">
        <v>8198.35</v>
      </c>
      <c r="E1090" s="9">
        <v>8253.8</v>
      </c>
      <c r="F1090" s="9">
        <v>5.07509685E8</v>
      </c>
      <c r="G1090" s="47">
        <v>21307.3</v>
      </c>
    </row>
    <row r="1091" ht="14.25" customHeight="1">
      <c r="A1091" s="46">
        <v>43924.0</v>
      </c>
      <c r="B1091" s="9">
        <v>8356.55</v>
      </c>
      <c r="C1091" s="9">
        <v>8356.55</v>
      </c>
      <c r="D1091" s="9">
        <v>8055.8</v>
      </c>
      <c r="E1091" s="9">
        <v>8083.8</v>
      </c>
      <c r="F1091" s="9">
        <v>6.97752438E8</v>
      </c>
      <c r="G1091" s="47">
        <v>26561.18</v>
      </c>
    </row>
    <row r="1092" ht="14.25" customHeight="1">
      <c r="A1092" s="46">
        <v>43928.0</v>
      </c>
      <c r="B1092" s="9">
        <v>8446.3</v>
      </c>
      <c r="C1092" s="9">
        <v>8819.4</v>
      </c>
      <c r="D1092" s="9">
        <v>8360.95</v>
      </c>
      <c r="E1092" s="9">
        <v>8792.2</v>
      </c>
      <c r="F1092" s="9">
        <v>8.15245226E8</v>
      </c>
      <c r="G1092" s="47">
        <v>35206.69</v>
      </c>
    </row>
    <row r="1093" ht="14.25" customHeight="1">
      <c r="A1093" s="46">
        <v>43929.0</v>
      </c>
      <c r="B1093" s="9">
        <v>8688.9</v>
      </c>
      <c r="C1093" s="9">
        <v>9131.7</v>
      </c>
      <c r="D1093" s="9">
        <v>8653.9</v>
      </c>
      <c r="E1093" s="9">
        <v>8748.75</v>
      </c>
      <c r="F1093" s="9">
        <v>8.9756269E8</v>
      </c>
      <c r="G1093" s="47">
        <v>37641.68</v>
      </c>
    </row>
    <row r="1094" ht="14.25" customHeight="1">
      <c r="A1094" s="46">
        <v>43930.0</v>
      </c>
      <c r="B1094" s="9">
        <v>8973.05</v>
      </c>
      <c r="C1094" s="9">
        <v>9128.35</v>
      </c>
      <c r="D1094" s="9">
        <v>8904.55</v>
      </c>
      <c r="E1094" s="9">
        <v>9111.9</v>
      </c>
      <c r="F1094" s="9">
        <v>7.43036134E8</v>
      </c>
      <c r="G1094" s="47">
        <v>32907.82</v>
      </c>
    </row>
    <row r="1095" ht="14.25" customHeight="1">
      <c r="A1095" s="46">
        <v>43934.0</v>
      </c>
      <c r="B1095" s="9">
        <v>9103.95</v>
      </c>
      <c r="C1095" s="9">
        <v>9112.05</v>
      </c>
      <c r="D1095" s="9">
        <v>8912.4</v>
      </c>
      <c r="E1095" s="9">
        <v>8993.85</v>
      </c>
      <c r="F1095" s="9">
        <v>6.44468815E8</v>
      </c>
      <c r="G1095" s="47">
        <v>26749.06</v>
      </c>
    </row>
    <row r="1096" ht="14.25" customHeight="1">
      <c r="A1096" s="46">
        <v>43936.0</v>
      </c>
      <c r="B1096" s="9">
        <v>9196.4</v>
      </c>
      <c r="C1096" s="9">
        <v>9261.2</v>
      </c>
      <c r="D1096" s="9">
        <v>8874.1</v>
      </c>
      <c r="E1096" s="9">
        <v>8925.3</v>
      </c>
      <c r="F1096" s="9">
        <v>8.80159358E8</v>
      </c>
      <c r="G1096" s="47">
        <v>41878.64</v>
      </c>
    </row>
    <row r="1097" ht="14.25" customHeight="1">
      <c r="A1097" s="46">
        <v>43937.0</v>
      </c>
      <c r="B1097" s="9">
        <v>8851.25</v>
      </c>
      <c r="C1097" s="9">
        <v>9053.75</v>
      </c>
      <c r="D1097" s="9">
        <v>8821.9</v>
      </c>
      <c r="E1097" s="9">
        <v>8992.8</v>
      </c>
      <c r="F1097" s="9">
        <v>7.20116479E8</v>
      </c>
      <c r="G1097" s="47">
        <v>31318.29</v>
      </c>
    </row>
    <row r="1098" ht="14.25" customHeight="1">
      <c r="A1098" s="46">
        <v>43938.0</v>
      </c>
      <c r="B1098" s="9">
        <v>9323.45</v>
      </c>
      <c r="C1098" s="9">
        <v>9324.0</v>
      </c>
      <c r="D1098" s="9">
        <v>9091.35</v>
      </c>
      <c r="E1098" s="9">
        <v>9266.75</v>
      </c>
      <c r="F1098" s="9">
        <v>6.8491052E8</v>
      </c>
      <c r="G1098" s="47">
        <v>33334.73</v>
      </c>
    </row>
    <row r="1099" ht="14.25" customHeight="1">
      <c r="A1099" s="46">
        <v>43941.0</v>
      </c>
      <c r="B1099" s="9">
        <v>9390.2</v>
      </c>
      <c r="C1099" s="9">
        <v>9390.85</v>
      </c>
      <c r="D1099" s="9">
        <v>9230.8</v>
      </c>
      <c r="E1099" s="9">
        <v>9261.85</v>
      </c>
      <c r="F1099" s="9">
        <v>7.26364699E8</v>
      </c>
      <c r="G1099" s="47">
        <v>28620.91</v>
      </c>
    </row>
    <row r="1100" ht="14.25" customHeight="1">
      <c r="A1100" s="46">
        <v>43942.0</v>
      </c>
      <c r="B1100" s="9">
        <v>9016.95</v>
      </c>
      <c r="C1100" s="9">
        <v>9044.4</v>
      </c>
      <c r="D1100" s="9">
        <v>8909.4</v>
      </c>
      <c r="E1100" s="9">
        <v>8981.45</v>
      </c>
      <c r="F1100" s="9">
        <v>6.55122903E8</v>
      </c>
      <c r="G1100" s="47">
        <v>28273.89</v>
      </c>
    </row>
    <row r="1101" ht="14.25" customHeight="1">
      <c r="A1101" s="46">
        <v>43943.0</v>
      </c>
      <c r="B1101" s="9">
        <v>9026.75</v>
      </c>
      <c r="C1101" s="9">
        <v>9209.75</v>
      </c>
      <c r="D1101" s="9">
        <v>8946.25</v>
      </c>
      <c r="E1101" s="9">
        <v>9187.3</v>
      </c>
      <c r="F1101" s="9">
        <v>7.34383388E8</v>
      </c>
      <c r="G1101" s="47">
        <v>33981.82</v>
      </c>
    </row>
    <row r="1102" ht="14.25" customHeight="1">
      <c r="A1102" s="46">
        <v>43944.0</v>
      </c>
      <c r="B1102" s="9">
        <v>9232.35</v>
      </c>
      <c r="C1102" s="9">
        <v>9343.6</v>
      </c>
      <c r="D1102" s="9">
        <v>9170.15</v>
      </c>
      <c r="E1102" s="9">
        <v>9313.9</v>
      </c>
      <c r="F1102" s="9">
        <v>6.66650462E8</v>
      </c>
      <c r="G1102" s="47">
        <v>30270.55</v>
      </c>
    </row>
    <row r="1103" ht="14.25" customHeight="1">
      <c r="A1103" s="46">
        <v>43945.0</v>
      </c>
      <c r="B1103" s="9">
        <v>9163.9</v>
      </c>
      <c r="C1103" s="9">
        <v>9296.9</v>
      </c>
      <c r="D1103" s="9">
        <v>9141.3</v>
      </c>
      <c r="E1103" s="9">
        <v>9154.4</v>
      </c>
      <c r="F1103" s="9">
        <v>6.59439249E8</v>
      </c>
      <c r="G1103" s="47">
        <v>32859.05</v>
      </c>
    </row>
    <row r="1104" ht="14.25" customHeight="1">
      <c r="A1104" s="46">
        <v>43948.0</v>
      </c>
      <c r="B1104" s="9">
        <v>9259.7</v>
      </c>
      <c r="C1104" s="9">
        <v>9377.1</v>
      </c>
      <c r="D1104" s="9">
        <v>9250.35</v>
      </c>
      <c r="E1104" s="9">
        <v>9282.3</v>
      </c>
      <c r="F1104" s="9">
        <v>5.12793298E8</v>
      </c>
      <c r="G1104" s="47">
        <v>26696.54</v>
      </c>
    </row>
    <row r="1105" ht="14.25" customHeight="1">
      <c r="A1105" s="46">
        <v>43949.0</v>
      </c>
      <c r="B1105" s="9">
        <v>9389.8</v>
      </c>
      <c r="C1105" s="9">
        <v>9404.4</v>
      </c>
      <c r="D1105" s="9">
        <v>9260.0</v>
      </c>
      <c r="E1105" s="9">
        <v>9380.9</v>
      </c>
      <c r="F1105" s="9">
        <v>6.14548983E8</v>
      </c>
      <c r="G1105" s="47">
        <v>30091.41</v>
      </c>
    </row>
    <row r="1106" ht="14.25" customHeight="1">
      <c r="A1106" s="46">
        <v>43950.0</v>
      </c>
      <c r="B1106" s="9">
        <v>9408.6</v>
      </c>
      <c r="C1106" s="9">
        <v>9599.85</v>
      </c>
      <c r="D1106" s="9">
        <v>9392.35</v>
      </c>
      <c r="E1106" s="9">
        <v>9553.35</v>
      </c>
      <c r="F1106" s="9">
        <v>6.5302695E8</v>
      </c>
      <c r="G1106" s="47">
        <v>31673.23</v>
      </c>
    </row>
    <row r="1107" ht="14.25" customHeight="1">
      <c r="A1107" s="46">
        <v>43951.0</v>
      </c>
      <c r="B1107" s="9">
        <v>9753.5</v>
      </c>
      <c r="C1107" s="9">
        <v>9889.05</v>
      </c>
      <c r="D1107" s="9">
        <v>9731.5</v>
      </c>
      <c r="E1107" s="9">
        <v>9859.9</v>
      </c>
      <c r="F1107" s="9">
        <v>9.31173802E8</v>
      </c>
      <c r="G1107" s="47">
        <v>39332.46</v>
      </c>
    </row>
    <row r="1108" ht="14.25" customHeight="1">
      <c r="A1108" s="46">
        <v>43955.0</v>
      </c>
      <c r="B1108" s="9">
        <v>9533.5</v>
      </c>
      <c r="C1108" s="9">
        <v>9533.5</v>
      </c>
      <c r="D1108" s="9">
        <v>9266.95</v>
      </c>
      <c r="E1108" s="9">
        <v>9293.5</v>
      </c>
      <c r="F1108" s="9">
        <v>6.87487134E8</v>
      </c>
      <c r="G1108" s="47">
        <v>29785.95</v>
      </c>
    </row>
    <row r="1109" ht="14.25" customHeight="1">
      <c r="A1109" s="46">
        <v>43956.0</v>
      </c>
      <c r="B1109" s="9">
        <v>9429.4</v>
      </c>
      <c r="C1109" s="9">
        <v>9450.9</v>
      </c>
      <c r="D1109" s="9">
        <v>9190.75</v>
      </c>
      <c r="E1109" s="9">
        <v>9205.6</v>
      </c>
      <c r="F1109" s="9">
        <v>7.25196178E8</v>
      </c>
      <c r="G1109" s="47">
        <v>29700.2</v>
      </c>
    </row>
    <row r="1110" ht="14.25" customHeight="1">
      <c r="A1110" s="46">
        <v>43957.0</v>
      </c>
      <c r="B1110" s="9">
        <v>9226.8</v>
      </c>
      <c r="C1110" s="9">
        <v>9346.9</v>
      </c>
      <c r="D1110" s="9">
        <v>9116.5</v>
      </c>
      <c r="E1110" s="9">
        <v>9270.9</v>
      </c>
      <c r="F1110" s="9">
        <v>7.22185448E8</v>
      </c>
      <c r="G1110" s="47">
        <v>30798.1</v>
      </c>
    </row>
    <row r="1111" ht="14.25" customHeight="1">
      <c r="A1111" s="46">
        <v>43958.0</v>
      </c>
      <c r="B1111" s="9">
        <v>9234.05</v>
      </c>
      <c r="C1111" s="9">
        <v>9277.85</v>
      </c>
      <c r="D1111" s="9">
        <v>9175.9</v>
      </c>
      <c r="E1111" s="9">
        <v>9199.05</v>
      </c>
      <c r="F1111" s="9">
        <v>7.08740416E8</v>
      </c>
      <c r="G1111" s="47">
        <v>59705.53</v>
      </c>
    </row>
    <row r="1112" ht="14.25" customHeight="1">
      <c r="A1112" s="46">
        <v>43959.0</v>
      </c>
      <c r="B1112" s="9">
        <v>9376.95</v>
      </c>
      <c r="C1112" s="9">
        <v>9382.65</v>
      </c>
      <c r="D1112" s="9">
        <v>9238.2</v>
      </c>
      <c r="E1112" s="9">
        <v>9251.5</v>
      </c>
      <c r="F1112" s="9">
        <v>6.09053504E8</v>
      </c>
      <c r="G1112" s="47">
        <v>30743.45</v>
      </c>
    </row>
    <row r="1113" ht="14.25" customHeight="1">
      <c r="A1113" s="46">
        <v>43962.0</v>
      </c>
      <c r="B1113" s="9">
        <v>9348.15</v>
      </c>
      <c r="C1113" s="9">
        <v>9439.9</v>
      </c>
      <c r="D1113" s="9">
        <v>9219.95</v>
      </c>
      <c r="E1113" s="9">
        <v>9239.2</v>
      </c>
      <c r="F1113" s="9">
        <v>7.04647074E8</v>
      </c>
      <c r="G1113" s="47">
        <v>31048.47</v>
      </c>
    </row>
    <row r="1114" ht="14.25" customHeight="1">
      <c r="A1114" s="46">
        <v>43963.0</v>
      </c>
      <c r="B1114" s="9">
        <v>9168.85</v>
      </c>
      <c r="C1114" s="9">
        <v>9240.85</v>
      </c>
      <c r="D1114" s="9">
        <v>9043.95</v>
      </c>
      <c r="E1114" s="9">
        <v>9196.55</v>
      </c>
      <c r="F1114" s="9">
        <v>8.05458787E8</v>
      </c>
      <c r="G1114" s="47">
        <v>37706.27</v>
      </c>
    </row>
    <row r="1115" ht="14.25" customHeight="1">
      <c r="A1115" s="46">
        <v>43964.0</v>
      </c>
      <c r="B1115" s="9">
        <v>9584.2</v>
      </c>
      <c r="C1115" s="9">
        <v>9584.5</v>
      </c>
      <c r="D1115" s="9">
        <v>9351.1</v>
      </c>
      <c r="E1115" s="9">
        <v>9383.55</v>
      </c>
      <c r="F1115" s="9">
        <v>8.46395245E8</v>
      </c>
      <c r="G1115" s="47">
        <v>36488.9</v>
      </c>
    </row>
    <row r="1116" ht="14.25" customHeight="1">
      <c r="A1116" s="46">
        <v>43965.0</v>
      </c>
      <c r="B1116" s="9">
        <v>9213.95</v>
      </c>
      <c r="C1116" s="9">
        <v>9281.1</v>
      </c>
      <c r="D1116" s="9">
        <v>9119.75</v>
      </c>
      <c r="E1116" s="9">
        <v>9142.75</v>
      </c>
      <c r="F1116" s="9">
        <v>6.02555564E8</v>
      </c>
      <c r="G1116" s="47">
        <v>29541.59</v>
      </c>
    </row>
    <row r="1117" ht="14.25" customHeight="1">
      <c r="A1117" s="46">
        <v>43966.0</v>
      </c>
      <c r="B1117" s="9">
        <v>9182.4</v>
      </c>
      <c r="C1117" s="9">
        <v>9182.4</v>
      </c>
      <c r="D1117" s="9">
        <v>9050.0</v>
      </c>
      <c r="E1117" s="9">
        <v>9136.85</v>
      </c>
      <c r="F1117" s="9">
        <v>5.75857112E8</v>
      </c>
      <c r="G1117" s="47">
        <v>25847.33</v>
      </c>
    </row>
    <row r="1118" ht="14.25" customHeight="1">
      <c r="A1118" s="46">
        <v>43969.0</v>
      </c>
      <c r="B1118" s="9">
        <v>9158.3</v>
      </c>
      <c r="C1118" s="9">
        <v>9158.3</v>
      </c>
      <c r="D1118" s="9">
        <v>8806.75</v>
      </c>
      <c r="E1118" s="9">
        <v>8823.25</v>
      </c>
      <c r="F1118" s="9">
        <v>7.72983297E8</v>
      </c>
      <c r="G1118" s="47">
        <v>33347.46</v>
      </c>
    </row>
    <row r="1119" ht="14.25" customHeight="1">
      <c r="A1119" s="46">
        <v>43970.0</v>
      </c>
      <c r="B1119" s="9">
        <v>8961.7</v>
      </c>
      <c r="C1119" s="9">
        <v>9030.35</v>
      </c>
      <c r="D1119" s="9">
        <v>8855.3</v>
      </c>
      <c r="E1119" s="9">
        <v>8879.1</v>
      </c>
      <c r="F1119" s="9">
        <v>7.62152894E8</v>
      </c>
      <c r="G1119" s="47">
        <v>32026.94</v>
      </c>
    </row>
    <row r="1120" ht="14.25" customHeight="1">
      <c r="A1120" s="46">
        <v>43971.0</v>
      </c>
      <c r="B1120" s="9">
        <v>8889.15</v>
      </c>
      <c r="C1120" s="9">
        <v>9093.8</v>
      </c>
      <c r="D1120" s="9">
        <v>8875.35</v>
      </c>
      <c r="E1120" s="9">
        <v>9066.55</v>
      </c>
      <c r="F1120" s="9">
        <v>6.2230814E8</v>
      </c>
      <c r="G1120" s="47">
        <v>30721.99</v>
      </c>
    </row>
    <row r="1121" ht="14.25" customHeight="1">
      <c r="A1121" s="46">
        <v>43972.0</v>
      </c>
      <c r="B1121" s="9">
        <v>9079.45</v>
      </c>
      <c r="C1121" s="9">
        <v>9178.55</v>
      </c>
      <c r="D1121" s="9">
        <v>9056.1</v>
      </c>
      <c r="E1121" s="9">
        <v>9106.25</v>
      </c>
      <c r="F1121" s="9">
        <v>6.31542699E8</v>
      </c>
      <c r="G1121" s="47">
        <v>28303.51</v>
      </c>
    </row>
    <row r="1122" ht="14.25" customHeight="1">
      <c r="A1122" s="46">
        <v>43973.0</v>
      </c>
      <c r="B1122" s="9">
        <v>9067.9</v>
      </c>
      <c r="C1122" s="9">
        <v>9149.6</v>
      </c>
      <c r="D1122" s="9">
        <v>8968.55</v>
      </c>
      <c r="E1122" s="9">
        <v>9039.25</v>
      </c>
      <c r="F1122" s="9">
        <v>6.75759336E8</v>
      </c>
      <c r="G1122" s="47">
        <v>31625.47</v>
      </c>
    </row>
    <row r="1123" ht="14.25" customHeight="1">
      <c r="A1123" s="46">
        <v>43977.0</v>
      </c>
      <c r="B1123" s="9">
        <v>9099.75</v>
      </c>
      <c r="C1123" s="9">
        <v>9161.65</v>
      </c>
      <c r="D1123" s="9">
        <v>8996.65</v>
      </c>
      <c r="E1123" s="9">
        <v>9029.05</v>
      </c>
      <c r="F1123" s="9">
        <v>6.5495996E8</v>
      </c>
      <c r="G1123" s="47">
        <v>30871.59</v>
      </c>
    </row>
    <row r="1124" ht="14.25" customHeight="1">
      <c r="A1124" s="46">
        <v>43978.0</v>
      </c>
      <c r="B1124" s="9">
        <v>9082.2</v>
      </c>
      <c r="C1124" s="9">
        <v>9334.0</v>
      </c>
      <c r="D1124" s="9">
        <v>9004.25</v>
      </c>
      <c r="E1124" s="9">
        <v>9314.95</v>
      </c>
      <c r="F1124" s="9">
        <v>7.63492487E8</v>
      </c>
      <c r="G1124" s="47">
        <v>34603.88</v>
      </c>
    </row>
    <row r="1125" ht="14.25" customHeight="1">
      <c r="A1125" s="46">
        <v>43979.0</v>
      </c>
      <c r="B1125" s="9">
        <v>9364.95</v>
      </c>
      <c r="C1125" s="9">
        <v>9511.25</v>
      </c>
      <c r="D1125" s="9">
        <v>9336.5</v>
      </c>
      <c r="E1125" s="9">
        <v>9490.1</v>
      </c>
      <c r="F1125" s="9">
        <v>8.37911425E8</v>
      </c>
      <c r="G1125" s="47">
        <v>37761.91</v>
      </c>
    </row>
    <row r="1126" ht="14.25" customHeight="1">
      <c r="A1126" s="46">
        <v>43980.0</v>
      </c>
      <c r="B1126" s="9">
        <v>9422.2</v>
      </c>
      <c r="C1126" s="9">
        <v>9598.85</v>
      </c>
      <c r="D1126" s="9">
        <v>9376.9</v>
      </c>
      <c r="E1126" s="9">
        <v>9580.3</v>
      </c>
      <c r="F1126" s="9">
        <v>9.67005438E8</v>
      </c>
      <c r="G1126" s="47">
        <v>45006.25</v>
      </c>
    </row>
    <row r="1127" ht="14.25" customHeight="1">
      <c r="A1127" s="46">
        <v>43983.0</v>
      </c>
      <c r="B1127" s="9">
        <v>9726.85</v>
      </c>
      <c r="C1127" s="9">
        <v>9931.6</v>
      </c>
      <c r="D1127" s="9">
        <v>9706.95</v>
      </c>
      <c r="E1127" s="9">
        <v>9826.15</v>
      </c>
      <c r="F1127" s="9">
        <v>7.94183122E8</v>
      </c>
      <c r="G1127" s="47">
        <v>38096.92</v>
      </c>
    </row>
    <row r="1128" ht="14.25" customHeight="1">
      <c r="A1128" s="46">
        <v>43984.0</v>
      </c>
      <c r="B1128" s="9">
        <v>9880.85</v>
      </c>
      <c r="C1128" s="9">
        <v>9995.6</v>
      </c>
      <c r="D1128" s="9">
        <v>9824.05</v>
      </c>
      <c r="E1128" s="9">
        <v>9979.1</v>
      </c>
      <c r="F1128" s="9">
        <v>7.70192848E8</v>
      </c>
      <c r="G1128" s="47">
        <v>36723.11</v>
      </c>
    </row>
    <row r="1129" ht="14.25" customHeight="1">
      <c r="A1129" s="46">
        <v>43985.0</v>
      </c>
      <c r="B1129" s="9">
        <v>10108.3</v>
      </c>
      <c r="C1129" s="9">
        <v>10176.2</v>
      </c>
      <c r="D1129" s="9">
        <v>10035.55</v>
      </c>
      <c r="E1129" s="9">
        <v>10061.55</v>
      </c>
      <c r="F1129" s="9">
        <v>7.94664422E8</v>
      </c>
      <c r="G1129" s="47">
        <v>38343.61</v>
      </c>
    </row>
    <row r="1130" ht="14.25" customHeight="1">
      <c r="A1130" s="46">
        <v>43986.0</v>
      </c>
      <c r="B1130" s="9">
        <v>10054.25</v>
      </c>
      <c r="C1130" s="9">
        <v>10123.85</v>
      </c>
      <c r="D1130" s="9">
        <v>9944.25</v>
      </c>
      <c r="E1130" s="9">
        <v>10029.1</v>
      </c>
      <c r="F1130" s="9">
        <v>7.75106567E8</v>
      </c>
      <c r="G1130" s="47">
        <v>36399.04</v>
      </c>
    </row>
    <row r="1131" ht="14.25" customHeight="1">
      <c r="A1131" s="46">
        <v>43987.0</v>
      </c>
      <c r="B1131" s="9">
        <v>10093.8</v>
      </c>
      <c r="C1131" s="9">
        <v>10177.8</v>
      </c>
      <c r="D1131" s="9">
        <v>10040.75</v>
      </c>
      <c r="E1131" s="9">
        <v>10142.15</v>
      </c>
      <c r="F1131" s="9">
        <v>9.87122302E8</v>
      </c>
      <c r="G1131" s="47">
        <v>37824.63</v>
      </c>
    </row>
    <row r="1132" ht="14.25" customHeight="1">
      <c r="A1132" s="46">
        <v>43990.0</v>
      </c>
      <c r="B1132" s="9">
        <v>10326.75</v>
      </c>
      <c r="C1132" s="9">
        <v>10328.5</v>
      </c>
      <c r="D1132" s="9">
        <v>10120.25</v>
      </c>
      <c r="E1132" s="9">
        <v>10167.45</v>
      </c>
      <c r="F1132" s="9">
        <v>9.36485541E8</v>
      </c>
      <c r="G1132" s="47">
        <v>37819.06</v>
      </c>
    </row>
    <row r="1133" ht="14.25" customHeight="1">
      <c r="A1133" s="46">
        <v>43991.0</v>
      </c>
      <c r="B1133" s="9">
        <v>10181.15</v>
      </c>
      <c r="C1133" s="9">
        <v>10291.15</v>
      </c>
      <c r="D1133" s="9">
        <v>10021.45</v>
      </c>
      <c r="E1133" s="9">
        <v>10046.65</v>
      </c>
      <c r="F1133" s="9">
        <v>7.5421746E8</v>
      </c>
      <c r="G1133" s="47">
        <v>36201.05</v>
      </c>
    </row>
    <row r="1134" ht="14.25" customHeight="1">
      <c r="A1134" s="46">
        <v>43992.0</v>
      </c>
      <c r="B1134" s="9">
        <v>10072.6</v>
      </c>
      <c r="C1134" s="9">
        <v>10148.75</v>
      </c>
      <c r="D1134" s="9">
        <v>10036.85</v>
      </c>
      <c r="E1134" s="9">
        <v>10116.15</v>
      </c>
      <c r="F1134" s="9">
        <v>6.32383068E8</v>
      </c>
      <c r="G1134" s="47">
        <v>28485.47</v>
      </c>
    </row>
    <row r="1135" ht="14.25" customHeight="1">
      <c r="A1135" s="46">
        <v>43993.0</v>
      </c>
      <c r="B1135" s="9">
        <v>10094.1</v>
      </c>
      <c r="C1135" s="9">
        <v>10112.05</v>
      </c>
      <c r="D1135" s="9">
        <v>9885.05</v>
      </c>
      <c r="E1135" s="9">
        <v>9902.0</v>
      </c>
      <c r="F1135" s="9">
        <v>7.15453486E8</v>
      </c>
      <c r="G1135" s="47">
        <v>30813.85</v>
      </c>
    </row>
    <row r="1136" ht="14.25" customHeight="1">
      <c r="A1136" s="46">
        <v>43994.0</v>
      </c>
      <c r="B1136" s="9">
        <v>9544.95</v>
      </c>
      <c r="C1136" s="9">
        <v>9996.05</v>
      </c>
      <c r="D1136" s="9">
        <v>9544.35</v>
      </c>
      <c r="E1136" s="9">
        <v>9972.9</v>
      </c>
      <c r="F1136" s="9">
        <v>7.96306399E8</v>
      </c>
      <c r="G1136" s="47">
        <v>36505.77</v>
      </c>
    </row>
    <row r="1137" ht="14.25" customHeight="1">
      <c r="A1137" s="46">
        <v>43997.0</v>
      </c>
      <c r="B1137" s="9">
        <v>9919.35</v>
      </c>
      <c r="C1137" s="9">
        <v>9943.35</v>
      </c>
      <c r="D1137" s="9">
        <v>9726.35</v>
      </c>
      <c r="E1137" s="9">
        <v>9813.7</v>
      </c>
      <c r="F1137" s="9">
        <v>7.16053036E8</v>
      </c>
      <c r="G1137" s="47">
        <v>31926.65</v>
      </c>
    </row>
    <row r="1138" ht="14.25" customHeight="1">
      <c r="A1138" s="46">
        <v>43998.0</v>
      </c>
      <c r="B1138" s="9">
        <v>10014.8</v>
      </c>
      <c r="C1138" s="9">
        <v>10046.15</v>
      </c>
      <c r="D1138" s="9">
        <v>9728.5</v>
      </c>
      <c r="E1138" s="9">
        <v>9914.0</v>
      </c>
      <c r="F1138" s="9">
        <v>8.99895044E8</v>
      </c>
      <c r="G1138" s="47">
        <v>36257.89</v>
      </c>
    </row>
    <row r="1139" ht="14.25" customHeight="1">
      <c r="A1139" s="46">
        <v>43999.0</v>
      </c>
      <c r="B1139" s="9">
        <v>9876.7</v>
      </c>
      <c r="C1139" s="9">
        <v>10003.6</v>
      </c>
      <c r="D1139" s="9">
        <v>9833.8</v>
      </c>
      <c r="E1139" s="9">
        <v>9881.15</v>
      </c>
      <c r="F1139" s="9">
        <v>6.8541839E8</v>
      </c>
      <c r="G1139" s="47">
        <v>30700.69</v>
      </c>
    </row>
    <row r="1140" ht="14.25" customHeight="1">
      <c r="A1140" s="46">
        <v>44000.0</v>
      </c>
      <c r="B1140" s="9">
        <v>9863.25</v>
      </c>
      <c r="C1140" s="9">
        <v>10111.2</v>
      </c>
      <c r="D1140" s="9">
        <v>9845.05</v>
      </c>
      <c r="E1140" s="9">
        <v>10091.65</v>
      </c>
      <c r="F1140" s="9">
        <v>6.22895963E8</v>
      </c>
      <c r="G1140" s="47">
        <v>28594.32</v>
      </c>
    </row>
    <row r="1141" ht="14.25" customHeight="1">
      <c r="A1141" s="46">
        <v>44001.0</v>
      </c>
      <c r="B1141" s="9">
        <v>10119.0</v>
      </c>
      <c r="C1141" s="9">
        <v>10272.4</v>
      </c>
      <c r="D1141" s="9">
        <v>10072.65</v>
      </c>
      <c r="E1141" s="9">
        <v>10244.4</v>
      </c>
      <c r="F1141" s="9">
        <v>8.92096343E8</v>
      </c>
      <c r="G1141" s="47">
        <v>48103.56</v>
      </c>
    </row>
    <row r="1142" ht="14.25" customHeight="1">
      <c r="A1142" s="46">
        <v>44004.0</v>
      </c>
      <c r="B1142" s="9">
        <v>10318.75</v>
      </c>
      <c r="C1142" s="9">
        <v>10393.65</v>
      </c>
      <c r="D1142" s="9">
        <v>10277.6</v>
      </c>
      <c r="E1142" s="9">
        <v>10311.2</v>
      </c>
      <c r="F1142" s="9">
        <v>6.85385093E8</v>
      </c>
      <c r="G1142" s="47">
        <v>35529.8</v>
      </c>
    </row>
    <row r="1143" ht="14.25" customHeight="1">
      <c r="A1143" s="46">
        <v>44005.0</v>
      </c>
      <c r="B1143" s="9">
        <v>10347.95</v>
      </c>
      <c r="C1143" s="9">
        <v>10484.7</v>
      </c>
      <c r="D1143" s="9">
        <v>10301.75</v>
      </c>
      <c r="E1143" s="9">
        <v>10471.0</v>
      </c>
      <c r="F1143" s="9">
        <v>6.69195109E8</v>
      </c>
      <c r="G1143" s="47">
        <v>34148.13</v>
      </c>
    </row>
    <row r="1144" ht="14.25" customHeight="1">
      <c r="A1144" s="46">
        <v>44006.0</v>
      </c>
      <c r="B1144" s="9">
        <v>10529.25</v>
      </c>
      <c r="C1144" s="9">
        <v>10553.15</v>
      </c>
      <c r="D1144" s="9">
        <v>10281.95</v>
      </c>
      <c r="E1144" s="9">
        <v>10305.3</v>
      </c>
      <c r="F1144" s="9">
        <v>8.54799801E8</v>
      </c>
      <c r="G1144" s="47">
        <v>41394.45</v>
      </c>
    </row>
    <row r="1145" ht="14.25" customHeight="1">
      <c r="A1145" s="46">
        <v>44007.0</v>
      </c>
      <c r="B1145" s="9">
        <v>10235.55</v>
      </c>
      <c r="C1145" s="9">
        <v>10361.8</v>
      </c>
      <c r="D1145" s="9">
        <v>10194.5</v>
      </c>
      <c r="E1145" s="9">
        <v>10288.9</v>
      </c>
      <c r="F1145" s="9">
        <v>9.94190886E8</v>
      </c>
      <c r="G1145" s="47">
        <v>41726.07</v>
      </c>
    </row>
    <row r="1146" ht="14.25" customHeight="1">
      <c r="A1146" s="46">
        <v>44008.0</v>
      </c>
      <c r="B1146" s="9">
        <v>10378.9</v>
      </c>
      <c r="C1146" s="9">
        <v>10409.85</v>
      </c>
      <c r="D1146" s="9">
        <v>10311.25</v>
      </c>
      <c r="E1146" s="9">
        <v>10383.0</v>
      </c>
      <c r="F1146" s="9">
        <v>6.71910159E8</v>
      </c>
      <c r="G1146" s="47">
        <v>31841.68</v>
      </c>
    </row>
    <row r="1147" ht="14.25" customHeight="1">
      <c r="A1147" s="46">
        <v>44011.0</v>
      </c>
      <c r="B1147" s="9">
        <v>10311.95</v>
      </c>
      <c r="C1147" s="9">
        <v>10337.95</v>
      </c>
      <c r="D1147" s="9">
        <v>10223.6</v>
      </c>
      <c r="E1147" s="9">
        <v>10312.4</v>
      </c>
      <c r="F1147" s="9">
        <v>5.74544482E8</v>
      </c>
      <c r="G1147" s="47">
        <v>27019.46</v>
      </c>
    </row>
    <row r="1148" ht="14.25" customHeight="1">
      <c r="A1148" s="46">
        <v>44012.0</v>
      </c>
      <c r="B1148" s="9">
        <v>10382.6</v>
      </c>
      <c r="C1148" s="9">
        <v>10401.05</v>
      </c>
      <c r="D1148" s="9">
        <v>10267.35</v>
      </c>
      <c r="E1148" s="9">
        <v>10302.1</v>
      </c>
      <c r="F1148" s="9">
        <v>5.5623856E8</v>
      </c>
      <c r="G1148" s="47">
        <v>27342.55</v>
      </c>
    </row>
    <row r="1149" ht="14.25" customHeight="1">
      <c r="A1149" s="46">
        <v>44013.0</v>
      </c>
      <c r="B1149" s="9">
        <v>10323.8</v>
      </c>
      <c r="C1149" s="9">
        <v>10447.05</v>
      </c>
      <c r="D1149" s="9">
        <v>10299.6</v>
      </c>
      <c r="E1149" s="9">
        <v>10430.05</v>
      </c>
      <c r="F1149" s="9">
        <v>5.73550127E8</v>
      </c>
      <c r="G1149" s="47">
        <v>28736.28</v>
      </c>
    </row>
    <row r="1150" ht="14.25" customHeight="1">
      <c r="A1150" s="46">
        <v>44014.0</v>
      </c>
      <c r="B1150" s="9">
        <v>10493.05</v>
      </c>
      <c r="C1150" s="9">
        <v>10598.2</v>
      </c>
      <c r="D1150" s="9">
        <v>10485.55</v>
      </c>
      <c r="E1150" s="9">
        <v>10551.7</v>
      </c>
      <c r="F1150" s="9">
        <v>5.97423931E8</v>
      </c>
      <c r="G1150" s="47">
        <v>31235.17</v>
      </c>
    </row>
    <row r="1151" ht="14.25" customHeight="1">
      <c r="A1151" s="46">
        <v>44015.0</v>
      </c>
      <c r="B1151" s="9">
        <v>10614.95</v>
      </c>
      <c r="C1151" s="9">
        <v>10631.3</v>
      </c>
      <c r="D1151" s="9">
        <v>10562.65</v>
      </c>
      <c r="E1151" s="9">
        <v>10607.35</v>
      </c>
      <c r="F1151" s="9">
        <v>5.25190704E8</v>
      </c>
      <c r="G1151" s="47">
        <v>25186.39</v>
      </c>
    </row>
    <row r="1152" ht="14.25" customHeight="1">
      <c r="A1152" s="46">
        <v>44018.0</v>
      </c>
      <c r="B1152" s="9">
        <v>10723.85</v>
      </c>
      <c r="C1152" s="9">
        <v>10811.4</v>
      </c>
      <c r="D1152" s="9">
        <v>10695.1</v>
      </c>
      <c r="E1152" s="9">
        <v>10763.65</v>
      </c>
      <c r="F1152" s="9">
        <v>5.71212914E8</v>
      </c>
      <c r="G1152" s="47">
        <v>29857.54</v>
      </c>
    </row>
    <row r="1153" ht="14.25" customHeight="1">
      <c r="A1153" s="46">
        <v>44019.0</v>
      </c>
      <c r="B1153" s="9">
        <v>10802.85</v>
      </c>
      <c r="C1153" s="9">
        <v>10813.8</v>
      </c>
      <c r="D1153" s="9">
        <v>10689.7</v>
      </c>
      <c r="E1153" s="9">
        <v>10799.65</v>
      </c>
      <c r="F1153" s="9">
        <v>6.36764929E8</v>
      </c>
      <c r="G1153" s="47">
        <v>36502.37</v>
      </c>
    </row>
    <row r="1154" ht="14.25" customHeight="1">
      <c r="A1154" s="46">
        <v>44020.0</v>
      </c>
      <c r="B1154" s="9">
        <v>10818.65</v>
      </c>
      <c r="C1154" s="9">
        <v>10847.85</v>
      </c>
      <c r="D1154" s="9">
        <v>10676.55</v>
      </c>
      <c r="E1154" s="9">
        <v>10705.75</v>
      </c>
      <c r="F1154" s="9">
        <v>7.67941333E8</v>
      </c>
      <c r="G1154" s="47">
        <v>37676.34</v>
      </c>
    </row>
    <row r="1155" ht="14.25" customHeight="1">
      <c r="A1155" s="46">
        <v>44021.0</v>
      </c>
      <c r="B1155" s="9">
        <v>10755.55</v>
      </c>
      <c r="C1155" s="9">
        <v>10836.85</v>
      </c>
      <c r="D1155" s="9">
        <v>10733.0</v>
      </c>
      <c r="E1155" s="9">
        <v>10813.45</v>
      </c>
      <c r="F1155" s="9">
        <v>6.18652409E8</v>
      </c>
      <c r="G1155" s="47">
        <v>31315.87</v>
      </c>
    </row>
    <row r="1156" ht="14.25" customHeight="1">
      <c r="A1156" s="46">
        <v>44022.0</v>
      </c>
      <c r="B1156" s="9">
        <v>10764.1</v>
      </c>
      <c r="C1156" s="9">
        <v>10819.4</v>
      </c>
      <c r="D1156" s="9">
        <v>10713.0</v>
      </c>
      <c r="E1156" s="9">
        <v>10768.05</v>
      </c>
      <c r="F1156" s="9">
        <v>5.90705425E8</v>
      </c>
      <c r="G1156" s="47">
        <v>31557.58</v>
      </c>
    </row>
    <row r="1157" ht="14.25" customHeight="1">
      <c r="A1157" s="46">
        <v>44025.0</v>
      </c>
      <c r="B1157" s="9">
        <v>10851.85</v>
      </c>
      <c r="C1157" s="9">
        <v>10894.05</v>
      </c>
      <c r="D1157" s="9">
        <v>10756.05</v>
      </c>
      <c r="E1157" s="9">
        <v>10802.7</v>
      </c>
      <c r="F1157" s="9">
        <v>5.54050579E8</v>
      </c>
      <c r="G1157" s="47">
        <v>30606.3</v>
      </c>
    </row>
    <row r="1158" ht="14.25" customHeight="1">
      <c r="A1158" s="46">
        <v>44026.0</v>
      </c>
      <c r="B1158" s="9">
        <v>10750.85</v>
      </c>
      <c r="C1158" s="9">
        <v>10755.65</v>
      </c>
      <c r="D1158" s="9">
        <v>10562.9</v>
      </c>
      <c r="E1158" s="9">
        <v>10607.35</v>
      </c>
      <c r="F1158" s="9">
        <v>5.32368699E8</v>
      </c>
      <c r="G1158" s="47">
        <v>30902.47</v>
      </c>
    </row>
    <row r="1159" ht="14.25" customHeight="1">
      <c r="A1159" s="46">
        <v>44033.0</v>
      </c>
      <c r="B1159" s="9">
        <v>11126.1</v>
      </c>
      <c r="C1159" s="9">
        <v>11179.55</v>
      </c>
      <c r="D1159" s="9">
        <v>11113.25</v>
      </c>
      <c r="E1159" s="9">
        <v>11162.25</v>
      </c>
      <c r="F1159" s="9">
        <v>7.71998838E8</v>
      </c>
      <c r="G1159" s="47">
        <v>42461.89</v>
      </c>
    </row>
    <row r="1160" ht="14.25" customHeight="1">
      <c r="A1160" s="46">
        <v>44034.0</v>
      </c>
      <c r="B1160" s="9">
        <v>11231.2</v>
      </c>
      <c r="C1160" s="9">
        <v>11238.1</v>
      </c>
      <c r="D1160" s="9">
        <v>11056.55</v>
      </c>
      <c r="E1160" s="9">
        <v>11132.6</v>
      </c>
      <c r="F1160" s="9">
        <v>7.65074288E8</v>
      </c>
      <c r="G1160" s="47">
        <v>41068.72</v>
      </c>
    </row>
    <row r="1161" ht="14.25" customHeight="1">
      <c r="A1161" s="46">
        <v>44035.0</v>
      </c>
      <c r="B1161" s="9">
        <v>11135.0</v>
      </c>
      <c r="C1161" s="9">
        <v>11239.8</v>
      </c>
      <c r="D1161" s="9">
        <v>11103.15</v>
      </c>
      <c r="E1161" s="9">
        <v>11215.45</v>
      </c>
      <c r="F1161" s="9">
        <v>6.21575333E8</v>
      </c>
      <c r="G1161" s="47">
        <v>32744.93</v>
      </c>
    </row>
    <row r="1162" ht="14.25" customHeight="1">
      <c r="A1162" s="46">
        <v>44036.0</v>
      </c>
      <c r="B1162" s="9">
        <v>11149.95</v>
      </c>
      <c r="C1162" s="9">
        <v>11225.4</v>
      </c>
      <c r="D1162" s="9">
        <v>11090.3</v>
      </c>
      <c r="E1162" s="9">
        <v>11194.15</v>
      </c>
      <c r="F1162" s="9">
        <v>6.78935175E8</v>
      </c>
      <c r="G1162" s="47">
        <v>40217.17</v>
      </c>
    </row>
    <row r="1163" ht="14.25" customHeight="1">
      <c r="A1163" s="46">
        <v>44039.0</v>
      </c>
      <c r="B1163" s="9">
        <v>11225.0</v>
      </c>
      <c r="C1163" s="9">
        <v>11225.0</v>
      </c>
      <c r="D1163" s="9">
        <v>11087.85</v>
      </c>
      <c r="E1163" s="9">
        <v>11131.8</v>
      </c>
      <c r="F1163" s="9">
        <v>5.88148687E8</v>
      </c>
      <c r="G1163" s="47">
        <v>34539.73</v>
      </c>
    </row>
    <row r="1164" ht="14.25" customHeight="1">
      <c r="A1164" s="46">
        <v>44040.0</v>
      </c>
      <c r="B1164" s="9">
        <v>11154.1</v>
      </c>
      <c r="C1164" s="9">
        <v>11317.75</v>
      </c>
      <c r="D1164" s="9">
        <v>11151.4</v>
      </c>
      <c r="E1164" s="9">
        <v>11300.55</v>
      </c>
      <c r="F1164" s="9">
        <v>6.8389135E8</v>
      </c>
      <c r="G1164" s="47">
        <v>38677.47</v>
      </c>
    </row>
    <row r="1165" ht="14.25" customHeight="1">
      <c r="A1165" s="46">
        <v>44041.0</v>
      </c>
      <c r="B1165" s="9">
        <v>11276.9</v>
      </c>
      <c r="C1165" s="9">
        <v>11341.4</v>
      </c>
      <c r="D1165" s="9">
        <v>11149.75</v>
      </c>
      <c r="E1165" s="9">
        <v>11202.85</v>
      </c>
      <c r="F1165" s="9">
        <v>6.00726301E8</v>
      </c>
      <c r="G1165" s="47">
        <v>38726.02</v>
      </c>
    </row>
    <row r="1166" ht="14.25" customHeight="1">
      <c r="A1166" s="46">
        <v>44042.0</v>
      </c>
      <c r="B1166" s="9">
        <v>11254.3</v>
      </c>
      <c r="C1166" s="9">
        <v>11299.95</v>
      </c>
      <c r="D1166" s="9">
        <v>11084.95</v>
      </c>
      <c r="E1166" s="9">
        <v>11102.15</v>
      </c>
      <c r="F1166" s="9">
        <v>6.77761342E8</v>
      </c>
      <c r="G1166" s="47">
        <v>39150.44</v>
      </c>
    </row>
    <row r="1167" ht="14.25" customHeight="1">
      <c r="A1167" s="46">
        <v>44043.0</v>
      </c>
      <c r="B1167" s="9">
        <v>11139.5</v>
      </c>
      <c r="C1167" s="9">
        <v>11150.4</v>
      </c>
      <c r="D1167" s="9">
        <v>11026.65</v>
      </c>
      <c r="E1167" s="9">
        <v>11073.45</v>
      </c>
      <c r="F1167" s="9">
        <v>6.42560311E8</v>
      </c>
      <c r="G1167" s="47">
        <v>36220.09</v>
      </c>
    </row>
    <row r="1168" ht="14.25" customHeight="1">
      <c r="A1168" s="46">
        <v>44046.0</v>
      </c>
      <c r="B1168" s="9">
        <v>11057.55</v>
      </c>
      <c r="C1168" s="9">
        <v>11058.05</v>
      </c>
      <c r="D1168" s="9">
        <v>10882.25</v>
      </c>
      <c r="E1168" s="9">
        <v>10891.6</v>
      </c>
      <c r="F1168" s="9">
        <v>6.80929323E8</v>
      </c>
      <c r="G1168" s="47">
        <v>31149.94</v>
      </c>
    </row>
    <row r="1169" ht="14.25" customHeight="1">
      <c r="A1169" s="46">
        <v>44047.0</v>
      </c>
      <c r="B1169" s="9">
        <v>10946.65</v>
      </c>
      <c r="C1169" s="9">
        <v>11112.25</v>
      </c>
      <c r="D1169" s="9">
        <v>10908.1</v>
      </c>
      <c r="E1169" s="9">
        <v>11095.25</v>
      </c>
      <c r="F1169" s="9">
        <v>6.25738313E8</v>
      </c>
      <c r="G1169" s="47">
        <v>35357.96</v>
      </c>
    </row>
    <row r="1170" ht="14.25" customHeight="1">
      <c r="A1170" s="46">
        <v>44048.0</v>
      </c>
      <c r="B1170" s="9">
        <v>11155.75</v>
      </c>
      <c r="C1170" s="9">
        <v>11225.65</v>
      </c>
      <c r="D1170" s="9">
        <v>11064.05</v>
      </c>
      <c r="E1170" s="9">
        <v>11101.65</v>
      </c>
      <c r="F1170" s="9">
        <v>6.67639446E8</v>
      </c>
      <c r="G1170" s="47">
        <v>34894.58</v>
      </c>
    </row>
    <row r="1171" ht="14.25" customHeight="1">
      <c r="A1171" s="46">
        <v>44049.0</v>
      </c>
      <c r="B1171" s="9">
        <v>11185.7</v>
      </c>
      <c r="C1171" s="9">
        <v>11256.8</v>
      </c>
      <c r="D1171" s="9">
        <v>11127.3</v>
      </c>
      <c r="E1171" s="9">
        <v>11200.15</v>
      </c>
      <c r="F1171" s="9">
        <v>6.00374615E8</v>
      </c>
      <c r="G1171" s="47">
        <v>31501.08</v>
      </c>
    </row>
    <row r="1172" ht="14.25" customHeight="1">
      <c r="A1172" s="46">
        <v>44050.0</v>
      </c>
      <c r="B1172" s="9">
        <v>11186.65</v>
      </c>
      <c r="C1172" s="9">
        <v>11231.9</v>
      </c>
      <c r="D1172" s="9">
        <v>11142.05</v>
      </c>
      <c r="E1172" s="9">
        <v>11214.05</v>
      </c>
      <c r="F1172" s="9">
        <v>4.52629891E8</v>
      </c>
      <c r="G1172" s="47">
        <v>27054.43</v>
      </c>
    </row>
    <row r="1173" ht="14.25" customHeight="1">
      <c r="A1173" s="46">
        <v>44053.0</v>
      </c>
      <c r="B1173" s="9">
        <v>11270.25</v>
      </c>
      <c r="C1173" s="9">
        <v>11337.3</v>
      </c>
      <c r="D1173" s="9">
        <v>11238.0</v>
      </c>
      <c r="E1173" s="9">
        <v>11270.15</v>
      </c>
      <c r="F1173" s="9">
        <v>4.91999534E8</v>
      </c>
      <c r="G1173" s="47">
        <v>29108.25</v>
      </c>
    </row>
    <row r="1174" ht="14.25" customHeight="1">
      <c r="A1174" s="46">
        <v>44054.0</v>
      </c>
      <c r="B1174" s="9">
        <v>11322.25</v>
      </c>
      <c r="C1174" s="9">
        <v>11373.6</v>
      </c>
      <c r="D1174" s="9">
        <v>11299.15</v>
      </c>
      <c r="E1174" s="9">
        <v>11322.5</v>
      </c>
      <c r="F1174" s="9">
        <v>5.86084846E8</v>
      </c>
      <c r="G1174" s="47">
        <v>30314.89</v>
      </c>
    </row>
    <row r="1175" ht="14.25" customHeight="1">
      <c r="A1175" s="46">
        <v>44055.0</v>
      </c>
      <c r="B1175" s="9">
        <v>11289.0</v>
      </c>
      <c r="C1175" s="9">
        <v>11322.0</v>
      </c>
      <c r="D1175" s="9">
        <v>11242.65</v>
      </c>
      <c r="E1175" s="9">
        <v>11308.4</v>
      </c>
      <c r="F1175" s="9">
        <v>6.0985896E8</v>
      </c>
      <c r="G1175" s="47">
        <v>28088.09</v>
      </c>
    </row>
    <row r="1176" ht="14.25" customHeight="1">
      <c r="A1176" s="46">
        <v>44056.0</v>
      </c>
      <c r="B1176" s="9">
        <v>11334.85</v>
      </c>
      <c r="C1176" s="9">
        <v>11359.3</v>
      </c>
      <c r="D1176" s="9">
        <v>11269.95</v>
      </c>
      <c r="E1176" s="9">
        <v>11300.45</v>
      </c>
      <c r="F1176" s="9">
        <v>5.62355175E8</v>
      </c>
      <c r="G1176" s="47">
        <v>26500.52</v>
      </c>
    </row>
    <row r="1177" ht="14.25" customHeight="1">
      <c r="A1177" s="46">
        <v>44057.0</v>
      </c>
      <c r="B1177" s="9">
        <v>11353.3</v>
      </c>
      <c r="C1177" s="9">
        <v>11366.25</v>
      </c>
      <c r="D1177" s="9">
        <v>11111.45</v>
      </c>
      <c r="E1177" s="9">
        <v>11178.4</v>
      </c>
      <c r="F1177" s="9">
        <v>6.45109756E8</v>
      </c>
      <c r="G1177" s="47">
        <v>31059.23</v>
      </c>
    </row>
    <row r="1178" ht="14.25" customHeight="1">
      <c r="A1178" s="46">
        <v>44060.0</v>
      </c>
      <c r="B1178" s="9">
        <v>11248.9</v>
      </c>
      <c r="C1178" s="9">
        <v>11267.1</v>
      </c>
      <c r="D1178" s="9">
        <v>11144.5</v>
      </c>
      <c r="E1178" s="9">
        <v>11247.1</v>
      </c>
      <c r="F1178" s="9">
        <v>6.33963958E8</v>
      </c>
      <c r="G1178" s="47">
        <v>27468.67</v>
      </c>
    </row>
    <row r="1179" ht="14.25" customHeight="1">
      <c r="A1179" s="46">
        <v>44061.0</v>
      </c>
      <c r="B1179" s="9">
        <v>11259.8</v>
      </c>
      <c r="C1179" s="9">
        <v>11401.7</v>
      </c>
      <c r="D1179" s="9">
        <v>11253.15</v>
      </c>
      <c r="E1179" s="9">
        <v>11385.35</v>
      </c>
      <c r="F1179" s="9">
        <v>5.79242492E8</v>
      </c>
      <c r="G1179" s="47">
        <v>27267.51</v>
      </c>
    </row>
    <row r="1180" ht="14.25" customHeight="1">
      <c r="A1180" s="46">
        <v>44062.0</v>
      </c>
      <c r="B1180" s="9">
        <v>11452.15</v>
      </c>
      <c r="C1180" s="9">
        <v>11460.35</v>
      </c>
      <c r="D1180" s="9">
        <v>11394.1</v>
      </c>
      <c r="E1180" s="9">
        <v>11408.4</v>
      </c>
      <c r="F1180" s="9">
        <v>6.26217997E8</v>
      </c>
      <c r="G1180" s="47">
        <v>27528.12</v>
      </c>
    </row>
    <row r="1181" ht="14.25" customHeight="1">
      <c r="A1181" s="46">
        <v>44063.0</v>
      </c>
      <c r="B1181" s="9">
        <v>11317.45</v>
      </c>
      <c r="C1181" s="9">
        <v>11361.45</v>
      </c>
      <c r="D1181" s="9">
        <v>11289.8</v>
      </c>
      <c r="E1181" s="9">
        <v>11312.2</v>
      </c>
      <c r="F1181" s="9">
        <v>7.9158777E8</v>
      </c>
      <c r="G1181" s="47">
        <v>27676.18</v>
      </c>
    </row>
    <row r="1182" ht="14.25" customHeight="1">
      <c r="A1182" s="46">
        <v>44064.0</v>
      </c>
      <c r="B1182" s="9">
        <v>11409.65</v>
      </c>
      <c r="C1182" s="9">
        <v>11418.5</v>
      </c>
      <c r="D1182" s="9">
        <v>11362.2</v>
      </c>
      <c r="E1182" s="9">
        <v>11371.6</v>
      </c>
      <c r="F1182" s="9">
        <v>6.6871917E8</v>
      </c>
      <c r="G1182" s="47">
        <v>26294.26</v>
      </c>
    </row>
    <row r="1183" ht="14.25" customHeight="1">
      <c r="A1183" s="46">
        <v>44067.0</v>
      </c>
      <c r="B1183" s="9">
        <v>11412.0</v>
      </c>
      <c r="C1183" s="9">
        <v>11497.25</v>
      </c>
      <c r="D1183" s="9">
        <v>11410.65</v>
      </c>
      <c r="E1183" s="9">
        <v>11466.45</v>
      </c>
      <c r="F1183" s="9">
        <v>5.32900535E8</v>
      </c>
      <c r="G1183" s="47">
        <v>28920.84</v>
      </c>
    </row>
    <row r="1184" ht="14.25" customHeight="1">
      <c r="A1184" s="46">
        <v>44068.0</v>
      </c>
      <c r="B1184" s="9">
        <v>11513.1</v>
      </c>
      <c r="C1184" s="9">
        <v>11525.9</v>
      </c>
      <c r="D1184" s="9">
        <v>11423.35</v>
      </c>
      <c r="E1184" s="9">
        <v>11472.25</v>
      </c>
      <c r="F1184" s="9">
        <v>6.38152608E8</v>
      </c>
      <c r="G1184" s="47">
        <v>28742.82</v>
      </c>
    </row>
    <row r="1185" ht="14.25" customHeight="1">
      <c r="A1185" s="46">
        <v>44069.0</v>
      </c>
      <c r="B1185" s="9">
        <v>11512.85</v>
      </c>
      <c r="C1185" s="9">
        <v>11561.75</v>
      </c>
      <c r="D1185" s="9">
        <v>11461.85</v>
      </c>
      <c r="E1185" s="9">
        <v>11549.6</v>
      </c>
      <c r="F1185" s="9">
        <v>7.43442521E8</v>
      </c>
      <c r="G1185" s="47">
        <v>34852.01</v>
      </c>
    </row>
    <row r="1186" ht="14.25" customHeight="1">
      <c r="A1186" s="46">
        <v>44070.0</v>
      </c>
      <c r="B1186" s="9">
        <v>11609.3</v>
      </c>
      <c r="C1186" s="9">
        <v>11617.35</v>
      </c>
      <c r="D1186" s="9">
        <v>11540.6</v>
      </c>
      <c r="E1186" s="9">
        <v>11559.25</v>
      </c>
      <c r="F1186" s="9">
        <v>7.1977649E8</v>
      </c>
      <c r="G1186" s="47">
        <v>31580.61</v>
      </c>
    </row>
    <row r="1187" ht="14.25" customHeight="1">
      <c r="A1187" s="46">
        <v>44071.0</v>
      </c>
      <c r="B1187" s="9">
        <v>11602.95</v>
      </c>
      <c r="C1187" s="9">
        <v>11686.05</v>
      </c>
      <c r="D1187" s="9">
        <v>11589.4</v>
      </c>
      <c r="E1187" s="9">
        <v>11647.6</v>
      </c>
      <c r="F1187" s="9">
        <v>8.06997707E8</v>
      </c>
      <c r="G1187" s="47">
        <v>39349.92</v>
      </c>
    </row>
    <row r="1188" ht="14.25" customHeight="1">
      <c r="A1188" s="46">
        <v>44074.0</v>
      </c>
      <c r="B1188" s="9">
        <v>11777.55</v>
      </c>
      <c r="C1188" s="9">
        <v>11794.25</v>
      </c>
      <c r="D1188" s="9">
        <v>11325.85</v>
      </c>
      <c r="E1188" s="9">
        <v>11387.5</v>
      </c>
      <c r="F1188" s="9">
        <v>1.37178945E9</v>
      </c>
      <c r="G1188" s="47">
        <v>61668.55</v>
      </c>
    </row>
    <row r="1189" ht="14.25" customHeight="1">
      <c r="A1189" s="46">
        <v>44075.0</v>
      </c>
      <c r="B1189" s="9">
        <v>11464.3</v>
      </c>
      <c r="C1189" s="9">
        <v>11553.55</v>
      </c>
      <c r="D1189" s="9">
        <v>11366.9</v>
      </c>
      <c r="E1189" s="9">
        <v>11470.25</v>
      </c>
      <c r="F1189" s="9">
        <v>7.83769555E8</v>
      </c>
      <c r="G1189" s="47">
        <v>36752.54</v>
      </c>
    </row>
    <row r="1190" ht="14.25" customHeight="1">
      <c r="A1190" s="46">
        <v>44076.0</v>
      </c>
      <c r="B1190" s="9">
        <v>11478.55</v>
      </c>
      <c r="C1190" s="9">
        <v>11554.75</v>
      </c>
      <c r="D1190" s="9">
        <v>11430.4</v>
      </c>
      <c r="E1190" s="9">
        <v>11535.0</v>
      </c>
      <c r="F1190" s="9">
        <v>5.93494423E8</v>
      </c>
      <c r="G1190" s="47">
        <v>27454.65</v>
      </c>
    </row>
    <row r="1191" ht="14.25" customHeight="1">
      <c r="A1191" s="46">
        <v>44077.0</v>
      </c>
      <c r="B1191" s="9">
        <v>11566.2</v>
      </c>
      <c r="C1191" s="9">
        <v>11584.95</v>
      </c>
      <c r="D1191" s="9">
        <v>11507.65</v>
      </c>
      <c r="E1191" s="9">
        <v>11527.45</v>
      </c>
      <c r="F1191" s="9">
        <v>6.07115212E8</v>
      </c>
      <c r="G1191" s="47">
        <v>26868.26</v>
      </c>
    </row>
    <row r="1192" ht="14.25" customHeight="1">
      <c r="A1192" s="46">
        <v>44078.0</v>
      </c>
      <c r="B1192" s="9">
        <v>11354.4</v>
      </c>
      <c r="C1192" s="9">
        <v>11452.05</v>
      </c>
      <c r="D1192" s="9">
        <v>11303.65</v>
      </c>
      <c r="E1192" s="9">
        <v>11333.85</v>
      </c>
      <c r="F1192" s="9">
        <v>6.81338905E8</v>
      </c>
      <c r="G1192" s="47">
        <v>31746.86</v>
      </c>
    </row>
    <row r="1193" ht="14.25" customHeight="1">
      <c r="A1193" s="46">
        <v>44081.0</v>
      </c>
      <c r="B1193" s="9">
        <v>11359.6</v>
      </c>
      <c r="C1193" s="9">
        <v>11381.15</v>
      </c>
      <c r="D1193" s="9">
        <v>11251.7</v>
      </c>
      <c r="E1193" s="9">
        <v>11355.05</v>
      </c>
      <c r="F1193" s="9">
        <v>5.60322964E8</v>
      </c>
      <c r="G1193" s="47">
        <v>25959.82</v>
      </c>
    </row>
    <row r="1194" ht="14.25" customHeight="1">
      <c r="A1194" s="46">
        <v>44082.0</v>
      </c>
      <c r="B1194" s="9">
        <v>11378.55</v>
      </c>
      <c r="C1194" s="9">
        <v>11437.25</v>
      </c>
      <c r="D1194" s="9">
        <v>11290.45</v>
      </c>
      <c r="E1194" s="9">
        <v>11317.35</v>
      </c>
      <c r="F1194" s="9">
        <v>5.7223935E8</v>
      </c>
      <c r="G1194" s="47">
        <v>27979.7</v>
      </c>
    </row>
    <row r="1195" ht="14.25" customHeight="1">
      <c r="A1195" s="46">
        <v>44083.0</v>
      </c>
      <c r="B1195" s="9">
        <v>11218.6</v>
      </c>
      <c r="C1195" s="9">
        <v>11298.15</v>
      </c>
      <c r="D1195" s="9">
        <v>11185.15</v>
      </c>
      <c r="E1195" s="9">
        <v>11278.0</v>
      </c>
      <c r="F1195" s="9">
        <v>7.28880693E8</v>
      </c>
      <c r="G1195" s="47">
        <v>32660.67</v>
      </c>
    </row>
    <row r="1196" ht="14.25" customHeight="1">
      <c r="A1196" s="46">
        <v>44084.0</v>
      </c>
      <c r="B1196" s="9">
        <v>11363.3</v>
      </c>
      <c r="C1196" s="9">
        <v>11464.05</v>
      </c>
      <c r="D1196" s="9">
        <v>11327.4</v>
      </c>
      <c r="E1196" s="9">
        <v>11449.25</v>
      </c>
      <c r="F1196" s="9">
        <v>6.79419973E8</v>
      </c>
      <c r="G1196" s="47">
        <v>39239.1</v>
      </c>
    </row>
    <row r="1197" ht="14.25" customHeight="1">
      <c r="A1197" s="46">
        <v>44085.0</v>
      </c>
      <c r="B1197" s="9">
        <v>11447.8</v>
      </c>
      <c r="C1197" s="9">
        <v>11493.5</v>
      </c>
      <c r="D1197" s="9">
        <v>11419.9</v>
      </c>
      <c r="E1197" s="9">
        <v>11464.45</v>
      </c>
      <c r="F1197" s="9">
        <v>5.54789157E8</v>
      </c>
      <c r="G1197" s="47">
        <v>29614.09</v>
      </c>
    </row>
    <row r="1198" ht="14.25" customHeight="1">
      <c r="A1198" s="46">
        <v>44088.0</v>
      </c>
      <c r="B1198" s="9">
        <v>11540.15</v>
      </c>
      <c r="C1198" s="9">
        <v>11568.9</v>
      </c>
      <c r="D1198" s="9">
        <v>11383.55</v>
      </c>
      <c r="E1198" s="9">
        <v>11440.05</v>
      </c>
      <c r="F1198" s="9">
        <v>6.42270123E8</v>
      </c>
      <c r="G1198" s="47">
        <v>33996.94</v>
      </c>
    </row>
    <row r="1199" ht="14.25" customHeight="1">
      <c r="A1199" s="46">
        <v>44089.0</v>
      </c>
      <c r="B1199" s="9">
        <v>11487.2</v>
      </c>
      <c r="C1199" s="9">
        <v>11535.95</v>
      </c>
      <c r="D1199" s="9">
        <v>11442.25</v>
      </c>
      <c r="E1199" s="9">
        <v>11521.8</v>
      </c>
      <c r="F1199" s="9">
        <v>5.06667239E8</v>
      </c>
      <c r="G1199" s="47">
        <v>28054.51</v>
      </c>
    </row>
    <row r="1200" ht="14.25" customHeight="1">
      <c r="A1200" s="46">
        <v>44090.0</v>
      </c>
      <c r="B1200" s="9">
        <v>11538.45</v>
      </c>
      <c r="C1200" s="9">
        <v>11618.1</v>
      </c>
      <c r="D1200" s="9">
        <v>11516.75</v>
      </c>
      <c r="E1200" s="9">
        <v>11604.55</v>
      </c>
      <c r="F1200" s="9">
        <v>5.27804775E8</v>
      </c>
      <c r="G1200" s="47">
        <v>27629.71</v>
      </c>
    </row>
    <row r="1201" ht="14.25" customHeight="1">
      <c r="A1201" s="46">
        <v>44091.0</v>
      </c>
      <c r="B1201" s="9">
        <v>11539.4</v>
      </c>
      <c r="C1201" s="9">
        <v>11587.2</v>
      </c>
      <c r="D1201" s="9">
        <v>11498.5</v>
      </c>
      <c r="E1201" s="9">
        <v>11516.1</v>
      </c>
      <c r="F1201" s="9">
        <v>5.17729494E8</v>
      </c>
      <c r="G1201" s="47">
        <v>29674.95</v>
      </c>
    </row>
    <row r="1202" ht="14.25" customHeight="1">
      <c r="A1202" s="46">
        <v>44092.0</v>
      </c>
      <c r="B1202" s="9">
        <v>11584.1</v>
      </c>
      <c r="C1202" s="9">
        <v>11584.1</v>
      </c>
      <c r="D1202" s="9">
        <v>11446.1</v>
      </c>
      <c r="E1202" s="9">
        <v>11504.95</v>
      </c>
      <c r="F1202" s="9">
        <v>7.64154094E8</v>
      </c>
      <c r="G1202" s="47">
        <v>48698.68</v>
      </c>
    </row>
    <row r="1203" ht="14.25" customHeight="1">
      <c r="A1203" s="46">
        <v>44095.0</v>
      </c>
      <c r="B1203" s="9">
        <v>11503.8</v>
      </c>
      <c r="C1203" s="9">
        <v>11535.25</v>
      </c>
      <c r="D1203" s="9">
        <v>11218.5</v>
      </c>
      <c r="E1203" s="9">
        <v>11250.55</v>
      </c>
      <c r="F1203" s="9">
        <v>6.02851737E8</v>
      </c>
      <c r="G1203" s="47">
        <v>37213.23</v>
      </c>
    </row>
    <row r="1204" ht="14.25" customHeight="1">
      <c r="A1204" s="46">
        <v>44096.0</v>
      </c>
      <c r="B1204" s="9">
        <v>11301.75</v>
      </c>
      <c r="C1204" s="9">
        <v>11302.2</v>
      </c>
      <c r="D1204" s="9">
        <v>11084.65</v>
      </c>
      <c r="E1204" s="9">
        <v>11153.65</v>
      </c>
      <c r="F1204" s="9">
        <v>6.72249921E8</v>
      </c>
      <c r="G1204" s="47">
        <v>36296.49</v>
      </c>
    </row>
    <row r="1205" ht="14.25" customHeight="1">
      <c r="A1205" s="46">
        <v>44097.0</v>
      </c>
      <c r="B1205" s="9">
        <v>11258.75</v>
      </c>
      <c r="C1205" s="9">
        <v>11259.55</v>
      </c>
      <c r="D1205" s="9">
        <v>11024.4</v>
      </c>
      <c r="E1205" s="9">
        <v>11131.85</v>
      </c>
      <c r="F1205" s="9">
        <v>7.14925847E8</v>
      </c>
      <c r="G1205" s="47">
        <v>35542.98</v>
      </c>
    </row>
    <row r="1206" ht="14.25" customHeight="1">
      <c r="A1206" s="46">
        <v>44098.0</v>
      </c>
      <c r="B1206" s="9">
        <v>11011.0</v>
      </c>
      <c r="C1206" s="9">
        <v>11015.3</v>
      </c>
      <c r="D1206" s="9">
        <v>10790.2</v>
      </c>
      <c r="E1206" s="9">
        <v>10805.55</v>
      </c>
      <c r="F1206" s="9">
        <v>7.06139506E8</v>
      </c>
      <c r="G1206" s="47">
        <v>33623.71</v>
      </c>
    </row>
    <row r="1207" ht="14.25" customHeight="1">
      <c r="A1207" s="46">
        <v>44099.0</v>
      </c>
      <c r="B1207" s="9">
        <v>10910.4</v>
      </c>
      <c r="C1207" s="9">
        <v>11072.6</v>
      </c>
      <c r="D1207" s="9">
        <v>10854.85</v>
      </c>
      <c r="E1207" s="9">
        <v>11050.25</v>
      </c>
      <c r="F1207" s="9">
        <v>5.59597322E8</v>
      </c>
      <c r="G1207" s="47">
        <v>31122.18</v>
      </c>
    </row>
    <row r="1208" ht="14.25" customHeight="1">
      <c r="A1208" s="46">
        <v>44102.0</v>
      </c>
      <c r="B1208" s="9">
        <v>11140.85</v>
      </c>
      <c r="C1208" s="9">
        <v>11239.35</v>
      </c>
      <c r="D1208" s="9">
        <v>11099.85</v>
      </c>
      <c r="E1208" s="9">
        <v>11227.55</v>
      </c>
      <c r="F1208" s="9">
        <v>4.72777324E8</v>
      </c>
      <c r="G1208" s="47">
        <v>24361.17</v>
      </c>
    </row>
    <row r="1209" ht="14.25" customHeight="1">
      <c r="A1209" s="46">
        <v>44103.0</v>
      </c>
      <c r="B1209" s="9">
        <v>11288.6</v>
      </c>
      <c r="C1209" s="9">
        <v>11305.4</v>
      </c>
      <c r="D1209" s="9">
        <v>11181.0</v>
      </c>
      <c r="E1209" s="9">
        <v>11222.4</v>
      </c>
      <c r="F1209" s="9">
        <v>4.98295735E8</v>
      </c>
      <c r="G1209" s="47">
        <v>26875.14</v>
      </c>
    </row>
    <row r="1210" ht="14.25" customHeight="1">
      <c r="A1210" s="46">
        <v>44104.0</v>
      </c>
      <c r="B1210" s="9">
        <v>11244.45</v>
      </c>
      <c r="C1210" s="9">
        <v>11295.4</v>
      </c>
      <c r="D1210" s="9">
        <v>11184.55</v>
      </c>
      <c r="E1210" s="9">
        <v>11247.55</v>
      </c>
      <c r="F1210" s="9">
        <v>4.99343849E8</v>
      </c>
      <c r="G1210" s="47">
        <v>28134.77</v>
      </c>
    </row>
    <row r="1211" ht="14.25" customHeight="1">
      <c r="A1211" s="46">
        <v>44105.0</v>
      </c>
      <c r="B1211" s="9">
        <v>11364.45</v>
      </c>
      <c r="C1211" s="9">
        <v>11428.6</v>
      </c>
      <c r="D1211" s="9">
        <v>11347.05</v>
      </c>
      <c r="E1211" s="9">
        <v>11416.95</v>
      </c>
      <c r="F1211" s="9">
        <v>4.47740006E8</v>
      </c>
      <c r="G1211" s="47">
        <v>26212.72</v>
      </c>
    </row>
    <row r="1212" ht="14.25" customHeight="1">
      <c r="A1212" s="46">
        <v>44109.0</v>
      </c>
      <c r="B1212" s="9">
        <v>11487.8</v>
      </c>
      <c r="C1212" s="9">
        <v>11578.05</v>
      </c>
      <c r="D1212" s="9">
        <v>11452.3</v>
      </c>
      <c r="E1212" s="9">
        <v>11503.35</v>
      </c>
      <c r="F1212" s="9">
        <v>5.30597393E8</v>
      </c>
      <c r="G1212" s="47">
        <v>31341.55</v>
      </c>
    </row>
    <row r="1213" ht="14.25" customHeight="1">
      <c r="A1213" s="46">
        <v>44110.0</v>
      </c>
      <c r="B1213" s="9">
        <v>11603.45</v>
      </c>
      <c r="C1213" s="9">
        <v>11680.3</v>
      </c>
      <c r="D1213" s="9">
        <v>11564.3</v>
      </c>
      <c r="E1213" s="9">
        <v>11662.4</v>
      </c>
      <c r="F1213" s="9">
        <v>5.61444728E8</v>
      </c>
      <c r="G1213" s="47">
        <v>30373.65</v>
      </c>
    </row>
    <row r="1214" ht="14.25" customHeight="1">
      <c r="A1214" s="46">
        <v>44111.0</v>
      </c>
      <c r="B1214" s="9">
        <v>11679.25</v>
      </c>
      <c r="C1214" s="9">
        <v>11763.05</v>
      </c>
      <c r="D1214" s="9">
        <v>11629.35</v>
      </c>
      <c r="E1214" s="9">
        <v>11738.85</v>
      </c>
      <c r="F1214" s="9">
        <v>5.13367516E8</v>
      </c>
      <c r="G1214" s="47">
        <v>32935.98</v>
      </c>
    </row>
    <row r="1215" ht="14.25" customHeight="1">
      <c r="A1215" s="46">
        <v>44112.0</v>
      </c>
      <c r="B1215" s="9">
        <v>11835.4</v>
      </c>
      <c r="C1215" s="9">
        <v>11905.7</v>
      </c>
      <c r="D1215" s="9">
        <v>11791.15</v>
      </c>
      <c r="E1215" s="9">
        <v>11834.6</v>
      </c>
      <c r="F1215" s="9">
        <v>6.08768573E8</v>
      </c>
      <c r="G1215" s="47">
        <v>38677.49</v>
      </c>
    </row>
    <row r="1216" ht="14.25" customHeight="1">
      <c r="A1216" s="46">
        <v>44113.0</v>
      </c>
      <c r="B1216" s="9">
        <v>11852.05</v>
      </c>
      <c r="C1216" s="9">
        <v>11938.6</v>
      </c>
      <c r="D1216" s="9">
        <v>11805.2</v>
      </c>
      <c r="E1216" s="9">
        <v>11914.2</v>
      </c>
      <c r="F1216" s="9">
        <v>6.11079482E8</v>
      </c>
      <c r="G1216" s="47">
        <v>34546.8</v>
      </c>
    </row>
    <row r="1217" ht="14.25" customHeight="1">
      <c r="A1217" s="46">
        <v>44116.0</v>
      </c>
      <c r="B1217" s="9">
        <v>11973.55</v>
      </c>
      <c r="C1217" s="9">
        <v>12022.05</v>
      </c>
      <c r="D1217" s="9">
        <v>11867.2</v>
      </c>
      <c r="E1217" s="9">
        <v>11930.95</v>
      </c>
      <c r="F1217" s="9">
        <v>5.22627571E8</v>
      </c>
      <c r="G1217" s="47">
        <v>26586.47</v>
      </c>
    </row>
    <row r="1218" ht="14.25" customHeight="1">
      <c r="A1218" s="46">
        <v>44117.0</v>
      </c>
      <c r="B1218" s="9">
        <v>11934.65</v>
      </c>
      <c r="C1218" s="9">
        <v>11988.2</v>
      </c>
      <c r="D1218" s="9">
        <v>11888.9</v>
      </c>
      <c r="E1218" s="9">
        <v>11934.5</v>
      </c>
      <c r="F1218" s="9">
        <v>4.58304851E8</v>
      </c>
      <c r="G1218" s="47">
        <v>29403.22</v>
      </c>
    </row>
    <row r="1219" ht="14.25" customHeight="1">
      <c r="A1219" s="46">
        <v>44118.0</v>
      </c>
      <c r="B1219" s="9">
        <v>11917.4</v>
      </c>
      <c r="C1219" s="9">
        <v>11997.2</v>
      </c>
      <c r="D1219" s="9">
        <v>11822.15</v>
      </c>
      <c r="E1219" s="9">
        <v>11971.05</v>
      </c>
      <c r="F1219" s="9">
        <v>5.69245407E8</v>
      </c>
      <c r="G1219" s="47">
        <v>29940.62</v>
      </c>
    </row>
    <row r="1220" ht="14.25" customHeight="1">
      <c r="A1220" s="46">
        <v>44119.0</v>
      </c>
      <c r="B1220" s="9">
        <v>12023.45</v>
      </c>
      <c r="C1220" s="9">
        <v>12025.45</v>
      </c>
      <c r="D1220" s="9">
        <v>11661.3</v>
      </c>
      <c r="E1220" s="9">
        <v>11680.35</v>
      </c>
      <c r="F1220" s="9">
        <v>6.08865041E8</v>
      </c>
      <c r="G1220" s="47">
        <v>35175.92</v>
      </c>
    </row>
    <row r="1221" ht="14.25" customHeight="1">
      <c r="A1221" s="46">
        <v>44120.0</v>
      </c>
      <c r="B1221" s="9">
        <v>11727.4</v>
      </c>
      <c r="C1221" s="9">
        <v>11789.75</v>
      </c>
      <c r="D1221" s="9">
        <v>11667.85</v>
      </c>
      <c r="E1221" s="9">
        <v>11762.45</v>
      </c>
      <c r="F1221" s="9">
        <v>5.55764762E8</v>
      </c>
      <c r="G1221" s="47">
        <v>30439.19</v>
      </c>
    </row>
    <row r="1222" ht="14.25" customHeight="1">
      <c r="A1222" s="46">
        <v>44123.0</v>
      </c>
      <c r="B1222" s="9">
        <v>11879.2</v>
      </c>
      <c r="C1222" s="9">
        <v>11898.25</v>
      </c>
      <c r="D1222" s="9">
        <v>11820.4</v>
      </c>
      <c r="E1222" s="9">
        <v>11873.05</v>
      </c>
      <c r="F1222" s="9">
        <v>5.4142099E8</v>
      </c>
      <c r="G1222" s="47">
        <v>29888.6</v>
      </c>
    </row>
    <row r="1223" ht="14.25" customHeight="1">
      <c r="A1223" s="46">
        <v>44124.0</v>
      </c>
      <c r="B1223" s="9">
        <v>11861.0</v>
      </c>
      <c r="C1223" s="9">
        <v>11949.25</v>
      </c>
      <c r="D1223" s="9">
        <v>11837.25</v>
      </c>
      <c r="E1223" s="9">
        <v>11896.8</v>
      </c>
      <c r="F1223" s="9">
        <v>4.53560934E8</v>
      </c>
      <c r="G1223" s="47">
        <v>28367.34</v>
      </c>
    </row>
    <row r="1224" ht="14.25" customHeight="1">
      <c r="A1224" s="46">
        <v>44125.0</v>
      </c>
      <c r="B1224" s="9">
        <v>11958.55</v>
      </c>
      <c r="C1224" s="9">
        <v>12018.65</v>
      </c>
      <c r="D1224" s="9">
        <v>11775.75</v>
      </c>
      <c r="E1224" s="9">
        <v>11937.65</v>
      </c>
      <c r="F1224" s="9">
        <v>6.2365814E8</v>
      </c>
      <c r="G1224" s="47">
        <v>37477.13</v>
      </c>
    </row>
    <row r="1225" ht="14.25" customHeight="1">
      <c r="A1225" s="46">
        <v>44126.0</v>
      </c>
      <c r="B1225" s="9">
        <v>11890.0</v>
      </c>
      <c r="C1225" s="9">
        <v>11939.55</v>
      </c>
      <c r="D1225" s="9">
        <v>11823.45</v>
      </c>
      <c r="E1225" s="9">
        <v>11896.45</v>
      </c>
      <c r="F1225" s="9">
        <v>5.44901152E8</v>
      </c>
      <c r="G1225" s="47">
        <v>33013.17</v>
      </c>
    </row>
    <row r="1226" ht="14.25" customHeight="1">
      <c r="A1226" s="46">
        <v>44127.0</v>
      </c>
      <c r="B1226" s="9">
        <v>11957.9</v>
      </c>
      <c r="C1226" s="9">
        <v>11974.55</v>
      </c>
      <c r="D1226" s="9">
        <v>11908.75</v>
      </c>
      <c r="E1226" s="9">
        <v>11930.35</v>
      </c>
      <c r="F1226" s="9">
        <v>5.02340361E8</v>
      </c>
      <c r="G1226" s="47">
        <v>27424.61</v>
      </c>
    </row>
    <row r="1227" ht="14.25" customHeight="1">
      <c r="A1227" s="46">
        <v>44130.0</v>
      </c>
      <c r="B1227" s="9">
        <v>11937.4</v>
      </c>
      <c r="C1227" s="9">
        <v>11942.85</v>
      </c>
      <c r="D1227" s="9">
        <v>11711.7</v>
      </c>
      <c r="E1227" s="9">
        <v>11767.75</v>
      </c>
      <c r="F1227" s="9">
        <v>5.19815905E8</v>
      </c>
      <c r="G1227" s="47">
        <v>29316.02</v>
      </c>
    </row>
    <row r="1228" ht="14.25" customHeight="1">
      <c r="A1228" s="46">
        <v>44131.0</v>
      </c>
      <c r="B1228" s="9">
        <v>11807.1</v>
      </c>
      <c r="C1228" s="9">
        <v>11899.05</v>
      </c>
      <c r="D1228" s="9">
        <v>11723.0</v>
      </c>
      <c r="E1228" s="9">
        <v>11889.4</v>
      </c>
      <c r="F1228" s="9">
        <v>6.16318543E8</v>
      </c>
      <c r="G1228" s="47">
        <v>37989.97</v>
      </c>
    </row>
    <row r="1229" ht="14.25" customHeight="1">
      <c r="A1229" s="46">
        <v>44132.0</v>
      </c>
      <c r="B1229" s="9">
        <v>11922.6</v>
      </c>
      <c r="C1229" s="9">
        <v>11929.4</v>
      </c>
      <c r="D1229" s="9">
        <v>11684.85</v>
      </c>
      <c r="E1229" s="9">
        <v>11729.6</v>
      </c>
      <c r="F1229" s="9">
        <v>7.04018608E8</v>
      </c>
      <c r="G1229" s="47">
        <v>37025.89</v>
      </c>
    </row>
    <row r="1230" ht="14.25" customHeight="1">
      <c r="A1230" s="46">
        <v>44133.0</v>
      </c>
      <c r="B1230" s="9">
        <v>11633.3</v>
      </c>
      <c r="C1230" s="9">
        <v>11744.15</v>
      </c>
      <c r="D1230" s="9">
        <v>11606.45</v>
      </c>
      <c r="E1230" s="9">
        <v>11670.8</v>
      </c>
      <c r="F1230" s="9">
        <v>5.54959844E8</v>
      </c>
      <c r="G1230" s="47">
        <v>30436.62</v>
      </c>
    </row>
    <row r="1231" ht="14.25" customHeight="1">
      <c r="A1231" s="46">
        <v>44134.0</v>
      </c>
      <c r="B1231" s="9">
        <v>11678.45</v>
      </c>
      <c r="C1231" s="9">
        <v>11748.95</v>
      </c>
      <c r="D1231" s="9">
        <v>11535.45</v>
      </c>
      <c r="E1231" s="9">
        <v>11642.4</v>
      </c>
      <c r="F1231" s="9">
        <v>5.53672805E8</v>
      </c>
      <c r="G1231" s="47">
        <v>28151.58</v>
      </c>
    </row>
    <row r="1232" ht="14.25" customHeight="1">
      <c r="A1232" s="46">
        <v>44137.0</v>
      </c>
      <c r="B1232" s="9">
        <v>11697.35</v>
      </c>
      <c r="C1232" s="9">
        <v>11725.65</v>
      </c>
      <c r="D1232" s="9">
        <v>11557.4</v>
      </c>
      <c r="E1232" s="9">
        <v>11669.15</v>
      </c>
      <c r="F1232" s="9">
        <v>5.68434165E8</v>
      </c>
      <c r="G1232" s="47">
        <v>35714.57</v>
      </c>
    </row>
    <row r="1233" ht="14.25" customHeight="1">
      <c r="A1233" s="46">
        <v>44138.0</v>
      </c>
      <c r="B1233" s="9">
        <v>11734.45</v>
      </c>
      <c r="C1233" s="9">
        <v>11836.2</v>
      </c>
      <c r="D1233" s="9">
        <v>11723.3</v>
      </c>
      <c r="E1233" s="9">
        <v>11813.5</v>
      </c>
      <c r="F1233" s="9">
        <v>6.74303605E8</v>
      </c>
      <c r="G1233" s="47">
        <v>36363.95</v>
      </c>
    </row>
    <row r="1234" ht="14.25" customHeight="1">
      <c r="A1234" s="46">
        <v>44139.0</v>
      </c>
      <c r="B1234" s="9">
        <v>11783.35</v>
      </c>
      <c r="C1234" s="9">
        <v>11929.65</v>
      </c>
      <c r="D1234" s="9">
        <v>11756.4</v>
      </c>
      <c r="E1234" s="9">
        <v>11908.5</v>
      </c>
      <c r="F1234" s="9">
        <v>6.67290347E8</v>
      </c>
      <c r="G1234" s="47">
        <v>38552.09</v>
      </c>
    </row>
    <row r="1235" ht="14.25" customHeight="1">
      <c r="A1235" s="46">
        <v>44140.0</v>
      </c>
      <c r="B1235" s="9">
        <v>12062.4</v>
      </c>
      <c r="C1235" s="9">
        <v>12131.1</v>
      </c>
      <c r="D1235" s="9">
        <v>12027.6</v>
      </c>
      <c r="E1235" s="9">
        <v>12120.3</v>
      </c>
      <c r="F1235" s="9">
        <v>6.32455414E8</v>
      </c>
      <c r="G1235" s="47">
        <v>32311.46</v>
      </c>
    </row>
    <row r="1236" ht="14.25" customHeight="1">
      <c r="A1236" s="46">
        <v>44141.0</v>
      </c>
      <c r="B1236" s="9">
        <v>12156.65</v>
      </c>
      <c r="C1236" s="9">
        <v>12280.4</v>
      </c>
      <c r="D1236" s="9">
        <v>12131.85</v>
      </c>
      <c r="E1236" s="9">
        <v>12263.55</v>
      </c>
      <c r="F1236" s="9">
        <v>5.76837602E8</v>
      </c>
      <c r="G1236" s="47">
        <v>34965.94</v>
      </c>
    </row>
    <row r="1237" ht="14.25" customHeight="1">
      <c r="A1237" s="46">
        <v>44144.0</v>
      </c>
      <c r="B1237" s="9">
        <v>12399.4</v>
      </c>
      <c r="C1237" s="9">
        <v>12474.05</v>
      </c>
      <c r="D1237" s="9">
        <v>12367.35</v>
      </c>
      <c r="E1237" s="9">
        <v>12461.05</v>
      </c>
      <c r="F1237" s="9">
        <v>5.53449924E8</v>
      </c>
      <c r="G1237" s="47">
        <v>34255.11</v>
      </c>
    </row>
    <row r="1238" ht="14.25" customHeight="1">
      <c r="A1238" s="46">
        <v>44145.0</v>
      </c>
      <c r="B1238" s="9">
        <v>12556.4</v>
      </c>
      <c r="C1238" s="9">
        <v>12643.9</v>
      </c>
      <c r="D1238" s="9">
        <v>12475.25</v>
      </c>
      <c r="E1238" s="9">
        <v>12631.1</v>
      </c>
      <c r="F1238" s="9">
        <v>8.47450692E8</v>
      </c>
      <c r="G1238" s="47">
        <v>51247.01</v>
      </c>
    </row>
    <row r="1239" ht="14.25" customHeight="1">
      <c r="A1239" s="46">
        <v>44146.0</v>
      </c>
      <c r="B1239" s="9">
        <v>12680.6</v>
      </c>
      <c r="C1239" s="9">
        <v>12769.75</v>
      </c>
      <c r="D1239" s="9">
        <v>12571.1</v>
      </c>
      <c r="E1239" s="9">
        <v>12749.15</v>
      </c>
      <c r="F1239" s="9">
        <v>8.80475468E8</v>
      </c>
      <c r="G1239" s="47">
        <v>54744.55</v>
      </c>
    </row>
    <row r="1240" ht="14.25" customHeight="1">
      <c r="A1240" s="46">
        <v>44147.0</v>
      </c>
      <c r="B1240" s="9">
        <v>12702.15</v>
      </c>
      <c r="C1240" s="9">
        <v>12741.15</v>
      </c>
      <c r="D1240" s="9">
        <v>12624.85</v>
      </c>
      <c r="E1240" s="9">
        <v>12690.8</v>
      </c>
      <c r="F1240" s="9">
        <v>6.22017762E8</v>
      </c>
      <c r="G1240" s="47">
        <v>36794.24</v>
      </c>
    </row>
    <row r="1241" ht="14.25" customHeight="1">
      <c r="A1241" s="46">
        <v>44148.0</v>
      </c>
      <c r="B1241" s="9">
        <v>12659.7</v>
      </c>
      <c r="C1241" s="9">
        <v>12735.95</v>
      </c>
      <c r="D1241" s="9">
        <v>12607.7</v>
      </c>
      <c r="E1241" s="9">
        <v>12719.95</v>
      </c>
      <c r="F1241" s="9">
        <v>5.13948665E8</v>
      </c>
      <c r="G1241" s="47">
        <v>34568.65</v>
      </c>
    </row>
    <row r="1242" ht="14.25" customHeight="1">
      <c r="A1242" s="46">
        <v>44149.0</v>
      </c>
      <c r="B1242" s="9">
        <v>12823.35</v>
      </c>
      <c r="C1242" s="9">
        <v>12828.7</v>
      </c>
      <c r="D1242" s="9">
        <v>12749.45</v>
      </c>
      <c r="E1242" s="9">
        <v>12780.25</v>
      </c>
      <c r="F1242" s="9">
        <v>1.07868139E8</v>
      </c>
      <c r="G1242" s="47">
        <v>5189.38</v>
      </c>
    </row>
    <row r="1243" ht="14.25" customHeight="1">
      <c r="A1243" s="46">
        <v>44152.0</v>
      </c>
      <c r="B1243" s="9">
        <v>12932.5</v>
      </c>
      <c r="C1243" s="9">
        <v>12934.05</v>
      </c>
      <c r="D1243" s="9">
        <v>12797.1</v>
      </c>
      <c r="E1243" s="9">
        <v>12874.2</v>
      </c>
      <c r="F1243" s="9">
        <v>7.07676873E8</v>
      </c>
      <c r="G1243" s="47">
        <v>40977.03</v>
      </c>
    </row>
    <row r="1244" ht="14.25" customHeight="1">
      <c r="A1244" s="46">
        <v>44153.0</v>
      </c>
      <c r="B1244" s="9">
        <v>12860.1</v>
      </c>
      <c r="C1244" s="9">
        <v>12948.85</v>
      </c>
      <c r="D1244" s="9">
        <v>12819.35</v>
      </c>
      <c r="E1244" s="9">
        <v>12938.25</v>
      </c>
      <c r="F1244" s="9">
        <v>7.31321438E8</v>
      </c>
      <c r="G1244" s="47">
        <v>39856.45</v>
      </c>
    </row>
    <row r="1245" ht="14.25" customHeight="1">
      <c r="A1245" s="46">
        <v>44154.0</v>
      </c>
      <c r="B1245" s="9">
        <v>12839.5</v>
      </c>
      <c r="C1245" s="9">
        <v>12963.0</v>
      </c>
      <c r="D1245" s="9">
        <v>12745.75</v>
      </c>
      <c r="E1245" s="9">
        <v>12771.7</v>
      </c>
      <c r="F1245" s="9">
        <v>7.68751782E8</v>
      </c>
      <c r="G1245" s="47">
        <v>44747.08</v>
      </c>
    </row>
    <row r="1246" ht="14.25" customHeight="1">
      <c r="A1246" s="46">
        <v>44155.0</v>
      </c>
      <c r="B1246" s="9">
        <v>12813.4</v>
      </c>
      <c r="C1246" s="9">
        <v>12892.45</v>
      </c>
      <c r="D1246" s="9">
        <v>12730.25</v>
      </c>
      <c r="E1246" s="9">
        <v>12859.05</v>
      </c>
      <c r="F1246" s="9">
        <v>6.63997267E8</v>
      </c>
      <c r="G1246" s="47">
        <v>42992.15</v>
      </c>
    </row>
    <row r="1247" ht="14.25" customHeight="1">
      <c r="A1247" s="46">
        <v>44158.0</v>
      </c>
      <c r="B1247" s="9">
        <v>12960.3</v>
      </c>
      <c r="C1247" s="9">
        <v>12968.85</v>
      </c>
      <c r="D1247" s="9">
        <v>12825.7</v>
      </c>
      <c r="E1247" s="9">
        <v>12926.45</v>
      </c>
      <c r="F1247" s="9">
        <v>6.33117401E8</v>
      </c>
      <c r="G1247" s="47">
        <v>42031.38</v>
      </c>
    </row>
    <row r="1248" ht="14.25" customHeight="1">
      <c r="A1248" s="46">
        <v>44159.0</v>
      </c>
      <c r="B1248" s="9">
        <v>13002.6</v>
      </c>
      <c r="C1248" s="9">
        <v>13079.1</v>
      </c>
      <c r="D1248" s="9">
        <v>12978.0</v>
      </c>
      <c r="E1248" s="9">
        <v>13055.15</v>
      </c>
      <c r="F1248" s="9">
        <v>5.71864976E8</v>
      </c>
      <c r="G1248" s="47">
        <v>37094.23</v>
      </c>
    </row>
    <row r="1249" ht="14.25" customHeight="1">
      <c r="A1249" s="46">
        <v>44160.0</v>
      </c>
      <c r="B1249" s="9">
        <v>13130.0</v>
      </c>
      <c r="C1249" s="9">
        <v>13145.85</v>
      </c>
      <c r="D1249" s="9">
        <v>12833.65</v>
      </c>
      <c r="E1249" s="9">
        <v>12858.4</v>
      </c>
      <c r="F1249" s="9">
        <v>6.79005507E8</v>
      </c>
      <c r="G1249" s="47">
        <v>37401.36</v>
      </c>
    </row>
    <row r="1250" ht="14.25" customHeight="1">
      <c r="A1250" s="46">
        <v>44161.0</v>
      </c>
      <c r="B1250" s="9">
        <v>12906.45</v>
      </c>
      <c r="C1250" s="9">
        <v>13018.0</v>
      </c>
      <c r="D1250" s="9">
        <v>12790.4</v>
      </c>
      <c r="E1250" s="9">
        <v>12987.0</v>
      </c>
      <c r="F1250" s="9">
        <v>5.49798925E8</v>
      </c>
      <c r="G1250" s="47">
        <v>34624.15</v>
      </c>
    </row>
    <row r="1251" ht="14.25" customHeight="1">
      <c r="A1251" s="46">
        <v>44162.0</v>
      </c>
      <c r="B1251" s="9">
        <v>13012.05</v>
      </c>
      <c r="C1251" s="9">
        <v>13035.3</v>
      </c>
      <c r="D1251" s="9">
        <v>12914.3</v>
      </c>
      <c r="E1251" s="9">
        <v>12968.95</v>
      </c>
      <c r="F1251" s="9">
        <v>1.162360673E9</v>
      </c>
      <c r="G1251" s="47">
        <v>78522.93</v>
      </c>
    </row>
    <row r="1252" ht="14.25" customHeight="1">
      <c r="A1252" s="46">
        <v>44166.0</v>
      </c>
      <c r="B1252" s="9">
        <v>13062.2</v>
      </c>
      <c r="C1252" s="9">
        <v>13128.4</v>
      </c>
      <c r="D1252" s="9">
        <v>12962.8</v>
      </c>
      <c r="E1252" s="9">
        <v>13109.05</v>
      </c>
      <c r="F1252" s="9">
        <v>5.83633902E8</v>
      </c>
      <c r="G1252" s="47">
        <v>32917.26</v>
      </c>
    </row>
    <row r="1253" ht="14.25" customHeight="1">
      <c r="A1253" s="46">
        <v>44167.0</v>
      </c>
      <c r="B1253" s="9">
        <v>13121.4</v>
      </c>
      <c r="C1253" s="9">
        <v>13128.5</v>
      </c>
      <c r="D1253" s="9">
        <v>12983.55</v>
      </c>
      <c r="E1253" s="9">
        <v>13113.75</v>
      </c>
      <c r="F1253" s="9">
        <v>7.17711761E8</v>
      </c>
      <c r="G1253" s="47">
        <v>34008.74</v>
      </c>
    </row>
    <row r="1254" ht="14.25" customHeight="1">
      <c r="A1254" s="46">
        <v>44168.0</v>
      </c>
      <c r="B1254" s="9">
        <v>13215.3</v>
      </c>
      <c r="C1254" s="9">
        <v>13216.6</v>
      </c>
      <c r="D1254" s="9">
        <v>13107.9</v>
      </c>
      <c r="E1254" s="9">
        <v>13133.9</v>
      </c>
      <c r="F1254" s="9">
        <v>7.13688035E8</v>
      </c>
      <c r="G1254" s="47">
        <v>39627.71</v>
      </c>
    </row>
    <row r="1255" ht="14.25" customHeight="1">
      <c r="A1255" s="46">
        <v>44169.0</v>
      </c>
      <c r="B1255" s="9">
        <v>13177.4</v>
      </c>
      <c r="C1255" s="9">
        <v>13280.05</v>
      </c>
      <c r="D1255" s="9">
        <v>13152.85</v>
      </c>
      <c r="E1255" s="9">
        <v>13258.55</v>
      </c>
      <c r="F1255" s="9">
        <v>6.40514315E8</v>
      </c>
      <c r="G1255" s="47">
        <v>36428.05</v>
      </c>
    </row>
    <row r="1256" ht="14.25" customHeight="1">
      <c r="A1256" s="46">
        <v>44172.0</v>
      </c>
      <c r="B1256" s="9">
        <v>13264.85</v>
      </c>
      <c r="C1256" s="9">
        <v>13366.65</v>
      </c>
      <c r="D1256" s="9">
        <v>13241.95</v>
      </c>
      <c r="E1256" s="9">
        <v>13355.75</v>
      </c>
      <c r="F1256" s="9">
        <v>5.91722966E8</v>
      </c>
      <c r="G1256" s="47">
        <v>33578.64</v>
      </c>
    </row>
    <row r="1257" ht="14.25" customHeight="1">
      <c r="A1257" s="46">
        <v>44173.0</v>
      </c>
      <c r="B1257" s="9">
        <v>13393.85</v>
      </c>
      <c r="C1257" s="9">
        <v>13435.45</v>
      </c>
      <c r="D1257" s="9">
        <v>13311.05</v>
      </c>
      <c r="E1257" s="9">
        <v>13392.95</v>
      </c>
      <c r="F1257" s="9">
        <v>5.43165361E8</v>
      </c>
      <c r="G1257" s="47">
        <v>33755.81</v>
      </c>
    </row>
    <row r="1258" ht="14.25" customHeight="1">
      <c r="A1258" s="46">
        <v>44174.0</v>
      </c>
      <c r="B1258" s="9">
        <v>13458.1</v>
      </c>
      <c r="C1258" s="9">
        <v>13548.9</v>
      </c>
      <c r="D1258" s="9">
        <v>13449.6</v>
      </c>
      <c r="E1258" s="9">
        <v>13529.1</v>
      </c>
      <c r="F1258" s="9">
        <v>5.02605319E8</v>
      </c>
      <c r="G1258" s="47">
        <v>28726.97</v>
      </c>
    </row>
    <row r="1259" ht="14.25" customHeight="1">
      <c r="A1259" s="46">
        <v>44175.0</v>
      </c>
      <c r="B1259" s="9">
        <v>13488.5</v>
      </c>
      <c r="C1259" s="9">
        <v>13503.55</v>
      </c>
      <c r="D1259" s="9">
        <v>13399.3</v>
      </c>
      <c r="E1259" s="9">
        <v>13478.3</v>
      </c>
      <c r="F1259" s="9">
        <v>5.53402501E8</v>
      </c>
      <c r="G1259" s="47">
        <v>30400.2</v>
      </c>
    </row>
    <row r="1260" ht="14.25" customHeight="1">
      <c r="A1260" s="46">
        <v>44176.0</v>
      </c>
      <c r="B1260" s="9">
        <v>13512.3</v>
      </c>
      <c r="C1260" s="9">
        <v>13579.35</v>
      </c>
      <c r="D1260" s="9">
        <v>13402.85</v>
      </c>
      <c r="E1260" s="9">
        <v>13513.85</v>
      </c>
      <c r="F1260" s="9">
        <v>7.87707481E8</v>
      </c>
      <c r="G1260" s="47">
        <v>33696.57</v>
      </c>
    </row>
    <row r="1261" ht="14.25" customHeight="1">
      <c r="A1261" s="46">
        <v>44179.0</v>
      </c>
      <c r="B1261" s="9">
        <v>13571.45</v>
      </c>
      <c r="C1261" s="9">
        <v>13597.5</v>
      </c>
      <c r="D1261" s="9">
        <v>13472.45</v>
      </c>
      <c r="E1261" s="9">
        <v>13558.15</v>
      </c>
      <c r="F1261" s="9">
        <v>5.58390043E8</v>
      </c>
      <c r="G1261" s="47">
        <v>28133.58</v>
      </c>
    </row>
    <row r="1262" ht="14.25" customHeight="1">
      <c r="A1262" s="46">
        <v>44180.0</v>
      </c>
      <c r="B1262" s="9">
        <v>13547.2</v>
      </c>
      <c r="C1262" s="9">
        <v>13589.65</v>
      </c>
      <c r="D1262" s="9">
        <v>13447.05</v>
      </c>
      <c r="E1262" s="9">
        <v>13567.85</v>
      </c>
      <c r="F1262" s="9">
        <v>4.97600393E8</v>
      </c>
      <c r="G1262" s="47">
        <v>30828.33</v>
      </c>
    </row>
    <row r="1263" ht="14.25" customHeight="1">
      <c r="A1263" s="46">
        <v>44181.0</v>
      </c>
      <c r="B1263" s="9">
        <v>13663.1</v>
      </c>
      <c r="C1263" s="9">
        <v>13692.35</v>
      </c>
      <c r="D1263" s="9">
        <v>13606.45</v>
      </c>
      <c r="E1263" s="9">
        <v>13682.7</v>
      </c>
      <c r="F1263" s="9">
        <v>4.62151091E8</v>
      </c>
      <c r="G1263" s="47">
        <v>27460.18</v>
      </c>
    </row>
    <row r="1264" ht="14.25" customHeight="1">
      <c r="A1264" s="46">
        <v>44182.0</v>
      </c>
      <c r="B1264" s="9">
        <v>13713.55</v>
      </c>
      <c r="C1264" s="9">
        <v>13773.25</v>
      </c>
      <c r="D1264" s="9">
        <v>13673.55</v>
      </c>
      <c r="E1264" s="9">
        <v>13740.7</v>
      </c>
      <c r="F1264" s="9">
        <v>4.1600852E8</v>
      </c>
      <c r="G1264" s="47">
        <v>27712.93</v>
      </c>
    </row>
    <row r="1265" ht="14.25" customHeight="1">
      <c r="A1265" s="46">
        <v>44183.0</v>
      </c>
      <c r="B1265" s="9">
        <v>13764.4</v>
      </c>
      <c r="C1265" s="9">
        <v>13772.85</v>
      </c>
      <c r="D1265" s="9">
        <v>13658.6</v>
      </c>
      <c r="E1265" s="9">
        <v>13760.55</v>
      </c>
      <c r="F1265" s="9">
        <v>5.19393189E8</v>
      </c>
      <c r="G1265" s="47">
        <v>34803.3</v>
      </c>
    </row>
    <row r="1266" ht="14.25" customHeight="1">
      <c r="A1266" s="46">
        <v>44186.0</v>
      </c>
      <c r="B1266" s="9">
        <v>13741.9</v>
      </c>
      <c r="C1266" s="9">
        <v>13777.5</v>
      </c>
      <c r="D1266" s="9">
        <v>13131.45</v>
      </c>
      <c r="E1266" s="9">
        <v>13328.4</v>
      </c>
      <c r="F1266" s="9">
        <v>6.872554E8</v>
      </c>
      <c r="G1266" s="47">
        <v>38243.62</v>
      </c>
    </row>
    <row r="1267" ht="14.25" customHeight="1">
      <c r="A1267" s="46">
        <v>44187.0</v>
      </c>
      <c r="B1267" s="9">
        <v>13373.65</v>
      </c>
      <c r="C1267" s="9">
        <v>13492.05</v>
      </c>
      <c r="D1267" s="9">
        <v>13192.9</v>
      </c>
      <c r="E1267" s="9">
        <v>13466.3</v>
      </c>
      <c r="F1267" s="9">
        <v>6.961973E8</v>
      </c>
      <c r="G1267" s="47">
        <v>36328.33</v>
      </c>
    </row>
    <row r="1268" ht="14.25" customHeight="1">
      <c r="A1268" s="46">
        <v>44188.0</v>
      </c>
      <c r="B1268" s="9">
        <v>13473.5</v>
      </c>
      <c r="C1268" s="9">
        <v>13619.45</v>
      </c>
      <c r="D1268" s="9">
        <v>13432.2</v>
      </c>
      <c r="E1268" s="9">
        <v>13601.1</v>
      </c>
      <c r="F1268" s="9">
        <v>4.58651819E8</v>
      </c>
      <c r="G1268" s="47">
        <v>27073.45</v>
      </c>
    </row>
    <row r="1269" ht="14.25" customHeight="1">
      <c r="A1269" s="46">
        <v>44189.0</v>
      </c>
      <c r="B1269" s="9">
        <v>13672.15</v>
      </c>
      <c r="C1269" s="9">
        <v>13771.75</v>
      </c>
      <c r="D1269" s="9">
        <v>13626.9</v>
      </c>
      <c r="E1269" s="9">
        <v>13749.25</v>
      </c>
      <c r="F1269" s="9">
        <v>4.7136773E8</v>
      </c>
      <c r="G1269" s="47">
        <v>24764.35</v>
      </c>
    </row>
    <row r="1270" ht="14.25" customHeight="1">
      <c r="A1270" s="46">
        <v>44193.0</v>
      </c>
      <c r="B1270" s="9">
        <v>13815.15</v>
      </c>
      <c r="C1270" s="9">
        <v>13885.3</v>
      </c>
      <c r="D1270" s="9">
        <v>13811.55</v>
      </c>
      <c r="E1270" s="9">
        <v>13873.2</v>
      </c>
      <c r="F1270" s="9">
        <v>4.0363403E8</v>
      </c>
      <c r="G1270" s="47">
        <v>20923.06</v>
      </c>
    </row>
    <row r="1271" ht="14.25" customHeight="1">
      <c r="A1271" s="46">
        <v>44194.0</v>
      </c>
      <c r="B1271" s="9">
        <v>13910.35</v>
      </c>
      <c r="C1271" s="9">
        <v>13967.6</v>
      </c>
      <c r="D1271" s="9">
        <v>13859.9</v>
      </c>
      <c r="E1271" s="9">
        <v>13932.6</v>
      </c>
      <c r="F1271" s="9">
        <v>4.39593961E8</v>
      </c>
      <c r="G1271" s="47">
        <v>25154.23</v>
      </c>
    </row>
    <row r="1272" ht="14.25" customHeight="1">
      <c r="A1272" s="46">
        <v>44195.0</v>
      </c>
      <c r="B1272" s="9">
        <v>13980.9</v>
      </c>
      <c r="C1272" s="9">
        <v>13997.0</v>
      </c>
      <c r="D1272" s="9">
        <v>13864.95</v>
      </c>
      <c r="E1272" s="9">
        <v>13981.95</v>
      </c>
      <c r="F1272" s="9">
        <v>3.80681073E8</v>
      </c>
      <c r="G1272" s="47">
        <v>24633.12</v>
      </c>
    </row>
    <row r="1273" ht="14.25" customHeight="1">
      <c r="A1273" s="46">
        <v>44196.0</v>
      </c>
      <c r="B1273" s="9">
        <v>13970.0</v>
      </c>
      <c r="C1273" s="9">
        <v>14024.85</v>
      </c>
      <c r="D1273" s="9">
        <v>13936.45</v>
      </c>
      <c r="E1273" s="9">
        <v>13981.75</v>
      </c>
      <c r="F1273" s="9">
        <v>4.52410109E8</v>
      </c>
      <c r="G1273" s="47">
        <v>26305.82</v>
      </c>
    </row>
    <row r="1274" ht="14.25" customHeight="1">
      <c r="A1274" s="46">
        <v>44197.0</v>
      </c>
      <c r="B1274" s="9">
        <v>13996.1</v>
      </c>
      <c r="C1274" s="9">
        <v>14049.85</v>
      </c>
      <c r="D1274" s="9">
        <v>13991.35</v>
      </c>
      <c r="E1274" s="9">
        <v>14018.5</v>
      </c>
      <c r="F1274" s="9">
        <v>2.58090905E8</v>
      </c>
      <c r="G1274" s="47">
        <v>15873.75</v>
      </c>
    </row>
    <row r="1275" ht="14.25" customHeight="1">
      <c r="A1275" s="46">
        <v>44200.0</v>
      </c>
      <c r="B1275" s="9">
        <v>14104.35</v>
      </c>
      <c r="C1275" s="9">
        <v>14147.95</v>
      </c>
      <c r="D1275" s="9">
        <v>13953.75</v>
      </c>
      <c r="E1275" s="9">
        <v>14132.9</v>
      </c>
      <c r="F1275" s="9">
        <v>4.94999295E8</v>
      </c>
      <c r="G1275" s="47">
        <v>28705.09</v>
      </c>
    </row>
    <row r="1276" ht="14.25" customHeight="1">
      <c r="A1276" s="46">
        <v>44201.0</v>
      </c>
      <c r="B1276" s="9">
        <v>14075.15</v>
      </c>
      <c r="C1276" s="9">
        <v>14215.6</v>
      </c>
      <c r="D1276" s="9">
        <v>14048.15</v>
      </c>
      <c r="E1276" s="9">
        <v>14199.5</v>
      </c>
      <c r="F1276" s="9">
        <v>4.92475349E8</v>
      </c>
      <c r="G1276" s="47">
        <v>30872.87</v>
      </c>
    </row>
    <row r="1277" ht="14.25" customHeight="1">
      <c r="A1277" s="46">
        <v>44202.0</v>
      </c>
      <c r="B1277" s="9">
        <v>14240.95</v>
      </c>
      <c r="C1277" s="9">
        <v>14244.15</v>
      </c>
      <c r="D1277" s="9">
        <v>14039.9</v>
      </c>
      <c r="E1277" s="9">
        <v>14146.25</v>
      </c>
      <c r="F1277" s="9">
        <v>6.32323316E8</v>
      </c>
      <c r="G1277" s="47">
        <v>34615.55</v>
      </c>
    </row>
    <row r="1278" ht="14.25" customHeight="1">
      <c r="A1278" s="46">
        <v>44203.0</v>
      </c>
      <c r="B1278" s="9">
        <v>14253.75</v>
      </c>
      <c r="C1278" s="9">
        <v>14256.25</v>
      </c>
      <c r="D1278" s="9">
        <v>14123.1</v>
      </c>
      <c r="E1278" s="9">
        <v>14137.35</v>
      </c>
      <c r="F1278" s="9">
        <v>5.59173512E8</v>
      </c>
      <c r="G1278" s="47">
        <v>33446.47</v>
      </c>
    </row>
    <row r="1279" ht="14.25" customHeight="1">
      <c r="A1279" s="46">
        <v>44204.0</v>
      </c>
      <c r="B1279" s="9">
        <v>14258.4</v>
      </c>
      <c r="C1279" s="9">
        <v>14367.3</v>
      </c>
      <c r="D1279" s="9">
        <v>14221.65</v>
      </c>
      <c r="E1279" s="9">
        <v>14347.25</v>
      </c>
      <c r="F1279" s="9">
        <v>6.13472067E8</v>
      </c>
      <c r="G1279" s="47">
        <v>37615.19</v>
      </c>
    </row>
    <row r="1280" ht="14.25" customHeight="1">
      <c r="A1280" s="46">
        <v>44207.0</v>
      </c>
      <c r="B1280" s="9">
        <v>14474.05</v>
      </c>
      <c r="C1280" s="9">
        <v>14498.2</v>
      </c>
      <c r="D1280" s="9">
        <v>14383.1</v>
      </c>
      <c r="E1280" s="9">
        <v>14484.75</v>
      </c>
      <c r="F1280" s="9">
        <v>6.72878543E8</v>
      </c>
      <c r="G1280" s="47">
        <v>40186.21</v>
      </c>
    </row>
    <row r="1281" ht="14.25" customHeight="1">
      <c r="A1281" s="46">
        <v>44208.0</v>
      </c>
      <c r="B1281" s="9">
        <v>14473.8</v>
      </c>
      <c r="C1281" s="9">
        <v>14590.65</v>
      </c>
      <c r="D1281" s="9">
        <v>14432.85</v>
      </c>
      <c r="E1281" s="9">
        <v>14563.45</v>
      </c>
      <c r="F1281" s="9">
        <v>9.29566952E8</v>
      </c>
      <c r="G1281" s="47">
        <v>44976.12</v>
      </c>
    </row>
    <row r="1282" ht="14.25" customHeight="1">
      <c r="A1282" s="46">
        <v>44209.0</v>
      </c>
      <c r="B1282" s="9">
        <v>14639.8</v>
      </c>
      <c r="C1282" s="9">
        <v>14653.35</v>
      </c>
      <c r="D1282" s="9">
        <v>14435.7</v>
      </c>
      <c r="E1282" s="9">
        <v>14564.85</v>
      </c>
      <c r="F1282" s="9">
        <v>8.73956688E8</v>
      </c>
      <c r="G1282" s="47">
        <v>44682.93</v>
      </c>
    </row>
    <row r="1283" ht="14.25" customHeight="1">
      <c r="A1283" s="46">
        <v>44210.0</v>
      </c>
      <c r="B1283" s="9">
        <v>14550.05</v>
      </c>
      <c r="C1283" s="9">
        <v>14617.8</v>
      </c>
      <c r="D1283" s="9">
        <v>14471.5</v>
      </c>
      <c r="E1283" s="9">
        <v>14595.6</v>
      </c>
      <c r="F1283" s="9">
        <v>6.20194977E8</v>
      </c>
      <c r="G1283" s="47">
        <v>37534.37</v>
      </c>
    </row>
    <row r="1284" ht="14.25" customHeight="1">
      <c r="A1284" s="46">
        <v>44211.0</v>
      </c>
      <c r="B1284" s="9">
        <v>14594.35</v>
      </c>
      <c r="C1284" s="9">
        <v>14617.45</v>
      </c>
      <c r="D1284" s="9">
        <v>14357.85</v>
      </c>
      <c r="E1284" s="9">
        <v>14433.7</v>
      </c>
      <c r="F1284" s="9">
        <v>7.89557216E8</v>
      </c>
      <c r="G1284" s="47">
        <v>39912.18</v>
      </c>
    </row>
    <row r="1285" ht="14.25" customHeight="1">
      <c r="A1285" s="46">
        <v>44214.0</v>
      </c>
      <c r="B1285" s="9">
        <v>14453.3</v>
      </c>
      <c r="C1285" s="9">
        <v>14459.15</v>
      </c>
      <c r="D1285" s="9">
        <v>14222.8</v>
      </c>
      <c r="E1285" s="9">
        <v>14281.3</v>
      </c>
      <c r="F1285" s="9">
        <v>7.62043554E8</v>
      </c>
      <c r="G1285" s="47">
        <v>41716.22</v>
      </c>
    </row>
    <row r="1286" ht="14.25" customHeight="1">
      <c r="A1286" s="46">
        <v>44215.0</v>
      </c>
      <c r="B1286" s="9">
        <v>14371.65</v>
      </c>
      <c r="C1286" s="9">
        <v>14546.05</v>
      </c>
      <c r="D1286" s="9">
        <v>14350.85</v>
      </c>
      <c r="E1286" s="9">
        <v>14521.15</v>
      </c>
      <c r="F1286" s="9">
        <v>5.46108304E8</v>
      </c>
      <c r="G1286" s="47">
        <v>33084.79</v>
      </c>
    </row>
    <row r="1287" ht="14.25" customHeight="1">
      <c r="A1287" s="46">
        <v>44216.0</v>
      </c>
      <c r="B1287" s="9">
        <v>14538.3</v>
      </c>
      <c r="C1287" s="9">
        <v>14666.45</v>
      </c>
      <c r="D1287" s="9">
        <v>14517.55</v>
      </c>
      <c r="E1287" s="9">
        <v>14644.7</v>
      </c>
      <c r="F1287" s="9">
        <v>6.23069963E8</v>
      </c>
      <c r="G1287" s="47">
        <v>34639.36</v>
      </c>
    </row>
    <row r="1288" ht="14.25" customHeight="1">
      <c r="A1288" s="46">
        <v>44217.0</v>
      </c>
      <c r="B1288" s="9">
        <v>14730.95</v>
      </c>
      <c r="C1288" s="9">
        <v>14753.55</v>
      </c>
      <c r="D1288" s="9">
        <v>14517.25</v>
      </c>
      <c r="E1288" s="9">
        <v>14590.35</v>
      </c>
      <c r="F1288" s="9">
        <v>7.04646957E8</v>
      </c>
      <c r="G1288" s="47">
        <v>41939.04</v>
      </c>
    </row>
    <row r="1289" ht="14.25" customHeight="1">
      <c r="A1289" s="46">
        <v>44218.0</v>
      </c>
      <c r="B1289" s="9">
        <v>14583.4</v>
      </c>
      <c r="C1289" s="9">
        <v>14619.9</v>
      </c>
      <c r="D1289" s="9">
        <v>14357.75</v>
      </c>
      <c r="E1289" s="9">
        <v>14371.9</v>
      </c>
      <c r="F1289" s="9">
        <v>7.76750347E8</v>
      </c>
      <c r="G1289" s="47">
        <v>45322.54</v>
      </c>
    </row>
    <row r="1290" ht="14.25" customHeight="1">
      <c r="A1290" s="46">
        <v>44221.0</v>
      </c>
      <c r="B1290" s="9">
        <v>14477.8</v>
      </c>
      <c r="C1290" s="9">
        <v>14491.1</v>
      </c>
      <c r="D1290" s="9">
        <v>14218.6</v>
      </c>
      <c r="E1290" s="9">
        <v>14238.9</v>
      </c>
      <c r="F1290" s="9">
        <v>6.18631493E8</v>
      </c>
      <c r="G1290" s="47">
        <v>42278.39</v>
      </c>
    </row>
    <row r="1291" ht="14.25" customHeight="1">
      <c r="A1291" s="46">
        <v>44223.0</v>
      </c>
      <c r="B1291" s="9">
        <v>14237.95</v>
      </c>
      <c r="C1291" s="9">
        <v>14237.95</v>
      </c>
      <c r="D1291" s="9">
        <v>13929.3</v>
      </c>
      <c r="E1291" s="9">
        <v>13967.5</v>
      </c>
      <c r="F1291" s="9">
        <v>6.60711117E8</v>
      </c>
      <c r="G1291" s="47">
        <v>40579.24</v>
      </c>
    </row>
    <row r="1292" ht="14.25" customHeight="1">
      <c r="A1292" s="46">
        <v>44224.0</v>
      </c>
      <c r="B1292" s="9">
        <v>13810.4</v>
      </c>
      <c r="C1292" s="9">
        <v>13898.25</v>
      </c>
      <c r="D1292" s="9">
        <v>13713.25</v>
      </c>
      <c r="E1292" s="9">
        <v>13817.55</v>
      </c>
      <c r="F1292" s="9">
        <v>6.37871621E8</v>
      </c>
      <c r="G1292" s="47">
        <v>39881.82</v>
      </c>
    </row>
    <row r="1293" ht="14.25" customHeight="1">
      <c r="A1293" s="46">
        <v>44225.0</v>
      </c>
      <c r="B1293" s="9">
        <v>13946.6</v>
      </c>
      <c r="C1293" s="9">
        <v>13966.85</v>
      </c>
      <c r="D1293" s="9">
        <v>13596.75</v>
      </c>
      <c r="E1293" s="9">
        <v>13634.6</v>
      </c>
      <c r="F1293" s="9">
        <v>7.53206122E8</v>
      </c>
      <c r="G1293" s="47">
        <v>46918.29</v>
      </c>
    </row>
    <row r="1294" ht="14.25" customHeight="1">
      <c r="A1294" s="46">
        <v>44228.0</v>
      </c>
      <c r="B1294" s="9">
        <v>13758.6</v>
      </c>
      <c r="C1294" s="9">
        <v>14336.35</v>
      </c>
      <c r="D1294" s="9">
        <v>13661.75</v>
      </c>
      <c r="E1294" s="9">
        <v>14281.2</v>
      </c>
      <c r="F1294" s="9">
        <v>8.70529495E8</v>
      </c>
      <c r="G1294" s="47">
        <v>51840.22</v>
      </c>
    </row>
    <row r="1295" ht="14.25" customHeight="1">
      <c r="A1295" s="46">
        <v>44229.0</v>
      </c>
      <c r="B1295" s="9">
        <v>14481.1</v>
      </c>
      <c r="C1295" s="9">
        <v>14731.7</v>
      </c>
      <c r="D1295" s="9">
        <v>14469.15</v>
      </c>
      <c r="E1295" s="9">
        <v>14647.85</v>
      </c>
      <c r="F1295" s="9">
        <v>9.14965225E8</v>
      </c>
      <c r="G1295" s="47">
        <v>58177.74</v>
      </c>
    </row>
    <row r="1296" ht="14.25" customHeight="1">
      <c r="A1296" s="46">
        <v>44230.0</v>
      </c>
      <c r="B1296" s="9">
        <v>14754.9</v>
      </c>
      <c r="C1296" s="9">
        <v>14868.85</v>
      </c>
      <c r="D1296" s="9">
        <v>14574.15</v>
      </c>
      <c r="E1296" s="9">
        <v>14789.95</v>
      </c>
      <c r="F1296" s="9">
        <v>8.69477087E8</v>
      </c>
      <c r="G1296" s="47">
        <v>49312.35</v>
      </c>
    </row>
    <row r="1297" ht="14.25" customHeight="1">
      <c r="A1297" s="46">
        <v>44231.0</v>
      </c>
      <c r="B1297" s="9">
        <v>14789.05</v>
      </c>
      <c r="C1297" s="9">
        <v>14913.7</v>
      </c>
      <c r="D1297" s="9">
        <v>14714.75</v>
      </c>
      <c r="E1297" s="9">
        <v>14895.65</v>
      </c>
      <c r="F1297" s="9">
        <v>8.84686415E8</v>
      </c>
      <c r="G1297" s="47">
        <v>47811.8</v>
      </c>
    </row>
    <row r="1298" ht="14.25" customHeight="1">
      <c r="A1298" s="46">
        <v>44232.0</v>
      </c>
      <c r="B1298" s="9">
        <v>14952.6</v>
      </c>
      <c r="C1298" s="9">
        <v>15014.65</v>
      </c>
      <c r="D1298" s="9">
        <v>14864.75</v>
      </c>
      <c r="E1298" s="9">
        <v>14924.25</v>
      </c>
      <c r="F1298" s="9">
        <v>9.35629058E8</v>
      </c>
      <c r="G1298" s="47">
        <v>54394.63</v>
      </c>
    </row>
    <row r="1299" ht="14.25" customHeight="1">
      <c r="A1299" s="46">
        <v>44235.0</v>
      </c>
      <c r="B1299" s="9">
        <v>15064.3</v>
      </c>
      <c r="C1299" s="9">
        <v>15159.9</v>
      </c>
      <c r="D1299" s="9">
        <v>15041.05</v>
      </c>
      <c r="E1299" s="9">
        <v>15115.8</v>
      </c>
      <c r="F1299" s="9">
        <v>6.71242694E8</v>
      </c>
      <c r="G1299" s="47">
        <v>40483.96</v>
      </c>
    </row>
    <row r="1300" ht="14.25" customHeight="1">
      <c r="A1300" s="46">
        <v>44236.0</v>
      </c>
      <c r="B1300" s="9">
        <v>15164.15</v>
      </c>
      <c r="C1300" s="9">
        <v>15257.1</v>
      </c>
      <c r="D1300" s="9">
        <v>15064.3</v>
      </c>
      <c r="E1300" s="9">
        <v>15109.3</v>
      </c>
      <c r="F1300" s="9">
        <v>7.13279133E8</v>
      </c>
      <c r="G1300" s="47">
        <v>41930.72</v>
      </c>
    </row>
    <row r="1301" ht="14.25" customHeight="1">
      <c r="A1301" s="46">
        <v>44237.0</v>
      </c>
      <c r="B1301" s="9">
        <v>15119.05</v>
      </c>
      <c r="C1301" s="9">
        <v>15168.25</v>
      </c>
      <c r="D1301" s="9">
        <v>14977.2</v>
      </c>
      <c r="E1301" s="9">
        <v>15106.5</v>
      </c>
      <c r="F1301" s="9">
        <v>6.24791133E8</v>
      </c>
      <c r="G1301" s="47">
        <v>40707.97</v>
      </c>
    </row>
    <row r="1302" ht="14.25" customHeight="1">
      <c r="A1302" s="46">
        <v>44238.0</v>
      </c>
      <c r="B1302" s="9">
        <v>15073.25</v>
      </c>
      <c r="C1302" s="9">
        <v>15188.5</v>
      </c>
      <c r="D1302" s="9">
        <v>15065.4</v>
      </c>
      <c r="E1302" s="9">
        <v>15173.3</v>
      </c>
      <c r="F1302" s="9">
        <v>5.00122414E8</v>
      </c>
      <c r="G1302" s="47">
        <v>30933.44</v>
      </c>
    </row>
    <row r="1303" ht="14.25" customHeight="1">
      <c r="A1303" s="46">
        <v>44239.0</v>
      </c>
      <c r="B1303" s="9">
        <v>15186.2</v>
      </c>
      <c r="C1303" s="9">
        <v>15243.5</v>
      </c>
      <c r="D1303" s="9">
        <v>15081.0</v>
      </c>
      <c r="E1303" s="9">
        <v>15163.3</v>
      </c>
      <c r="F1303" s="9">
        <v>5.71808807E8</v>
      </c>
      <c r="G1303" s="47">
        <v>32304.24</v>
      </c>
    </row>
    <row r="1304" ht="14.25" customHeight="1">
      <c r="A1304" s="46">
        <v>44242.0</v>
      </c>
      <c r="B1304" s="9">
        <v>15270.3</v>
      </c>
      <c r="C1304" s="9">
        <v>15340.15</v>
      </c>
      <c r="D1304" s="9">
        <v>15243.4</v>
      </c>
      <c r="E1304" s="9">
        <v>15314.7</v>
      </c>
      <c r="F1304" s="9">
        <v>4.5595972E8</v>
      </c>
      <c r="G1304" s="47">
        <v>28955.29</v>
      </c>
    </row>
    <row r="1305" ht="14.25" customHeight="1">
      <c r="A1305" s="46">
        <v>44243.0</v>
      </c>
      <c r="B1305" s="9">
        <v>15371.45</v>
      </c>
      <c r="C1305" s="9">
        <v>15431.75</v>
      </c>
      <c r="D1305" s="9">
        <v>15242.2</v>
      </c>
      <c r="E1305" s="9">
        <v>15313.45</v>
      </c>
      <c r="F1305" s="9">
        <v>6.4854532E8</v>
      </c>
      <c r="G1305" s="47">
        <v>36550.03</v>
      </c>
    </row>
    <row r="1306" ht="14.25" customHeight="1">
      <c r="A1306" s="46">
        <v>44244.0</v>
      </c>
      <c r="B1306" s="9">
        <v>15279.9</v>
      </c>
      <c r="C1306" s="9">
        <v>15314.3</v>
      </c>
      <c r="D1306" s="9">
        <v>15170.75</v>
      </c>
      <c r="E1306" s="9">
        <v>15208.9</v>
      </c>
      <c r="F1306" s="9">
        <v>5.04767226E8</v>
      </c>
      <c r="G1306" s="47">
        <v>34073.12</v>
      </c>
    </row>
    <row r="1307" ht="14.25" customHeight="1">
      <c r="A1307" s="46">
        <v>44245.0</v>
      </c>
      <c r="B1307" s="9">
        <v>15238.7</v>
      </c>
      <c r="C1307" s="9">
        <v>15250.75</v>
      </c>
      <c r="D1307" s="9">
        <v>15078.05</v>
      </c>
      <c r="E1307" s="9">
        <v>15118.95</v>
      </c>
      <c r="F1307" s="9">
        <v>7.70629541E8</v>
      </c>
      <c r="G1307" s="47">
        <v>37093.99</v>
      </c>
    </row>
    <row r="1308" ht="14.25" customHeight="1">
      <c r="A1308" s="46">
        <v>44246.0</v>
      </c>
      <c r="B1308" s="9">
        <v>15074.8</v>
      </c>
      <c r="C1308" s="9">
        <v>15144.05</v>
      </c>
      <c r="D1308" s="9">
        <v>14898.2</v>
      </c>
      <c r="E1308" s="9">
        <v>14981.75</v>
      </c>
      <c r="F1308" s="9">
        <v>7.12213821E8</v>
      </c>
      <c r="G1308" s="47">
        <v>37419.34</v>
      </c>
    </row>
    <row r="1309" ht="14.25" customHeight="1">
      <c r="A1309" s="46">
        <v>44249.0</v>
      </c>
      <c r="B1309" s="9">
        <v>14999.05</v>
      </c>
      <c r="C1309" s="9">
        <v>15010.1</v>
      </c>
      <c r="D1309" s="9">
        <v>14635.05</v>
      </c>
      <c r="E1309" s="9">
        <v>14675.7</v>
      </c>
      <c r="F1309" s="9">
        <v>6.09898454E8</v>
      </c>
      <c r="G1309" s="47">
        <v>37578.07</v>
      </c>
    </row>
    <row r="1310" ht="14.25" customHeight="1">
      <c r="A1310" s="46">
        <v>44250.0</v>
      </c>
      <c r="B1310" s="9">
        <v>14782.25</v>
      </c>
      <c r="C1310" s="9">
        <v>14854.5</v>
      </c>
      <c r="D1310" s="9">
        <v>14651.85</v>
      </c>
      <c r="E1310" s="9">
        <v>14707.8</v>
      </c>
      <c r="F1310" s="9">
        <v>7.44092809E8</v>
      </c>
      <c r="G1310" s="47">
        <v>39508.09</v>
      </c>
    </row>
    <row r="1311" ht="14.25" customHeight="1">
      <c r="A1311" s="46">
        <v>44251.0</v>
      </c>
      <c r="B1311" s="9">
        <v>14729.15</v>
      </c>
      <c r="C1311" s="9">
        <v>15008.8</v>
      </c>
      <c r="D1311" s="9">
        <v>14723.05</v>
      </c>
      <c r="E1311" s="9">
        <v>14982.0</v>
      </c>
      <c r="F1311" s="9">
        <v>4.03754669E8</v>
      </c>
      <c r="G1311" s="47">
        <v>23723.99</v>
      </c>
    </row>
    <row r="1312" ht="14.25" customHeight="1">
      <c r="A1312" s="46">
        <v>44252.0</v>
      </c>
      <c r="B1312" s="9">
        <v>15079.85</v>
      </c>
      <c r="C1312" s="9">
        <v>15176.5</v>
      </c>
      <c r="D1312" s="9">
        <v>15065.35</v>
      </c>
      <c r="E1312" s="9">
        <v>15097.35</v>
      </c>
      <c r="F1312" s="9">
        <v>8.03883875E8</v>
      </c>
      <c r="G1312" s="47">
        <v>42983.07</v>
      </c>
    </row>
    <row r="1313" ht="14.25" customHeight="1">
      <c r="A1313" s="46">
        <v>44253.0</v>
      </c>
      <c r="B1313" s="9">
        <v>14888.6</v>
      </c>
      <c r="C1313" s="9">
        <v>14919.45</v>
      </c>
      <c r="D1313" s="9">
        <v>14467.75</v>
      </c>
      <c r="E1313" s="9">
        <v>14529.15</v>
      </c>
      <c r="F1313" s="9">
        <v>1.103644519E9</v>
      </c>
      <c r="G1313" s="47">
        <v>65012.96</v>
      </c>
    </row>
    <row r="1314" ht="14.25" customHeight="1">
      <c r="A1314" s="46">
        <v>44256.0</v>
      </c>
      <c r="B1314" s="9">
        <v>14702.5</v>
      </c>
      <c r="C1314" s="9">
        <v>14806.8</v>
      </c>
      <c r="D1314" s="9">
        <v>14638.55</v>
      </c>
      <c r="E1314" s="9">
        <v>14761.55</v>
      </c>
      <c r="F1314" s="9">
        <v>5.07302977E8</v>
      </c>
      <c r="G1314" s="47">
        <v>30030.57</v>
      </c>
    </row>
    <row r="1315" ht="14.25" customHeight="1">
      <c r="A1315" s="46">
        <v>44257.0</v>
      </c>
      <c r="B1315" s="9">
        <v>14865.3</v>
      </c>
      <c r="C1315" s="9">
        <v>14959.1</v>
      </c>
      <c r="D1315" s="9">
        <v>14760.8</v>
      </c>
      <c r="E1315" s="9">
        <v>14919.1</v>
      </c>
      <c r="F1315" s="9">
        <v>6.21723916E8</v>
      </c>
      <c r="G1315" s="47">
        <v>34647.26</v>
      </c>
    </row>
    <row r="1316" ht="14.25" customHeight="1">
      <c r="A1316" s="46">
        <v>44258.0</v>
      </c>
      <c r="B1316" s="9">
        <v>15064.4</v>
      </c>
      <c r="C1316" s="9">
        <v>15273.15</v>
      </c>
      <c r="D1316" s="9">
        <v>14995.8</v>
      </c>
      <c r="E1316" s="9">
        <v>15245.6</v>
      </c>
      <c r="F1316" s="9">
        <v>5.44205583E8</v>
      </c>
      <c r="G1316" s="47">
        <v>34567.73</v>
      </c>
    </row>
    <row r="1317" ht="14.25" customHeight="1">
      <c r="A1317" s="46">
        <v>44259.0</v>
      </c>
      <c r="B1317" s="9">
        <v>15026.75</v>
      </c>
      <c r="C1317" s="9">
        <v>15202.35</v>
      </c>
      <c r="D1317" s="9">
        <v>14980.2</v>
      </c>
      <c r="E1317" s="9">
        <v>15080.75</v>
      </c>
      <c r="F1317" s="9">
        <v>5.34850447E8</v>
      </c>
      <c r="G1317" s="47">
        <v>36036.02</v>
      </c>
    </row>
    <row r="1318" ht="14.25" customHeight="1">
      <c r="A1318" s="46">
        <v>44260.0</v>
      </c>
      <c r="B1318" s="9">
        <v>14977.95</v>
      </c>
      <c r="C1318" s="9">
        <v>15092.35</v>
      </c>
      <c r="D1318" s="9">
        <v>14862.1</v>
      </c>
      <c r="E1318" s="9">
        <v>14938.1</v>
      </c>
      <c r="F1318" s="9">
        <v>6.40700362E8</v>
      </c>
      <c r="G1318" s="47">
        <v>37811.6</v>
      </c>
    </row>
    <row r="1319" ht="14.25" customHeight="1">
      <c r="A1319" s="46">
        <v>44263.0</v>
      </c>
      <c r="B1319" s="9">
        <v>15002.45</v>
      </c>
      <c r="C1319" s="9">
        <v>15111.15</v>
      </c>
      <c r="D1319" s="9">
        <v>14919.9</v>
      </c>
      <c r="E1319" s="9">
        <v>14956.2</v>
      </c>
      <c r="F1319" s="9">
        <v>5.80308065E8</v>
      </c>
      <c r="G1319" s="47">
        <v>29518.07</v>
      </c>
    </row>
    <row r="1320" ht="14.25" customHeight="1">
      <c r="A1320" s="46">
        <v>44264.0</v>
      </c>
      <c r="B1320" s="9">
        <v>15049.9</v>
      </c>
      <c r="C1320" s="9">
        <v>15126.85</v>
      </c>
      <c r="D1320" s="9">
        <v>14925.45</v>
      </c>
      <c r="E1320" s="9">
        <v>15098.4</v>
      </c>
      <c r="F1320" s="9">
        <v>6.75271251E8</v>
      </c>
      <c r="G1320" s="47">
        <v>38365.48</v>
      </c>
    </row>
    <row r="1321" ht="14.25" customHeight="1">
      <c r="A1321" s="46">
        <v>44265.0</v>
      </c>
      <c r="B1321" s="9">
        <v>15202.15</v>
      </c>
      <c r="C1321" s="9">
        <v>15218.45</v>
      </c>
      <c r="D1321" s="9">
        <v>15100.85</v>
      </c>
      <c r="E1321" s="9">
        <v>15174.8</v>
      </c>
      <c r="F1321" s="9">
        <v>4.04585756E8</v>
      </c>
      <c r="G1321" s="47">
        <v>25603.32</v>
      </c>
    </row>
    <row r="1322" ht="14.25" customHeight="1">
      <c r="A1322" s="46">
        <v>44267.0</v>
      </c>
      <c r="B1322" s="9">
        <v>15321.15</v>
      </c>
      <c r="C1322" s="9">
        <v>15336.3</v>
      </c>
      <c r="D1322" s="9">
        <v>14953.6</v>
      </c>
      <c r="E1322" s="9">
        <v>15030.95</v>
      </c>
      <c r="F1322" s="9">
        <v>4.93238854E8</v>
      </c>
      <c r="G1322" s="47">
        <v>32195.96</v>
      </c>
    </row>
    <row r="1323" ht="14.25" customHeight="1">
      <c r="A1323" s="46">
        <v>44270.0</v>
      </c>
      <c r="B1323" s="9">
        <v>15048.4</v>
      </c>
      <c r="C1323" s="9">
        <v>15048.4</v>
      </c>
      <c r="D1323" s="9">
        <v>14745.85</v>
      </c>
      <c r="E1323" s="9">
        <v>14929.5</v>
      </c>
      <c r="F1323" s="9">
        <v>4.67473367E8</v>
      </c>
      <c r="G1323" s="47">
        <v>28118.0</v>
      </c>
    </row>
    <row r="1324" ht="14.25" customHeight="1">
      <c r="A1324" s="46">
        <v>44271.0</v>
      </c>
      <c r="B1324" s="9">
        <v>14996.1</v>
      </c>
      <c r="C1324" s="9">
        <v>15051.6</v>
      </c>
      <c r="D1324" s="9">
        <v>14890.65</v>
      </c>
      <c r="E1324" s="9">
        <v>14910.45</v>
      </c>
      <c r="F1324" s="9">
        <v>4.37651327E8</v>
      </c>
      <c r="G1324" s="47">
        <v>27975.07</v>
      </c>
    </row>
    <row r="1325" ht="14.25" customHeight="1">
      <c r="A1325" s="46">
        <v>44272.0</v>
      </c>
      <c r="B1325" s="9">
        <v>14946.55</v>
      </c>
      <c r="C1325" s="9">
        <v>14956.55</v>
      </c>
      <c r="D1325" s="9">
        <v>14696.05</v>
      </c>
      <c r="E1325" s="9">
        <v>14721.3</v>
      </c>
      <c r="F1325" s="9">
        <v>4.79352147E8</v>
      </c>
      <c r="G1325" s="47">
        <v>27983.5</v>
      </c>
    </row>
    <row r="1326" ht="14.25" customHeight="1">
      <c r="A1326" s="46">
        <v>44273.0</v>
      </c>
      <c r="B1326" s="9">
        <v>14855.5</v>
      </c>
      <c r="C1326" s="9">
        <v>14875.2</v>
      </c>
      <c r="D1326" s="9">
        <v>14478.6</v>
      </c>
      <c r="E1326" s="9">
        <v>14557.85</v>
      </c>
      <c r="F1326" s="9">
        <v>5.42216908E8</v>
      </c>
      <c r="G1326" s="47">
        <v>31339.71</v>
      </c>
    </row>
    <row r="1327" ht="14.25" customHeight="1">
      <c r="A1327" s="46">
        <v>44274.0</v>
      </c>
      <c r="B1327" s="9">
        <v>14471.15</v>
      </c>
      <c r="C1327" s="9">
        <v>14788.25</v>
      </c>
      <c r="D1327" s="9">
        <v>14350.1</v>
      </c>
      <c r="E1327" s="9">
        <v>14744.0</v>
      </c>
      <c r="F1327" s="9">
        <v>9.19178208E8</v>
      </c>
      <c r="G1327" s="47">
        <v>49011.27</v>
      </c>
    </row>
    <row r="1328" ht="14.25" customHeight="1">
      <c r="A1328" s="46">
        <v>44277.0</v>
      </c>
      <c r="B1328" s="9">
        <v>14736.3</v>
      </c>
      <c r="C1328" s="9">
        <v>14763.9</v>
      </c>
      <c r="D1328" s="9">
        <v>14597.85</v>
      </c>
      <c r="E1328" s="9">
        <v>14736.4</v>
      </c>
      <c r="F1328" s="9">
        <v>4.58997059E8</v>
      </c>
      <c r="G1328" s="47">
        <v>27345.02</v>
      </c>
    </row>
    <row r="1329" ht="14.25" customHeight="1">
      <c r="A1329" s="46">
        <v>44278.0</v>
      </c>
      <c r="B1329" s="9">
        <v>14768.55</v>
      </c>
      <c r="C1329" s="9">
        <v>14878.6</v>
      </c>
      <c r="D1329" s="9">
        <v>14707.0</v>
      </c>
      <c r="E1329" s="9">
        <v>14814.75</v>
      </c>
      <c r="F1329" s="9">
        <v>4.74150088E8</v>
      </c>
      <c r="G1329" s="47">
        <v>30322.09</v>
      </c>
    </row>
    <row r="1330" ht="14.25" customHeight="1">
      <c r="A1330" s="46">
        <v>44279.0</v>
      </c>
      <c r="B1330" s="9">
        <v>14712.45</v>
      </c>
      <c r="C1330" s="9">
        <v>14752.35</v>
      </c>
      <c r="D1330" s="9">
        <v>14535.0</v>
      </c>
      <c r="E1330" s="9">
        <v>14549.4</v>
      </c>
      <c r="F1330" s="9">
        <v>4.56403503E8</v>
      </c>
      <c r="G1330" s="47">
        <v>27868.93</v>
      </c>
    </row>
    <row r="1331" ht="14.25" customHeight="1">
      <c r="A1331" s="46">
        <v>44280.0</v>
      </c>
      <c r="B1331" s="9">
        <v>14570.9</v>
      </c>
      <c r="C1331" s="9">
        <v>14575.6</v>
      </c>
      <c r="D1331" s="9">
        <v>14264.4</v>
      </c>
      <c r="E1331" s="9">
        <v>14324.9</v>
      </c>
      <c r="F1331" s="9">
        <v>6.06820996E8</v>
      </c>
      <c r="G1331" s="47">
        <v>35350.22</v>
      </c>
    </row>
    <row r="1332" ht="14.25" customHeight="1">
      <c r="A1332" s="46">
        <v>44281.0</v>
      </c>
      <c r="B1332" s="9">
        <v>14506.3</v>
      </c>
      <c r="C1332" s="9">
        <v>14572.9</v>
      </c>
      <c r="D1332" s="9">
        <v>14414.25</v>
      </c>
      <c r="E1332" s="9">
        <v>14507.3</v>
      </c>
      <c r="F1332" s="9">
        <v>4.81000845E8</v>
      </c>
      <c r="G1332" s="47">
        <v>29423.45</v>
      </c>
    </row>
    <row r="1333" ht="14.25" customHeight="1">
      <c r="A1333" s="46">
        <v>44285.0</v>
      </c>
      <c r="B1333" s="9">
        <v>14628.5</v>
      </c>
      <c r="C1333" s="9">
        <v>14876.3</v>
      </c>
      <c r="D1333" s="9">
        <v>14617.6</v>
      </c>
      <c r="E1333" s="9">
        <v>14845.1</v>
      </c>
      <c r="F1333" s="9">
        <v>5.94520567E8</v>
      </c>
      <c r="G1333" s="47">
        <v>35117.93</v>
      </c>
    </row>
    <row r="1334" ht="14.25" customHeight="1">
      <c r="A1334" s="46">
        <v>44286.0</v>
      </c>
      <c r="B1334" s="9">
        <v>14811.85</v>
      </c>
      <c r="C1334" s="9">
        <v>14813.75</v>
      </c>
      <c r="D1334" s="9">
        <v>14670.25</v>
      </c>
      <c r="E1334" s="9">
        <v>14690.7</v>
      </c>
      <c r="F1334" s="9">
        <v>4.36874691E8</v>
      </c>
      <c r="G1334" s="47">
        <v>29741.83</v>
      </c>
    </row>
    <row r="1335" ht="14.25" customHeight="1">
      <c r="A1335" s="46">
        <v>44287.0</v>
      </c>
      <c r="B1335" s="9">
        <v>14798.4</v>
      </c>
      <c r="C1335" s="9">
        <v>14883.2</v>
      </c>
      <c r="D1335" s="9">
        <v>14692.45</v>
      </c>
      <c r="E1335" s="9">
        <v>14867.35</v>
      </c>
      <c r="F1335" s="9">
        <v>4.30028476E8</v>
      </c>
      <c r="G1335" s="47">
        <v>29585.23</v>
      </c>
    </row>
    <row r="1336" ht="14.25" customHeight="1">
      <c r="A1336" s="46">
        <v>44291.0</v>
      </c>
      <c r="B1336" s="9">
        <v>14837.7</v>
      </c>
      <c r="C1336" s="9">
        <v>14849.85</v>
      </c>
      <c r="D1336" s="9">
        <v>14459.5</v>
      </c>
      <c r="E1336" s="9">
        <v>14637.8</v>
      </c>
      <c r="F1336" s="9">
        <v>5.0047669E8</v>
      </c>
      <c r="G1336" s="47">
        <v>33885.39</v>
      </c>
    </row>
    <row r="1337" ht="14.25" customHeight="1">
      <c r="A1337" s="46">
        <v>44292.0</v>
      </c>
      <c r="B1337" s="9">
        <v>14737.0</v>
      </c>
      <c r="C1337" s="9">
        <v>14779.1</v>
      </c>
      <c r="D1337" s="9">
        <v>14573.9</v>
      </c>
      <c r="E1337" s="9">
        <v>14683.5</v>
      </c>
      <c r="F1337" s="9">
        <v>4.74211156E8</v>
      </c>
      <c r="G1337" s="47">
        <v>31885.97</v>
      </c>
    </row>
    <row r="1338" ht="14.25" customHeight="1">
      <c r="A1338" s="46">
        <v>44293.0</v>
      </c>
      <c r="B1338" s="9">
        <v>14716.45</v>
      </c>
      <c r="C1338" s="9">
        <v>14879.8</v>
      </c>
      <c r="D1338" s="9">
        <v>14649.85</v>
      </c>
      <c r="E1338" s="9">
        <v>14819.05</v>
      </c>
      <c r="F1338" s="9">
        <v>4.76382016E8</v>
      </c>
      <c r="G1338" s="47">
        <v>35184.96</v>
      </c>
    </row>
    <row r="1339" ht="14.25" customHeight="1">
      <c r="A1339" s="46">
        <v>44294.0</v>
      </c>
      <c r="B1339" s="9">
        <v>14875.65</v>
      </c>
      <c r="C1339" s="9">
        <v>14984.15</v>
      </c>
      <c r="D1339" s="9">
        <v>14821.1</v>
      </c>
      <c r="E1339" s="9">
        <v>14873.8</v>
      </c>
      <c r="F1339" s="9">
        <v>5.03728173E8</v>
      </c>
      <c r="G1339" s="47">
        <v>34444.56</v>
      </c>
    </row>
    <row r="1340" ht="14.25" customHeight="1">
      <c r="A1340" s="46">
        <v>44295.0</v>
      </c>
      <c r="B1340" s="9">
        <v>14882.65</v>
      </c>
      <c r="C1340" s="9">
        <v>14918.45</v>
      </c>
      <c r="D1340" s="9">
        <v>14785.65</v>
      </c>
      <c r="E1340" s="9">
        <v>14834.85</v>
      </c>
      <c r="F1340" s="9">
        <v>4.98347599E8</v>
      </c>
      <c r="G1340" s="47">
        <v>35010.36</v>
      </c>
    </row>
    <row r="1341" ht="14.25" customHeight="1">
      <c r="A1341" s="46">
        <v>44298.0</v>
      </c>
      <c r="B1341" s="9">
        <v>14644.65</v>
      </c>
      <c r="C1341" s="9">
        <v>14652.5</v>
      </c>
      <c r="D1341" s="9">
        <v>14248.7</v>
      </c>
      <c r="E1341" s="9">
        <v>14310.8</v>
      </c>
      <c r="F1341" s="9">
        <v>6.38475842E8</v>
      </c>
      <c r="G1341" s="47">
        <v>43433.24</v>
      </c>
    </row>
    <row r="1342" ht="14.25" customHeight="1">
      <c r="A1342" s="46">
        <v>44299.0</v>
      </c>
      <c r="B1342" s="9">
        <v>14364.9</v>
      </c>
      <c r="C1342" s="9">
        <v>14528.9</v>
      </c>
      <c r="D1342" s="9">
        <v>14274.9</v>
      </c>
      <c r="E1342" s="9">
        <v>14504.8</v>
      </c>
      <c r="F1342" s="9">
        <v>5.88666016E8</v>
      </c>
      <c r="G1342" s="47">
        <v>40846.57</v>
      </c>
    </row>
    <row r="1343" ht="14.25" customHeight="1">
      <c r="A1343" s="46">
        <v>44301.0</v>
      </c>
      <c r="B1343" s="9">
        <v>14522.4</v>
      </c>
      <c r="C1343" s="9">
        <v>14597.55</v>
      </c>
      <c r="D1343" s="9">
        <v>14353.2</v>
      </c>
      <c r="E1343" s="9">
        <v>14581.45</v>
      </c>
      <c r="F1343" s="9">
        <v>5.56851211E8</v>
      </c>
      <c r="G1343" s="47">
        <v>40177.25</v>
      </c>
    </row>
    <row r="1344" ht="14.25" customHeight="1">
      <c r="A1344" s="46">
        <v>44302.0</v>
      </c>
      <c r="B1344" s="9">
        <v>14599.6</v>
      </c>
      <c r="C1344" s="9">
        <v>14697.7</v>
      </c>
      <c r="D1344" s="9">
        <v>14559.0</v>
      </c>
      <c r="E1344" s="9">
        <v>14617.85</v>
      </c>
      <c r="F1344" s="9">
        <v>5.68568743E8</v>
      </c>
      <c r="G1344" s="47">
        <v>36653.65</v>
      </c>
    </row>
    <row r="1345" ht="14.25" customHeight="1">
      <c r="A1345" s="46">
        <v>44305.0</v>
      </c>
      <c r="B1345" s="9">
        <v>14306.6</v>
      </c>
      <c r="C1345" s="9">
        <v>14382.3</v>
      </c>
      <c r="D1345" s="9">
        <v>14191.4</v>
      </c>
      <c r="E1345" s="9">
        <v>14359.45</v>
      </c>
      <c r="F1345" s="9">
        <v>5.03142904E8</v>
      </c>
      <c r="G1345" s="47">
        <v>34751.95</v>
      </c>
    </row>
    <row r="1346" ht="14.25" customHeight="1">
      <c r="A1346" s="46">
        <v>44306.0</v>
      </c>
      <c r="B1346" s="9">
        <v>14526.7</v>
      </c>
      <c r="C1346" s="9">
        <v>14526.95</v>
      </c>
      <c r="D1346" s="9">
        <v>14207.3</v>
      </c>
      <c r="E1346" s="9">
        <v>14296.4</v>
      </c>
      <c r="F1346" s="9">
        <v>4.56704716E8</v>
      </c>
      <c r="G1346" s="47">
        <v>34687.11</v>
      </c>
    </row>
    <row r="1347" ht="14.25" customHeight="1">
      <c r="A1347" s="46">
        <v>44308.0</v>
      </c>
      <c r="B1347" s="9">
        <v>14219.15</v>
      </c>
      <c r="C1347" s="9">
        <v>14424.75</v>
      </c>
      <c r="D1347" s="9">
        <v>14151.4</v>
      </c>
      <c r="E1347" s="9">
        <v>14406.15</v>
      </c>
      <c r="F1347" s="9">
        <v>5.16985252E8</v>
      </c>
      <c r="G1347" s="47">
        <v>37235.71</v>
      </c>
    </row>
    <row r="1348" ht="14.25" customHeight="1">
      <c r="A1348" s="46">
        <v>44309.0</v>
      </c>
      <c r="B1348" s="9">
        <v>14326.35</v>
      </c>
      <c r="C1348" s="9">
        <v>14461.15</v>
      </c>
      <c r="D1348" s="9">
        <v>14273.3</v>
      </c>
      <c r="E1348" s="9">
        <v>14341.35</v>
      </c>
      <c r="F1348" s="9">
        <v>4.76613608E8</v>
      </c>
      <c r="G1348" s="47">
        <v>31894.66</v>
      </c>
    </row>
    <row r="1349" ht="14.25" customHeight="1">
      <c r="A1349" s="46">
        <v>44312.0</v>
      </c>
      <c r="B1349" s="9">
        <v>14449.45</v>
      </c>
      <c r="C1349" s="9">
        <v>14557.5</v>
      </c>
      <c r="D1349" s="9">
        <v>14421.3</v>
      </c>
      <c r="E1349" s="9">
        <v>14485.0</v>
      </c>
      <c r="F1349" s="9">
        <v>4.48533329E8</v>
      </c>
      <c r="G1349" s="47">
        <v>33156.16</v>
      </c>
    </row>
    <row r="1350" ht="14.25" customHeight="1">
      <c r="A1350" s="46">
        <v>44313.0</v>
      </c>
      <c r="B1350" s="9">
        <v>14493.8</v>
      </c>
      <c r="C1350" s="9">
        <v>14667.55</v>
      </c>
      <c r="D1350" s="9">
        <v>14484.85</v>
      </c>
      <c r="E1350" s="9">
        <v>14653.05</v>
      </c>
      <c r="F1350" s="9">
        <v>4.42211685E8</v>
      </c>
      <c r="G1350" s="47">
        <v>32181.14</v>
      </c>
    </row>
    <row r="1351" ht="14.25" customHeight="1">
      <c r="A1351" s="46">
        <v>44314.0</v>
      </c>
      <c r="B1351" s="9">
        <v>14710.5</v>
      </c>
      <c r="C1351" s="9">
        <v>14890.25</v>
      </c>
      <c r="D1351" s="9">
        <v>14694.95</v>
      </c>
      <c r="E1351" s="9">
        <v>14864.55</v>
      </c>
      <c r="F1351" s="9">
        <v>4.53990807E8</v>
      </c>
      <c r="G1351" s="47">
        <v>37650.11</v>
      </c>
    </row>
    <row r="1352" ht="14.25" customHeight="1">
      <c r="A1352" s="46">
        <v>44315.0</v>
      </c>
      <c r="B1352" s="9">
        <v>14979.0</v>
      </c>
      <c r="C1352" s="9">
        <v>15044.35</v>
      </c>
      <c r="D1352" s="9">
        <v>14814.45</v>
      </c>
      <c r="E1352" s="9">
        <v>14894.9</v>
      </c>
      <c r="F1352" s="9">
        <v>5.11466673E8</v>
      </c>
      <c r="G1352" s="47">
        <v>41597.37</v>
      </c>
    </row>
    <row r="1353" ht="14.25" customHeight="1">
      <c r="A1353" s="46">
        <v>44316.0</v>
      </c>
      <c r="B1353" s="9">
        <v>14747.35</v>
      </c>
      <c r="C1353" s="9">
        <v>14855.45</v>
      </c>
      <c r="D1353" s="9">
        <v>14601.7</v>
      </c>
      <c r="E1353" s="9">
        <v>14631.1</v>
      </c>
      <c r="F1353" s="9">
        <v>5.94744498E8</v>
      </c>
      <c r="G1353" s="47">
        <v>40335.86</v>
      </c>
    </row>
    <row r="1354" ht="14.25" customHeight="1">
      <c r="A1354" s="46">
        <v>44319.0</v>
      </c>
      <c r="B1354" s="9">
        <v>14481.05</v>
      </c>
      <c r="C1354" s="9">
        <v>14673.85</v>
      </c>
      <c r="D1354" s="9">
        <v>14416.25</v>
      </c>
      <c r="E1354" s="9">
        <v>14634.15</v>
      </c>
      <c r="F1354" s="9">
        <v>4.43410846E8</v>
      </c>
      <c r="G1354" s="47">
        <v>32538.97</v>
      </c>
    </row>
    <row r="1355" ht="14.25" customHeight="1">
      <c r="A1355" s="46">
        <v>44320.0</v>
      </c>
      <c r="B1355" s="9">
        <v>14687.25</v>
      </c>
      <c r="C1355" s="9">
        <v>14723.4</v>
      </c>
      <c r="D1355" s="9">
        <v>14461.5</v>
      </c>
      <c r="E1355" s="9">
        <v>14496.5</v>
      </c>
      <c r="F1355" s="9">
        <v>4.79657079E8</v>
      </c>
      <c r="G1355" s="47">
        <v>34024.77</v>
      </c>
    </row>
    <row r="1356" ht="14.25" customHeight="1">
      <c r="A1356" s="46">
        <v>44321.0</v>
      </c>
      <c r="B1356" s="9">
        <v>14604.15</v>
      </c>
      <c r="C1356" s="9">
        <v>14637.9</v>
      </c>
      <c r="D1356" s="9">
        <v>14506.6</v>
      </c>
      <c r="E1356" s="9">
        <v>14617.85</v>
      </c>
      <c r="F1356" s="9">
        <v>4.37261063E8</v>
      </c>
      <c r="G1356" s="47">
        <v>28942.47</v>
      </c>
    </row>
    <row r="1357" ht="14.25" customHeight="1">
      <c r="A1357" s="46">
        <v>44322.0</v>
      </c>
      <c r="B1357" s="9">
        <v>14668.35</v>
      </c>
      <c r="C1357" s="9">
        <v>14743.9</v>
      </c>
      <c r="D1357" s="9">
        <v>14611.5</v>
      </c>
      <c r="E1357" s="9">
        <v>14724.8</v>
      </c>
      <c r="F1357" s="9">
        <v>4.45281496E8</v>
      </c>
      <c r="G1357" s="47">
        <v>31015.95</v>
      </c>
    </row>
    <row r="1358" ht="14.25" customHeight="1">
      <c r="A1358" s="46">
        <v>44323.0</v>
      </c>
      <c r="B1358" s="9">
        <v>14816.85</v>
      </c>
      <c r="C1358" s="9">
        <v>14863.05</v>
      </c>
      <c r="D1358" s="9">
        <v>14765.5</v>
      </c>
      <c r="E1358" s="9">
        <v>14823.15</v>
      </c>
      <c r="F1358" s="9">
        <v>4.83677266E8</v>
      </c>
      <c r="G1358" s="47">
        <v>33583.37</v>
      </c>
    </row>
    <row r="1359" ht="14.25" customHeight="1">
      <c r="A1359" s="46">
        <v>44326.0</v>
      </c>
      <c r="B1359" s="9">
        <v>14928.25</v>
      </c>
      <c r="C1359" s="9">
        <v>14966.9</v>
      </c>
      <c r="D1359" s="9">
        <v>14892.5</v>
      </c>
      <c r="E1359" s="9">
        <v>14942.35</v>
      </c>
      <c r="F1359" s="9">
        <v>5.10598577E8</v>
      </c>
      <c r="G1359" s="47">
        <v>31620.64</v>
      </c>
    </row>
    <row r="1360" ht="14.25" customHeight="1">
      <c r="A1360" s="46">
        <v>44327.0</v>
      </c>
      <c r="B1360" s="9">
        <v>14789.7</v>
      </c>
      <c r="C1360" s="9">
        <v>14900.0</v>
      </c>
      <c r="D1360" s="9">
        <v>14771.4</v>
      </c>
      <c r="E1360" s="9">
        <v>14850.75</v>
      </c>
      <c r="F1360" s="9">
        <v>6.16204478E8</v>
      </c>
      <c r="G1360" s="47">
        <v>32955.82</v>
      </c>
    </row>
    <row r="1361" ht="14.25" customHeight="1">
      <c r="A1361" s="46">
        <v>44328.0</v>
      </c>
      <c r="B1361" s="9">
        <v>14823.55</v>
      </c>
      <c r="C1361" s="9">
        <v>14824.05</v>
      </c>
      <c r="D1361" s="9">
        <v>14649.7</v>
      </c>
      <c r="E1361" s="9">
        <v>14696.5</v>
      </c>
      <c r="F1361" s="9">
        <v>6.20318215E8</v>
      </c>
      <c r="G1361" s="47">
        <v>32035.23</v>
      </c>
    </row>
    <row r="1362" ht="14.25" customHeight="1">
      <c r="A1362" s="46">
        <v>44330.0</v>
      </c>
      <c r="B1362" s="9">
        <v>14749.4</v>
      </c>
      <c r="C1362" s="9">
        <v>14749.65</v>
      </c>
      <c r="D1362" s="9">
        <v>14591.9</v>
      </c>
      <c r="E1362" s="9">
        <v>14677.8</v>
      </c>
      <c r="F1362" s="9">
        <v>6.02738614E8</v>
      </c>
      <c r="G1362" s="47">
        <v>39176.28</v>
      </c>
    </row>
    <row r="1363" ht="14.25" customHeight="1">
      <c r="A1363" s="46">
        <v>44333.0</v>
      </c>
      <c r="B1363" s="9">
        <v>14756.25</v>
      </c>
      <c r="C1363" s="9">
        <v>14938.0</v>
      </c>
      <c r="D1363" s="9">
        <v>14725.35</v>
      </c>
      <c r="E1363" s="9">
        <v>14923.15</v>
      </c>
      <c r="F1363" s="9">
        <v>5.34516176E8</v>
      </c>
      <c r="G1363" s="47">
        <v>35571.28</v>
      </c>
    </row>
    <row r="1364" ht="14.25" customHeight="1">
      <c r="A1364" s="46">
        <v>44334.0</v>
      </c>
      <c r="B1364" s="9">
        <v>15067.2</v>
      </c>
      <c r="C1364" s="9">
        <v>15137.25</v>
      </c>
      <c r="D1364" s="9">
        <v>15043.7</v>
      </c>
      <c r="E1364" s="9">
        <v>15108.1</v>
      </c>
      <c r="F1364" s="9">
        <v>5.71923125E8</v>
      </c>
      <c r="G1364" s="47">
        <v>35634.73</v>
      </c>
    </row>
    <row r="1365" ht="14.25" customHeight="1">
      <c r="A1365" s="46">
        <v>44335.0</v>
      </c>
      <c r="B1365" s="9">
        <v>15058.6</v>
      </c>
      <c r="C1365" s="9">
        <v>15133.4</v>
      </c>
      <c r="D1365" s="9">
        <v>15008.85</v>
      </c>
      <c r="E1365" s="9">
        <v>15030.15</v>
      </c>
      <c r="F1365" s="9">
        <v>5.63293717E8</v>
      </c>
      <c r="G1365" s="47">
        <v>31100.21</v>
      </c>
    </row>
    <row r="1366" ht="14.25" customHeight="1">
      <c r="A1366" s="46">
        <v>44336.0</v>
      </c>
      <c r="B1366" s="9">
        <v>15042.6</v>
      </c>
      <c r="C1366" s="9">
        <v>15069.8</v>
      </c>
      <c r="D1366" s="9">
        <v>14884.9</v>
      </c>
      <c r="E1366" s="9">
        <v>14906.05</v>
      </c>
      <c r="F1366" s="9">
        <v>4.67455658E8</v>
      </c>
      <c r="G1366" s="47">
        <v>28002.53</v>
      </c>
    </row>
    <row r="1367" ht="14.25" customHeight="1">
      <c r="A1367" s="46">
        <v>44337.0</v>
      </c>
      <c r="B1367" s="9">
        <v>14987.8</v>
      </c>
      <c r="C1367" s="9">
        <v>15190.0</v>
      </c>
      <c r="D1367" s="9">
        <v>14985.85</v>
      </c>
      <c r="E1367" s="9">
        <v>15175.3</v>
      </c>
      <c r="F1367" s="9">
        <v>5.5773047E8</v>
      </c>
      <c r="G1367" s="47">
        <v>31921.76</v>
      </c>
    </row>
    <row r="1368" ht="14.25" customHeight="1">
      <c r="A1368" s="46">
        <v>44340.0</v>
      </c>
      <c r="B1368" s="9">
        <v>15211.35</v>
      </c>
      <c r="C1368" s="9">
        <v>15256.25</v>
      </c>
      <c r="D1368" s="9">
        <v>15145.45</v>
      </c>
      <c r="E1368" s="9">
        <v>15197.7</v>
      </c>
      <c r="F1368" s="9">
        <v>5.66722866E8</v>
      </c>
      <c r="G1368" s="47">
        <v>32061.04</v>
      </c>
    </row>
    <row r="1369" ht="14.25" customHeight="1">
      <c r="A1369" s="46">
        <v>44341.0</v>
      </c>
      <c r="B1369" s="9">
        <v>15291.75</v>
      </c>
      <c r="C1369" s="9">
        <v>15293.85</v>
      </c>
      <c r="D1369" s="9">
        <v>15163.4</v>
      </c>
      <c r="E1369" s="9">
        <v>15208.45</v>
      </c>
      <c r="F1369" s="9">
        <v>4.17323446E8</v>
      </c>
      <c r="G1369" s="47">
        <v>26871.99</v>
      </c>
    </row>
    <row r="1370" ht="14.25" customHeight="1">
      <c r="A1370" s="46">
        <v>44342.0</v>
      </c>
      <c r="B1370" s="9">
        <v>15257.05</v>
      </c>
      <c r="C1370" s="9">
        <v>15319.9</v>
      </c>
      <c r="D1370" s="9">
        <v>15194.95</v>
      </c>
      <c r="E1370" s="9">
        <v>15301.45</v>
      </c>
      <c r="F1370" s="9">
        <v>3.77682051E8</v>
      </c>
      <c r="G1370" s="47">
        <v>26187.83</v>
      </c>
    </row>
    <row r="1371" ht="14.25" customHeight="1">
      <c r="A1371" s="46">
        <v>44343.0</v>
      </c>
      <c r="B1371" s="9">
        <v>15323.95</v>
      </c>
      <c r="C1371" s="9">
        <v>15384.55</v>
      </c>
      <c r="D1371" s="9">
        <v>15272.5</v>
      </c>
      <c r="E1371" s="9">
        <v>15337.85</v>
      </c>
      <c r="F1371" s="9">
        <v>6.82374351E8</v>
      </c>
      <c r="G1371" s="47">
        <v>48219.93</v>
      </c>
    </row>
    <row r="1372" ht="14.25" customHeight="1">
      <c r="A1372" s="46">
        <v>44344.0</v>
      </c>
      <c r="B1372" s="9">
        <v>15421.2</v>
      </c>
      <c r="C1372" s="9">
        <v>15469.65</v>
      </c>
      <c r="D1372" s="9">
        <v>15394.75</v>
      </c>
      <c r="E1372" s="9">
        <v>15435.65</v>
      </c>
      <c r="F1372" s="9">
        <v>4.5558244E8</v>
      </c>
      <c r="G1372" s="47">
        <v>32992.08</v>
      </c>
    </row>
    <row r="1373" ht="14.25" customHeight="1">
      <c r="A1373" s="46">
        <v>44347.0</v>
      </c>
      <c r="B1373" s="9">
        <v>15437.75</v>
      </c>
      <c r="C1373" s="9">
        <v>15606.35</v>
      </c>
      <c r="D1373" s="9">
        <v>15374.0</v>
      </c>
      <c r="E1373" s="9">
        <v>15582.8</v>
      </c>
      <c r="F1373" s="9">
        <v>4.35999456E8</v>
      </c>
      <c r="G1373" s="47">
        <v>32739.29</v>
      </c>
    </row>
    <row r="1374" ht="14.25" customHeight="1">
      <c r="A1374" s="46">
        <v>44348.0</v>
      </c>
      <c r="B1374" s="9">
        <v>15629.65</v>
      </c>
      <c r="C1374" s="9">
        <v>15660.75</v>
      </c>
      <c r="D1374" s="9">
        <v>15528.3</v>
      </c>
      <c r="E1374" s="9">
        <v>15574.85</v>
      </c>
      <c r="F1374" s="9">
        <v>4.09562322E8</v>
      </c>
      <c r="G1374" s="47">
        <v>27964.09</v>
      </c>
    </row>
    <row r="1375" ht="14.25" customHeight="1">
      <c r="A1375" s="46">
        <v>44349.0</v>
      </c>
      <c r="B1375" s="9">
        <v>15520.35</v>
      </c>
      <c r="C1375" s="9">
        <v>15597.45</v>
      </c>
      <c r="D1375" s="9">
        <v>15459.85</v>
      </c>
      <c r="E1375" s="9">
        <v>15576.2</v>
      </c>
      <c r="F1375" s="9">
        <v>4.28641666E8</v>
      </c>
      <c r="G1375" s="47">
        <v>28781.87</v>
      </c>
    </row>
    <row r="1376" ht="14.25" customHeight="1">
      <c r="A1376" s="46">
        <v>44350.0</v>
      </c>
      <c r="B1376" s="9">
        <v>15655.55</v>
      </c>
      <c r="C1376" s="9">
        <v>15705.1</v>
      </c>
      <c r="D1376" s="9">
        <v>15611.0</v>
      </c>
      <c r="E1376" s="9">
        <v>15690.35</v>
      </c>
      <c r="F1376" s="9">
        <v>4.10240584E8</v>
      </c>
      <c r="G1376" s="47">
        <v>27519.48</v>
      </c>
    </row>
    <row r="1377" ht="14.25" customHeight="1">
      <c r="A1377" s="46">
        <v>44351.0</v>
      </c>
      <c r="B1377" s="9">
        <v>15712.5</v>
      </c>
      <c r="C1377" s="9">
        <v>15733.6</v>
      </c>
      <c r="D1377" s="9">
        <v>15622.35</v>
      </c>
      <c r="E1377" s="9">
        <v>15670.25</v>
      </c>
      <c r="F1377" s="9">
        <v>4.14162241E8</v>
      </c>
      <c r="G1377" s="47">
        <v>25363.03</v>
      </c>
    </row>
    <row r="1378" ht="14.25" customHeight="1">
      <c r="A1378" s="46">
        <v>44354.0</v>
      </c>
      <c r="B1378" s="9">
        <v>15725.1</v>
      </c>
      <c r="C1378" s="9">
        <v>15773.45</v>
      </c>
      <c r="D1378" s="9">
        <v>15678.1</v>
      </c>
      <c r="E1378" s="9">
        <v>15751.65</v>
      </c>
      <c r="F1378" s="9">
        <v>3.93970049E8</v>
      </c>
      <c r="G1378" s="47">
        <v>25411.48</v>
      </c>
    </row>
    <row r="1379" ht="14.25" customHeight="1">
      <c r="A1379" s="46">
        <v>44355.0</v>
      </c>
      <c r="B1379" s="9">
        <v>15773.9</v>
      </c>
      <c r="C1379" s="9">
        <v>15778.8</v>
      </c>
      <c r="D1379" s="9">
        <v>15680.0</v>
      </c>
      <c r="E1379" s="9">
        <v>15740.1</v>
      </c>
      <c r="F1379" s="9">
        <v>3.78164658E8</v>
      </c>
      <c r="G1379" s="47">
        <v>24172.13</v>
      </c>
    </row>
    <row r="1380" ht="14.25" customHeight="1">
      <c r="A1380" s="46">
        <v>44356.0</v>
      </c>
      <c r="B1380" s="9">
        <v>15766.3</v>
      </c>
      <c r="C1380" s="9">
        <v>15800.45</v>
      </c>
      <c r="D1380" s="9">
        <v>15566.9</v>
      </c>
      <c r="E1380" s="9">
        <v>15635.35</v>
      </c>
      <c r="F1380" s="9">
        <v>4.57855735E8</v>
      </c>
      <c r="G1380" s="47">
        <v>26926.49</v>
      </c>
    </row>
    <row r="1381" ht="14.25" customHeight="1">
      <c r="A1381" s="46">
        <v>44357.0</v>
      </c>
      <c r="B1381" s="9">
        <v>15692.1</v>
      </c>
      <c r="C1381" s="9">
        <v>15751.25</v>
      </c>
      <c r="D1381" s="9">
        <v>15648.5</v>
      </c>
      <c r="E1381" s="9">
        <v>15737.75</v>
      </c>
      <c r="F1381" s="9">
        <v>2.98297041E8</v>
      </c>
      <c r="G1381" s="47">
        <v>23032.9</v>
      </c>
    </row>
    <row r="1382" ht="14.25" customHeight="1">
      <c r="A1382" s="46">
        <v>44358.0</v>
      </c>
      <c r="B1382" s="9">
        <v>15796.45</v>
      </c>
      <c r="C1382" s="9">
        <v>15835.55</v>
      </c>
      <c r="D1382" s="9">
        <v>15749.8</v>
      </c>
      <c r="E1382" s="9">
        <v>15799.35</v>
      </c>
      <c r="F1382" s="9">
        <v>3.63011297E8</v>
      </c>
      <c r="G1382" s="47">
        <v>24591.69</v>
      </c>
    </row>
    <row r="1383" ht="14.25" customHeight="1">
      <c r="A1383" s="46">
        <v>44361.0</v>
      </c>
      <c r="B1383" s="9">
        <v>15791.4</v>
      </c>
      <c r="C1383" s="9">
        <v>15823.05</v>
      </c>
      <c r="D1383" s="9">
        <v>15606.5</v>
      </c>
      <c r="E1383" s="9">
        <v>15811.85</v>
      </c>
      <c r="F1383" s="9">
        <v>3.92862037E8</v>
      </c>
      <c r="G1383" s="47">
        <v>28001.5</v>
      </c>
    </row>
    <row r="1384" ht="14.25" customHeight="1">
      <c r="A1384" s="46">
        <v>44362.0</v>
      </c>
      <c r="B1384" s="9">
        <v>15866.95</v>
      </c>
      <c r="C1384" s="9">
        <v>15901.6</v>
      </c>
      <c r="D1384" s="9">
        <v>15842.4</v>
      </c>
      <c r="E1384" s="9">
        <v>15869.25</v>
      </c>
      <c r="F1384" s="9">
        <v>3.23262818E8</v>
      </c>
      <c r="G1384" s="47">
        <v>22181.26</v>
      </c>
    </row>
    <row r="1385" ht="14.25" customHeight="1">
      <c r="A1385" s="46">
        <v>44363.0</v>
      </c>
      <c r="B1385" s="9">
        <v>15847.5</v>
      </c>
      <c r="C1385" s="9">
        <v>15880.85</v>
      </c>
      <c r="D1385" s="9">
        <v>15742.6</v>
      </c>
      <c r="E1385" s="9">
        <v>15767.55</v>
      </c>
      <c r="F1385" s="9">
        <v>3.40191175E8</v>
      </c>
      <c r="G1385" s="47">
        <v>22505.95</v>
      </c>
    </row>
    <row r="1386" ht="14.25" customHeight="1">
      <c r="A1386" s="46">
        <v>44364.0</v>
      </c>
      <c r="B1386" s="9">
        <v>15648.3</v>
      </c>
      <c r="C1386" s="9">
        <v>15769.35</v>
      </c>
      <c r="D1386" s="9">
        <v>15616.75</v>
      </c>
      <c r="E1386" s="9">
        <v>15691.4</v>
      </c>
      <c r="F1386" s="9">
        <v>3.57649243E8</v>
      </c>
      <c r="G1386" s="47">
        <v>26048.47</v>
      </c>
    </row>
    <row r="1387" ht="14.25" customHeight="1">
      <c r="A1387" s="46">
        <v>44365.0</v>
      </c>
      <c r="B1387" s="9">
        <v>15756.5</v>
      </c>
      <c r="C1387" s="9">
        <v>15761.5</v>
      </c>
      <c r="D1387" s="9">
        <v>15450.9</v>
      </c>
      <c r="E1387" s="9">
        <v>15683.35</v>
      </c>
      <c r="F1387" s="9">
        <v>6.40821642E8</v>
      </c>
      <c r="G1387" s="47">
        <v>42024.55</v>
      </c>
    </row>
    <row r="1388" ht="14.25" customHeight="1">
      <c r="A1388" s="46">
        <v>44368.0</v>
      </c>
      <c r="B1388" s="9">
        <v>15525.85</v>
      </c>
      <c r="C1388" s="9">
        <v>15765.15</v>
      </c>
      <c r="D1388" s="9">
        <v>15505.65</v>
      </c>
      <c r="E1388" s="9">
        <v>15746.5</v>
      </c>
      <c r="F1388" s="9">
        <v>3.51530072E8</v>
      </c>
      <c r="G1388" s="47">
        <v>22525.89</v>
      </c>
    </row>
    <row r="1389" ht="14.25" customHeight="1">
      <c r="A1389" s="46">
        <v>44369.0</v>
      </c>
      <c r="B1389" s="9">
        <v>15840.5</v>
      </c>
      <c r="C1389" s="9">
        <v>15895.75</v>
      </c>
      <c r="D1389" s="9">
        <v>15752.1</v>
      </c>
      <c r="E1389" s="9">
        <v>15772.75</v>
      </c>
      <c r="F1389" s="9">
        <v>3.22237561E8</v>
      </c>
      <c r="G1389" s="47">
        <v>24440.47</v>
      </c>
    </row>
    <row r="1390" ht="14.25" customHeight="1">
      <c r="A1390" s="46">
        <v>44370.0</v>
      </c>
      <c r="B1390" s="9">
        <v>15862.8</v>
      </c>
      <c r="C1390" s="9">
        <v>15862.95</v>
      </c>
      <c r="D1390" s="9">
        <v>15673.95</v>
      </c>
      <c r="E1390" s="9">
        <v>15686.95</v>
      </c>
      <c r="F1390" s="9">
        <v>2.87536735E8</v>
      </c>
      <c r="G1390" s="47">
        <v>23222.94</v>
      </c>
    </row>
    <row r="1391" ht="14.25" customHeight="1">
      <c r="A1391" s="46">
        <v>44371.0</v>
      </c>
      <c r="B1391" s="9">
        <v>15737.3</v>
      </c>
      <c r="C1391" s="9">
        <v>15821.4</v>
      </c>
      <c r="D1391" s="9">
        <v>15702.7</v>
      </c>
      <c r="E1391" s="9">
        <v>15790.45</v>
      </c>
      <c r="F1391" s="9">
        <v>3.16662241E8</v>
      </c>
      <c r="G1391" s="47">
        <v>29623.58</v>
      </c>
    </row>
    <row r="1392" ht="14.25" customHeight="1">
      <c r="A1392" s="46">
        <v>44372.0</v>
      </c>
      <c r="B1392" s="9">
        <v>15839.35</v>
      </c>
      <c r="C1392" s="9">
        <v>15870.8</v>
      </c>
      <c r="D1392" s="9">
        <v>15772.3</v>
      </c>
      <c r="E1392" s="9">
        <v>15860.35</v>
      </c>
      <c r="F1392" s="9">
        <v>3.1461438E8</v>
      </c>
      <c r="G1392" s="47">
        <v>26933.22</v>
      </c>
    </row>
    <row r="1393" ht="14.25" customHeight="1">
      <c r="A1393" s="46">
        <v>44375.0</v>
      </c>
      <c r="B1393" s="9">
        <v>15915.35</v>
      </c>
      <c r="C1393" s="9">
        <v>15915.65</v>
      </c>
      <c r="D1393" s="9">
        <v>15792.15</v>
      </c>
      <c r="E1393" s="9">
        <v>15814.7</v>
      </c>
      <c r="F1393" s="9">
        <v>2.55099272E8</v>
      </c>
      <c r="G1393" s="47">
        <v>18713.41</v>
      </c>
    </row>
    <row r="1394" ht="14.25" customHeight="1">
      <c r="A1394" s="46">
        <v>44376.0</v>
      </c>
      <c r="B1394" s="9">
        <v>15807.5</v>
      </c>
      <c r="C1394" s="9">
        <v>15835.9</v>
      </c>
      <c r="D1394" s="9">
        <v>15724.05</v>
      </c>
      <c r="E1394" s="9">
        <v>15748.45</v>
      </c>
      <c r="F1394" s="9">
        <v>3.60334724E8</v>
      </c>
      <c r="G1394" s="47">
        <v>24392.13</v>
      </c>
    </row>
    <row r="1395" ht="14.25" customHeight="1">
      <c r="A1395" s="46">
        <v>44377.0</v>
      </c>
      <c r="B1395" s="9">
        <v>15776.9</v>
      </c>
      <c r="C1395" s="9">
        <v>15839.1</v>
      </c>
      <c r="D1395" s="9">
        <v>15708.75</v>
      </c>
      <c r="E1395" s="9">
        <v>15721.5</v>
      </c>
      <c r="F1395" s="9">
        <v>2.62386323E8</v>
      </c>
      <c r="G1395" s="47">
        <v>20379.76</v>
      </c>
    </row>
    <row r="1396" ht="14.25" customHeight="1">
      <c r="A1396" s="46">
        <v>44378.0</v>
      </c>
      <c r="B1396" s="9">
        <v>15755.05</v>
      </c>
      <c r="C1396" s="9">
        <v>15755.55</v>
      </c>
      <c r="D1396" s="9">
        <v>15667.05</v>
      </c>
      <c r="E1396" s="9">
        <v>15680.0</v>
      </c>
      <c r="F1396" s="9">
        <v>2.24921644E8</v>
      </c>
      <c r="G1396" s="47">
        <v>17359.97</v>
      </c>
    </row>
    <row r="1397" ht="14.25" customHeight="1">
      <c r="A1397" s="46">
        <v>44379.0</v>
      </c>
      <c r="B1397" s="9">
        <v>15705.85</v>
      </c>
      <c r="C1397" s="9">
        <v>15738.35</v>
      </c>
      <c r="D1397" s="9">
        <v>15635.95</v>
      </c>
      <c r="E1397" s="9">
        <v>15722.2</v>
      </c>
      <c r="F1397" s="9">
        <v>2.54808999E8</v>
      </c>
      <c r="G1397" s="47">
        <v>18015.42</v>
      </c>
    </row>
    <row r="1398" ht="14.25" customHeight="1">
      <c r="A1398" s="46">
        <v>44382.0</v>
      </c>
      <c r="B1398" s="9">
        <v>15793.4</v>
      </c>
      <c r="C1398" s="9">
        <v>15845.95</v>
      </c>
      <c r="D1398" s="9">
        <v>15762.05</v>
      </c>
      <c r="E1398" s="9">
        <v>15834.35</v>
      </c>
      <c r="F1398" s="9">
        <v>2.07032153E8</v>
      </c>
      <c r="G1398" s="47">
        <v>14976.54</v>
      </c>
    </row>
    <row r="1399" ht="14.25" customHeight="1">
      <c r="A1399" s="46">
        <v>44383.0</v>
      </c>
      <c r="B1399" s="9">
        <v>15813.75</v>
      </c>
      <c r="C1399" s="9">
        <v>15914.2</v>
      </c>
      <c r="D1399" s="9">
        <v>15801.0</v>
      </c>
      <c r="E1399" s="9">
        <v>15818.25</v>
      </c>
      <c r="F1399" s="9">
        <v>3.91410742E8</v>
      </c>
      <c r="G1399" s="47">
        <v>24456.05</v>
      </c>
    </row>
    <row r="1400" ht="14.25" customHeight="1">
      <c r="A1400" s="46">
        <v>44384.0</v>
      </c>
      <c r="B1400" s="9">
        <v>15819.6</v>
      </c>
      <c r="C1400" s="9">
        <v>15893.55</v>
      </c>
      <c r="D1400" s="9">
        <v>15779.7</v>
      </c>
      <c r="E1400" s="9">
        <v>15879.65</v>
      </c>
      <c r="F1400" s="9">
        <v>3.29308646E8</v>
      </c>
      <c r="G1400" s="47">
        <v>22259.96</v>
      </c>
    </row>
    <row r="1401" ht="14.25" customHeight="1">
      <c r="A1401" s="46">
        <v>44385.0</v>
      </c>
      <c r="B1401" s="9">
        <v>15855.4</v>
      </c>
      <c r="C1401" s="9">
        <v>15885.75</v>
      </c>
      <c r="D1401" s="9">
        <v>15682.9</v>
      </c>
      <c r="E1401" s="9">
        <v>15727.9</v>
      </c>
      <c r="F1401" s="9">
        <v>3.07928495E8</v>
      </c>
      <c r="G1401" s="47">
        <v>19597.95</v>
      </c>
    </row>
    <row r="1402" ht="14.25" customHeight="1">
      <c r="A1402" s="46">
        <v>44386.0</v>
      </c>
      <c r="B1402" s="9">
        <v>15688.25</v>
      </c>
      <c r="C1402" s="9">
        <v>15730.85</v>
      </c>
      <c r="D1402" s="9">
        <v>15632.75</v>
      </c>
      <c r="E1402" s="9">
        <v>15689.8</v>
      </c>
      <c r="F1402" s="9">
        <v>2.43249366E8</v>
      </c>
      <c r="G1402" s="47">
        <v>19976.86</v>
      </c>
    </row>
    <row r="1403" ht="14.25" customHeight="1">
      <c r="A1403" s="46">
        <v>44389.0</v>
      </c>
      <c r="B1403" s="9">
        <v>15766.8</v>
      </c>
      <c r="C1403" s="9">
        <v>15789.2</v>
      </c>
      <c r="D1403" s="9">
        <v>15644.75</v>
      </c>
      <c r="E1403" s="9">
        <v>15692.6</v>
      </c>
      <c r="F1403" s="9">
        <v>2.16272488E8</v>
      </c>
      <c r="G1403" s="47">
        <v>18482.89</v>
      </c>
    </row>
    <row r="1404" ht="14.25" customHeight="1">
      <c r="A1404" s="46">
        <v>44390.0</v>
      </c>
      <c r="B1404" s="9">
        <v>15794.0</v>
      </c>
      <c r="C1404" s="9">
        <v>15820.8</v>
      </c>
      <c r="D1404" s="9">
        <v>15744.6</v>
      </c>
      <c r="E1404" s="9">
        <v>15812.35</v>
      </c>
      <c r="F1404" s="9">
        <v>2.46676549E8</v>
      </c>
      <c r="G1404" s="47">
        <v>18205.97</v>
      </c>
    </row>
    <row r="1405" ht="14.25" customHeight="1">
      <c r="A1405" s="46">
        <v>44391.0</v>
      </c>
      <c r="B1405" s="9">
        <v>15808.7</v>
      </c>
      <c r="C1405" s="9">
        <v>15877.35</v>
      </c>
      <c r="D1405" s="9">
        <v>15764.2</v>
      </c>
      <c r="E1405" s="9">
        <v>15853.95</v>
      </c>
      <c r="F1405" s="9">
        <v>2.39924352E8</v>
      </c>
      <c r="G1405" s="47">
        <v>18372.84</v>
      </c>
    </row>
    <row r="1406" ht="14.25" customHeight="1">
      <c r="A1406" s="46">
        <v>44392.0</v>
      </c>
      <c r="B1406" s="9">
        <v>15872.15</v>
      </c>
      <c r="C1406" s="9">
        <v>15952.35</v>
      </c>
      <c r="D1406" s="9">
        <v>15855.0</v>
      </c>
      <c r="E1406" s="9">
        <v>15924.2</v>
      </c>
      <c r="F1406" s="9">
        <v>2.84851049E8</v>
      </c>
      <c r="G1406" s="47">
        <v>20961.37</v>
      </c>
    </row>
    <row r="1407" ht="14.25" customHeight="1">
      <c r="A1407" s="46">
        <v>44393.0</v>
      </c>
      <c r="B1407" s="9">
        <v>15958.35</v>
      </c>
      <c r="C1407" s="9">
        <v>15962.25</v>
      </c>
      <c r="D1407" s="9">
        <v>15882.6</v>
      </c>
      <c r="E1407" s="9">
        <v>15923.4</v>
      </c>
      <c r="F1407" s="9">
        <v>2.76298105E8</v>
      </c>
      <c r="G1407" s="47">
        <v>18758.13</v>
      </c>
    </row>
    <row r="1408" ht="14.25" customHeight="1">
      <c r="A1408" s="46">
        <v>44396.0</v>
      </c>
      <c r="B1408" s="9">
        <v>15754.5</v>
      </c>
      <c r="C1408" s="9">
        <v>15836.9</v>
      </c>
      <c r="D1408" s="9">
        <v>15707.5</v>
      </c>
      <c r="E1408" s="9">
        <v>15752.4</v>
      </c>
      <c r="F1408" s="9">
        <v>2.42131813E8</v>
      </c>
      <c r="G1408" s="47">
        <v>18088.78</v>
      </c>
    </row>
    <row r="1409" ht="14.25" customHeight="1">
      <c r="A1409" s="46">
        <v>44397.0</v>
      </c>
      <c r="B1409" s="9">
        <v>15703.95</v>
      </c>
      <c r="C1409" s="9">
        <v>15728.45</v>
      </c>
      <c r="D1409" s="9">
        <v>15578.55</v>
      </c>
      <c r="E1409" s="9">
        <v>15632.1</v>
      </c>
      <c r="F1409" s="9">
        <v>2.74284165E8</v>
      </c>
      <c r="G1409" s="47">
        <v>21329.55</v>
      </c>
    </row>
    <row r="1410" ht="14.25" customHeight="1">
      <c r="A1410" s="46">
        <v>44399.0</v>
      </c>
      <c r="B1410" s="9">
        <v>15736.6</v>
      </c>
      <c r="C1410" s="9">
        <v>15834.8</v>
      </c>
      <c r="D1410" s="9">
        <v>15726.4</v>
      </c>
      <c r="E1410" s="9">
        <v>15824.05</v>
      </c>
      <c r="F1410" s="9">
        <v>2.65250867E8</v>
      </c>
      <c r="G1410" s="47">
        <v>23988.39</v>
      </c>
    </row>
    <row r="1411" ht="14.25" customHeight="1">
      <c r="A1411" s="46">
        <v>44400.0</v>
      </c>
      <c r="B1411" s="9">
        <v>15856.8</v>
      </c>
      <c r="C1411" s="9">
        <v>15899.8</v>
      </c>
      <c r="D1411" s="9">
        <v>15768.4</v>
      </c>
      <c r="E1411" s="9">
        <v>15856.05</v>
      </c>
      <c r="F1411" s="9">
        <v>2.94098244E8</v>
      </c>
      <c r="G1411" s="47">
        <v>20685.82</v>
      </c>
    </row>
    <row r="1412" ht="14.25" customHeight="1">
      <c r="A1412" s="46">
        <v>44403.0</v>
      </c>
      <c r="B1412" s="9">
        <v>15849.3</v>
      </c>
      <c r="C1412" s="9">
        <v>15893.35</v>
      </c>
      <c r="D1412" s="9">
        <v>15797.0</v>
      </c>
      <c r="E1412" s="9">
        <v>15824.45</v>
      </c>
      <c r="F1412" s="9">
        <v>2.67076679E8</v>
      </c>
      <c r="G1412" s="47">
        <v>19487.18</v>
      </c>
    </row>
    <row r="1413" ht="14.25" customHeight="1">
      <c r="A1413" s="46">
        <v>44404.0</v>
      </c>
      <c r="B1413" s="9">
        <v>15860.5</v>
      </c>
      <c r="C1413" s="9">
        <v>15881.55</v>
      </c>
      <c r="D1413" s="9">
        <v>15701.0</v>
      </c>
      <c r="E1413" s="9">
        <v>15746.45</v>
      </c>
      <c r="F1413" s="9">
        <v>3.11012065E8</v>
      </c>
      <c r="G1413" s="47">
        <v>26117.34</v>
      </c>
    </row>
    <row r="1414" ht="14.25" customHeight="1">
      <c r="A1414" s="46">
        <v>44405.0</v>
      </c>
      <c r="B1414" s="9">
        <v>15761.55</v>
      </c>
      <c r="C1414" s="9">
        <v>15767.5</v>
      </c>
      <c r="D1414" s="9">
        <v>15513.45</v>
      </c>
      <c r="E1414" s="9">
        <v>15709.4</v>
      </c>
      <c r="F1414" s="9">
        <v>3.18601589E8</v>
      </c>
      <c r="G1414" s="47">
        <v>26090.48</v>
      </c>
    </row>
    <row r="1415" ht="14.25" customHeight="1">
      <c r="A1415" s="46">
        <v>44406.0</v>
      </c>
      <c r="B1415" s="9">
        <v>15762.7</v>
      </c>
      <c r="C1415" s="9">
        <v>15817.35</v>
      </c>
      <c r="D1415" s="9">
        <v>15737.8</v>
      </c>
      <c r="E1415" s="9">
        <v>15778.45</v>
      </c>
      <c r="F1415" s="9">
        <v>4.01584915E8</v>
      </c>
      <c r="G1415" s="47">
        <v>29460.54</v>
      </c>
    </row>
    <row r="1416" ht="14.25" customHeight="1">
      <c r="A1416" s="46">
        <v>44407.0</v>
      </c>
      <c r="B1416" s="9">
        <v>15800.6</v>
      </c>
      <c r="C1416" s="9">
        <v>15862.8</v>
      </c>
      <c r="D1416" s="9">
        <v>15744.85</v>
      </c>
      <c r="E1416" s="9">
        <v>15763.05</v>
      </c>
      <c r="F1416" s="9">
        <v>4.00021237E8</v>
      </c>
      <c r="G1416" s="47">
        <v>30539.63</v>
      </c>
    </row>
    <row r="1417" ht="14.25" customHeight="1">
      <c r="A1417" s="46">
        <v>44410.0</v>
      </c>
      <c r="B1417" s="9">
        <v>15874.9</v>
      </c>
      <c r="C1417" s="9">
        <v>15892.9</v>
      </c>
      <c r="D1417" s="9">
        <v>15834.65</v>
      </c>
      <c r="E1417" s="9">
        <v>15885.15</v>
      </c>
      <c r="F1417" s="9">
        <v>2.44847433E8</v>
      </c>
      <c r="G1417" s="47">
        <v>20766.99</v>
      </c>
    </row>
    <row r="1418" ht="14.25" customHeight="1">
      <c r="A1418" s="46">
        <v>44411.0</v>
      </c>
      <c r="B1418" s="9">
        <v>15951.55</v>
      </c>
      <c r="C1418" s="9">
        <v>16146.9</v>
      </c>
      <c r="D1418" s="9">
        <v>15914.35</v>
      </c>
      <c r="E1418" s="9">
        <v>16130.75</v>
      </c>
      <c r="F1418" s="9">
        <v>3.41289658E8</v>
      </c>
      <c r="G1418" s="47">
        <v>26373.24</v>
      </c>
    </row>
    <row r="1419" ht="14.25" customHeight="1">
      <c r="A1419" s="46">
        <v>44412.0</v>
      </c>
      <c r="B1419" s="9">
        <v>16195.25</v>
      </c>
      <c r="C1419" s="9">
        <v>16290.2</v>
      </c>
      <c r="D1419" s="9">
        <v>16176.15</v>
      </c>
      <c r="E1419" s="9">
        <v>16258.8</v>
      </c>
      <c r="F1419" s="9">
        <v>4.27337644E8</v>
      </c>
      <c r="G1419" s="47">
        <v>32434.78</v>
      </c>
    </row>
    <row r="1420" ht="14.25" customHeight="1">
      <c r="A1420" s="46">
        <v>44413.0</v>
      </c>
      <c r="B1420" s="9">
        <v>16288.95</v>
      </c>
      <c r="C1420" s="9">
        <v>16349.45</v>
      </c>
      <c r="D1420" s="9">
        <v>16210.3</v>
      </c>
      <c r="E1420" s="9">
        <v>16294.6</v>
      </c>
      <c r="F1420" s="9">
        <v>4.18174517E8</v>
      </c>
      <c r="G1420" s="47">
        <v>31386.78</v>
      </c>
    </row>
    <row r="1421" ht="14.25" customHeight="1">
      <c r="A1421" s="46">
        <v>44414.0</v>
      </c>
      <c r="B1421" s="9">
        <v>16304.4</v>
      </c>
      <c r="C1421" s="9">
        <v>16336.75</v>
      </c>
      <c r="D1421" s="9">
        <v>16223.3</v>
      </c>
      <c r="E1421" s="9">
        <v>16238.2</v>
      </c>
      <c r="F1421" s="9">
        <v>3.20087281E8</v>
      </c>
      <c r="G1421" s="47">
        <v>24716.17</v>
      </c>
    </row>
    <row r="1422" ht="14.25" customHeight="1">
      <c r="A1422" s="46">
        <v>44417.0</v>
      </c>
      <c r="B1422" s="9">
        <v>16281.35</v>
      </c>
      <c r="C1422" s="9">
        <v>16320.75</v>
      </c>
      <c r="D1422" s="9">
        <v>16179.05</v>
      </c>
      <c r="E1422" s="9">
        <v>16258.25</v>
      </c>
      <c r="F1422" s="9">
        <v>2.40452917E8</v>
      </c>
      <c r="G1422" s="47">
        <v>18302.03</v>
      </c>
    </row>
    <row r="1423" ht="14.25" customHeight="1">
      <c r="A1423" s="46">
        <v>44418.0</v>
      </c>
      <c r="B1423" s="9">
        <v>16274.8</v>
      </c>
      <c r="C1423" s="9">
        <v>16359.25</v>
      </c>
      <c r="D1423" s="9">
        <v>16202.25</v>
      </c>
      <c r="E1423" s="9">
        <v>16280.1</v>
      </c>
      <c r="F1423" s="9">
        <v>2.87989486E8</v>
      </c>
      <c r="G1423" s="47">
        <v>22600.38</v>
      </c>
    </row>
    <row r="1424" ht="14.25" customHeight="1">
      <c r="A1424" s="46">
        <v>44419.0</v>
      </c>
      <c r="B1424" s="9">
        <v>16327.3</v>
      </c>
      <c r="C1424" s="9">
        <v>16338.75</v>
      </c>
      <c r="D1424" s="9">
        <v>16162.55</v>
      </c>
      <c r="E1424" s="9">
        <v>16282.25</v>
      </c>
      <c r="F1424" s="9">
        <v>2.77895886E8</v>
      </c>
      <c r="G1424" s="47">
        <v>20306.59</v>
      </c>
    </row>
    <row r="1425" ht="14.25" customHeight="1">
      <c r="A1425" s="46">
        <v>44420.0</v>
      </c>
      <c r="B1425" s="9">
        <v>16303.65</v>
      </c>
      <c r="C1425" s="9">
        <v>16375.5</v>
      </c>
      <c r="D1425" s="9">
        <v>16286.9</v>
      </c>
      <c r="E1425" s="9">
        <v>16364.4</v>
      </c>
      <c r="F1425" s="9">
        <v>2.80181324E8</v>
      </c>
      <c r="G1425" s="47">
        <v>18548.87</v>
      </c>
    </row>
    <row r="1426" ht="14.25" customHeight="1">
      <c r="A1426" s="46">
        <v>44421.0</v>
      </c>
      <c r="B1426" s="9">
        <v>16385.7</v>
      </c>
      <c r="C1426" s="9">
        <v>16543.6</v>
      </c>
      <c r="D1426" s="9">
        <v>16376.3</v>
      </c>
      <c r="E1426" s="9">
        <v>16529.1</v>
      </c>
      <c r="F1426" s="9">
        <v>3.21866286E8</v>
      </c>
      <c r="G1426" s="47">
        <v>27163.08</v>
      </c>
    </row>
    <row r="1427" ht="14.25" customHeight="1">
      <c r="A1427" s="46">
        <v>44424.0</v>
      </c>
      <c r="B1427" s="9">
        <v>16518.4</v>
      </c>
      <c r="C1427" s="9">
        <v>16589.4</v>
      </c>
      <c r="D1427" s="9">
        <v>16480.75</v>
      </c>
      <c r="E1427" s="9">
        <v>16563.05</v>
      </c>
      <c r="F1427" s="9">
        <v>2.5404933E8</v>
      </c>
      <c r="G1427" s="47">
        <v>21456.2</v>
      </c>
    </row>
    <row r="1428" ht="14.25" customHeight="1">
      <c r="A1428" s="46">
        <v>44425.0</v>
      </c>
      <c r="B1428" s="9">
        <v>16545.25</v>
      </c>
      <c r="C1428" s="9">
        <v>16628.55</v>
      </c>
      <c r="D1428" s="9">
        <v>16495.4</v>
      </c>
      <c r="E1428" s="9">
        <v>16614.6</v>
      </c>
      <c r="F1428" s="9">
        <v>2.9738847E8</v>
      </c>
      <c r="G1428" s="47">
        <v>25696.44</v>
      </c>
    </row>
    <row r="1429" ht="14.25" customHeight="1">
      <c r="A1429" s="46">
        <v>44426.0</v>
      </c>
      <c r="B1429" s="9">
        <v>16691.95</v>
      </c>
      <c r="C1429" s="9">
        <v>16701.85</v>
      </c>
      <c r="D1429" s="9">
        <v>16535.85</v>
      </c>
      <c r="E1429" s="9">
        <v>16568.85</v>
      </c>
      <c r="F1429" s="9">
        <v>2.51796822E8</v>
      </c>
      <c r="G1429" s="47">
        <v>22721.54</v>
      </c>
    </row>
    <row r="1430" ht="14.25" customHeight="1">
      <c r="A1430" s="46">
        <v>44428.0</v>
      </c>
      <c r="B1430" s="9">
        <v>16382.5</v>
      </c>
      <c r="C1430" s="9">
        <v>16509.55</v>
      </c>
      <c r="D1430" s="9">
        <v>16376.05</v>
      </c>
      <c r="E1430" s="9">
        <v>16450.5</v>
      </c>
      <c r="F1430" s="9">
        <v>3.50819323E8</v>
      </c>
      <c r="G1430" s="47">
        <v>30118.23</v>
      </c>
    </row>
    <row r="1431" ht="14.25" customHeight="1">
      <c r="A1431" s="46">
        <v>44431.0</v>
      </c>
      <c r="B1431" s="9">
        <v>16592.25</v>
      </c>
      <c r="C1431" s="9">
        <v>16592.5</v>
      </c>
      <c r="D1431" s="9">
        <v>16395.7</v>
      </c>
      <c r="E1431" s="9">
        <v>16496.45</v>
      </c>
      <c r="F1431" s="9">
        <v>2.75597782E8</v>
      </c>
      <c r="G1431" s="47">
        <v>24355.77</v>
      </c>
    </row>
    <row r="1432" ht="14.25" customHeight="1">
      <c r="A1432" s="46">
        <v>44432.0</v>
      </c>
      <c r="B1432" s="9">
        <v>16561.4</v>
      </c>
      <c r="C1432" s="9">
        <v>16647.1</v>
      </c>
      <c r="D1432" s="9">
        <v>16495.3</v>
      </c>
      <c r="E1432" s="9">
        <v>16624.6</v>
      </c>
      <c r="F1432" s="9">
        <v>2.75362819E8</v>
      </c>
      <c r="G1432" s="47">
        <v>24992.32</v>
      </c>
    </row>
    <row r="1433" ht="14.25" customHeight="1">
      <c r="A1433" s="46">
        <v>44433.0</v>
      </c>
      <c r="B1433" s="9">
        <v>16654.0</v>
      </c>
      <c r="C1433" s="9">
        <v>16712.45</v>
      </c>
      <c r="D1433" s="9">
        <v>16617.5</v>
      </c>
      <c r="E1433" s="9">
        <v>16634.65</v>
      </c>
      <c r="F1433" s="9">
        <v>2.65920141E8</v>
      </c>
      <c r="G1433" s="47">
        <v>22210.6</v>
      </c>
    </row>
    <row r="1434" ht="14.25" customHeight="1">
      <c r="A1434" s="46">
        <v>44434.0</v>
      </c>
      <c r="B1434" s="9">
        <v>16627.95</v>
      </c>
      <c r="C1434" s="9">
        <v>16683.7</v>
      </c>
      <c r="D1434" s="9">
        <v>16603.4</v>
      </c>
      <c r="E1434" s="9">
        <v>16636.9</v>
      </c>
      <c r="F1434" s="9">
        <v>2.53530997E8</v>
      </c>
      <c r="G1434" s="47">
        <v>22320.21</v>
      </c>
    </row>
    <row r="1435" ht="14.25" customHeight="1">
      <c r="A1435" s="46">
        <v>44435.0</v>
      </c>
      <c r="B1435" s="9">
        <v>16642.55</v>
      </c>
      <c r="C1435" s="9">
        <v>16722.05</v>
      </c>
      <c r="D1435" s="9">
        <v>16565.6</v>
      </c>
      <c r="E1435" s="9">
        <v>16705.2</v>
      </c>
      <c r="F1435" s="9">
        <v>2.17405743E8</v>
      </c>
      <c r="G1435" s="47">
        <v>20499.85</v>
      </c>
    </row>
    <row r="1436" ht="14.25" customHeight="1">
      <c r="A1436" s="46">
        <v>44438.0</v>
      </c>
      <c r="B1436" s="9">
        <v>16775.85</v>
      </c>
      <c r="C1436" s="9">
        <v>16951.5</v>
      </c>
      <c r="D1436" s="9">
        <v>16764.85</v>
      </c>
      <c r="E1436" s="9">
        <v>16931.05</v>
      </c>
      <c r="F1436" s="9">
        <v>2.83483108E8</v>
      </c>
      <c r="G1436" s="47">
        <v>23615.87</v>
      </c>
    </row>
    <row r="1437" ht="14.25" customHeight="1">
      <c r="A1437" s="46">
        <v>44439.0</v>
      </c>
      <c r="B1437" s="9">
        <v>16947.5</v>
      </c>
      <c r="C1437" s="9">
        <v>17153.5</v>
      </c>
      <c r="D1437" s="9">
        <v>16915.85</v>
      </c>
      <c r="E1437" s="9">
        <v>17132.2</v>
      </c>
      <c r="F1437" s="9">
        <v>4.64390247E8</v>
      </c>
      <c r="G1437" s="47">
        <v>40147.89</v>
      </c>
    </row>
    <row r="1438" ht="14.25" customHeight="1">
      <c r="A1438" s="46">
        <v>44440.0</v>
      </c>
      <c r="B1438" s="9">
        <v>17185.6</v>
      </c>
      <c r="C1438" s="9">
        <v>17225.75</v>
      </c>
      <c r="D1438" s="9">
        <v>17055.05</v>
      </c>
      <c r="E1438" s="9">
        <v>17076.25</v>
      </c>
      <c r="F1438" s="9">
        <v>3.01894634E8</v>
      </c>
      <c r="G1438" s="47">
        <v>27691.93</v>
      </c>
    </row>
    <row r="1439" ht="14.25" customHeight="1">
      <c r="A1439" s="46">
        <v>44441.0</v>
      </c>
      <c r="B1439" s="9">
        <v>17095.4</v>
      </c>
      <c r="C1439" s="9">
        <v>17245.5</v>
      </c>
      <c r="D1439" s="9">
        <v>17059.7</v>
      </c>
      <c r="E1439" s="9">
        <v>17234.15</v>
      </c>
      <c r="F1439" s="9">
        <v>2.42377518E8</v>
      </c>
      <c r="G1439" s="47">
        <v>22620.36</v>
      </c>
    </row>
    <row r="1440" ht="14.25" customHeight="1">
      <c r="A1440" s="46">
        <v>44442.0</v>
      </c>
      <c r="B1440" s="9">
        <v>17262.45</v>
      </c>
      <c r="C1440" s="9">
        <v>17340.1</v>
      </c>
      <c r="D1440" s="9">
        <v>17212.2</v>
      </c>
      <c r="E1440" s="9">
        <v>17323.6</v>
      </c>
      <c r="F1440" s="9">
        <v>2.61373795E8</v>
      </c>
      <c r="G1440" s="47">
        <v>23579.17</v>
      </c>
    </row>
    <row r="1441" ht="14.25" customHeight="1">
      <c r="A1441" s="46">
        <v>44445.0</v>
      </c>
      <c r="B1441" s="9">
        <v>17399.35</v>
      </c>
      <c r="C1441" s="9">
        <v>17429.55</v>
      </c>
      <c r="D1441" s="9">
        <v>17345.55</v>
      </c>
      <c r="E1441" s="9">
        <v>17377.8</v>
      </c>
      <c r="F1441" s="9">
        <v>2.28045532E8</v>
      </c>
      <c r="G1441" s="47">
        <v>21270.62</v>
      </c>
    </row>
    <row r="1442" ht="14.25" customHeight="1">
      <c r="A1442" s="46">
        <v>44446.0</v>
      </c>
      <c r="B1442" s="9">
        <v>17401.55</v>
      </c>
      <c r="C1442" s="9">
        <v>17436.5</v>
      </c>
      <c r="D1442" s="9">
        <v>17287.0</v>
      </c>
      <c r="E1442" s="9">
        <v>17362.1</v>
      </c>
      <c r="F1442" s="9">
        <v>2.43417811E8</v>
      </c>
      <c r="G1442" s="47">
        <v>19848.94</v>
      </c>
    </row>
    <row r="1443" ht="14.25" customHeight="1">
      <c r="A1443" s="46">
        <v>44447.0</v>
      </c>
      <c r="B1443" s="9">
        <v>17375.75</v>
      </c>
      <c r="C1443" s="9">
        <v>17383.4</v>
      </c>
      <c r="D1443" s="9">
        <v>17254.2</v>
      </c>
      <c r="E1443" s="9">
        <v>17353.5</v>
      </c>
      <c r="F1443" s="9">
        <v>2.52652423E8</v>
      </c>
      <c r="G1443" s="47">
        <v>22696.35</v>
      </c>
    </row>
    <row r="1444" ht="14.25" customHeight="1">
      <c r="A1444" s="46">
        <v>44448.0</v>
      </c>
      <c r="B1444" s="9">
        <v>17312.85</v>
      </c>
      <c r="C1444" s="9">
        <v>17379.65</v>
      </c>
      <c r="D1444" s="9">
        <v>17302.7</v>
      </c>
      <c r="E1444" s="9">
        <v>17369.25</v>
      </c>
      <c r="F1444" s="9">
        <v>2.41509352E8</v>
      </c>
      <c r="G1444" s="47">
        <v>17719.78</v>
      </c>
    </row>
    <row r="1445" ht="14.25" customHeight="1">
      <c r="A1445" s="46">
        <v>44452.0</v>
      </c>
      <c r="B1445" s="9">
        <v>17363.55</v>
      </c>
      <c r="C1445" s="9">
        <v>17378.35</v>
      </c>
      <c r="D1445" s="9">
        <v>17269.15</v>
      </c>
      <c r="E1445" s="9">
        <v>17355.3</v>
      </c>
      <c r="F1445" s="9">
        <v>2.41053924E8</v>
      </c>
      <c r="G1445" s="47">
        <v>18498.63</v>
      </c>
    </row>
    <row r="1446" ht="14.25" customHeight="1">
      <c r="A1446" s="46">
        <v>44453.0</v>
      </c>
      <c r="B1446" s="9">
        <v>17420.35</v>
      </c>
      <c r="C1446" s="9">
        <v>17438.55</v>
      </c>
      <c r="D1446" s="9">
        <v>17367.05</v>
      </c>
      <c r="E1446" s="9">
        <v>17380.0</v>
      </c>
      <c r="F1446" s="9">
        <v>2.30354386E8</v>
      </c>
      <c r="G1446" s="47">
        <v>18702.82</v>
      </c>
    </row>
    <row r="1447" ht="14.25" customHeight="1">
      <c r="A1447" s="46">
        <v>44454.0</v>
      </c>
      <c r="B1447" s="9">
        <v>17387.65</v>
      </c>
      <c r="C1447" s="9">
        <v>17532.7</v>
      </c>
      <c r="D1447" s="9">
        <v>17386.9</v>
      </c>
      <c r="E1447" s="9">
        <v>17519.45</v>
      </c>
      <c r="F1447" s="9">
        <v>3.88191629E8</v>
      </c>
      <c r="G1447" s="47">
        <v>24256.8</v>
      </c>
    </row>
    <row r="1448" ht="14.25" customHeight="1">
      <c r="A1448" s="46">
        <v>44455.0</v>
      </c>
      <c r="B1448" s="9">
        <v>17539.2</v>
      </c>
      <c r="C1448" s="9">
        <v>17644.6</v>
      </c>
      <c r="D1448" s="9">
        <v>17510.45</v>
      </c>
      <c r="E1448" s="9">
        <v>17629.5</v>
      </c>
      <c r="F1448" s="9">
        <v>5.03310763E8</v>
      </c>
      <c r="G1448" s="47">
        <v>30189.77</v>
      </c>
    </row>
    <row r="1449" ht="14.25" customHeight="1">
      <c r="A1449" s="46">
        <v>44456.0</v>
      </c>
      <c r="B1449" s="9">
        <v>17709.65</v>
      </c>
      <c r="C1449" s="9">
        <v>17792.95</v>
      </c>
      <c r="D1449" s="9">
        <v>17537.65</v>
      </c>
      <c r="E1449" s="9">
        <v>17585.15</v>
      </c>
      <c r="F1449" s="9">
        <v>5.08285916E8</v>
      </c>
      <c r="G1449" s="47">
        <v>43345.58</v>
      </c>
    </row>
    <row r="1450" ht="14.25" customHeight="1">
      <c r="A1450" s="46">
        <v>44459.0</v>
      </c>
      <c r="B1450" s="9">
        <v>17443.85</v>
      </c>
      <c r="C1450" s="9">
        <v>17622.75</v>
      </c>
      <c r="D1450" s="9">
        <v>17361.8</v>
      </c>
      <c r="E1450" s="9">
        <v>17396.9</v>
      </c>
      <c r="F1450" s="9">
        <v>3.39102046E8</v>
      </c>
      <c r="G1450" s="47">
        <v>25304.27</v>
      </c>
    </row>
    <row r="1451" ht="14.25" customHeight="1">
      <c r="A1451" s="46">
        <v>44460.0</v>
      </c>
      <c r="B1451" s="9">
        <v>17450.5</v>
      </c>
      <c r="C1451" s="9">
        <v>17578.35</v>
      </c>
      <c r="D1451" s="9">
        <v>17326.1</v>
      </c>
      <c r="E1451" s="9">
        <v>17562.0</v>
      </c>
      <c r="F1451" s="9">
        <v>3.63578479E8</v>
      </c>
      <c r="G1451" s="47">
        <v>26520.99</v>
      </c>
    </row>
    <row r="1452" ht="14.25" customHeight="1">
      <c r="A1452" s="46">
        <v>44461.0</v>
      </c>
      <c r="B1452" s="9">
        <v>17580.9</v>
      </c>
      <c r="C1452" s="9">
        <v>17610.45</v>
      </c>
      <c r="D1452" s="9">
        <v>17524.0</v>
      </c>
      <c r="E1452" s="9">
        <v>17546.65</v>
      </c>
      <c r="F1452" s="9">
        <v>2.95191136E8</v>
      </c>
      <c r="G1452" s="47">
        <v>21772.23</v>
      </c>
    </row>
    <row r="1453" ht="14.25" customHeight="1">
      <c r="A1453" s="46">
        <v>44462.0</v>
      </c>
      <c r="B1453" s="9">
        <v>17670.85</v>
      </c>
      <c r="C1453" s="9">
        <v>17843.9</v>
      </c>
      <c r="D1453" s="9">
        <v>17646.55</v>
      </c>
      <c r="E1453" s="9">
        <v>17822.95</v>
      </c>
      <c r="F1453" s="9">
        <v>3.20514486E8</v>
      </c>
      <c r="G1453" s="47">
        <v>25005.36</v>
      </c>
    </row>
    <row r="1454" ht="14.25" customHeight="1">
      <c r="A1454" s="46">
        <v>44463.0</v>
      </c>
      <c r="B1454" s="9">
        <v>17897.45</v>
      </c>
      <c r="C1454" s="9">
        <v>17947.65</v>
      </c>
      <c r="D1454" s="9">
        <v>17819.4</v>
      </c>
      <c r="E1454" s="9">
        <v>17853.2</v>
      </c>
      <c r="F1454" s="9">
        <v>3.60130853E8</v>
      </c>
      <c r="G1454" s="47">
        <v>30787.59</v>
      </c>
    </row>
    <row r="1455" ht="14.25" customHeight="1">
      <c r="A1455" s="46">
        <v>44466.0</v>
      </c>
      <c r="B1455" s="9">
        <v>17932.2</v>
      </c>
      <c r="C1455" s="9">
        <v>17943.5</v>
      </c>
      <c r="D1455" s="9">
        <v>17802.9</v>
      </c>
      <c r="E1455" s="9">
        <v>17855.1</v>
      </c>
      <c r="F1455" s="9">
        <v>2.95714657E8</v>
      </c>
      <c r="G1455" s="47">
        <v>24244.98</v>
      </c>
    </row>
    <row r="1456" ht="14.25" customHeight="1">
      <c r="A1456" s="46">
        <v>44467.0</v>
      </c>
      <c r="B1456" s="9">
        <v>17906.45</v>
      </c>
      <c r="C1456" s="9">
        <v>17912.85</v>
      </c>
      <c r="D1456" s="9">
        <v>17576.1</v>
      </c>
      <c r="E1456" s="9">
        <v>17748.6</v>
      </c>
      <c r="F1456" s="9">
        <v>3.97997281E8</v>
      </c>
      <c r="G1456" s="47">
        <v>27055.36</v>
      </c>
    </row>
    <row r="1457" ht="14.25" customHeight="1">
      <c r="A1457" s="46">
        <v>44468.0</v>
      </c>
      <c r="B1457" s="9">
        <v>17657.95</v>
      </c>
      <c r="C1457" s="9">
        <v>17781.75</v>
      </c>
      <c r="D1457" s="9">
        <v>17608.15</v>
      </c>
      <c r="E1457" s="9">
        <v>17711.3</v>
      </c>
      <c r="F1457" s="9">
        <v>5.62237732E8</v>
      </c>
      <c r="G1457" s="47">
        <v>30621.28</v>
      </c>
    </row>
    <row r="1458" ht="14.25" customHeight="1">
      <c r="A1458" s="46">
        <v>44469.0</v>
      </c>
      <c r="B1458" s="9">
        <v>17718.9</v>
      </c>
      <c r="C1458" s="9">
        <v>17742.15</v>
      </c>
      <c r="D1458" s="9">
        <v>17585.35</v>
      </c>
      <c r="E1458" s="9">
        <v>17618.15</v>
      </c>
      <c r="F1458" s="9">
        <v>3.78592721E8</v>
      </c>
      <c r="G1458" s="47">
        <v>27167.19</v>
      </c>
    </row>
    <row r="1459" ht="14.25" customHeight="1">
      <c r="A1459" s="46">
        <v>44470.0</v>
      </c>
      <c r="B1459" s="9">
        <v>17531.9</v>
      </c>
      <c r="C1459" s="9">
        <v>17557.15</v>
      </c>
      <c r="D1459" s="9">
        <v>17452.9</v>
      </c>
      <c r="E1459" s="9">
        <v>17532.05</v>
      </c>
      <c r="F1459" s="9">
        <v>3.05763919E8</v>
      </c>
      <c r="G1459" s="47">
        <v>20911.61</v>
      </c>
    </row>
    <row r="1460" ht="14.25" customHeight="1">
      <c r="A1460" s="46">
        <v>44473.0</v>
      </c>
      <c r="B1460" s="9">
        <v>17615.55</v>
      </c>
      <c r="C1460" s="9">
        <v>17750.9</v>
      </c>
      <c r="D1460" s="9">
        <v>17581.35</v>
      </c>
      <c r="E1460" s="9">
        <v>17691.25</v>
      </c>
      <c r="F1460" s="9">
        <v>2.95761839E8</v>
      </c>
      <c r="G1460" s="47">
        <v>21343.51</v>
      </c>
    </row>
    <row r="1461" ht="14.25" customHeight="1">
      <c r="A1461" s="46">
        <v>44474.0</v>
      </c>
      <c r="B1461" s="9">
        <v>17661.35</v>
      </c>
      <c r="C1461" s="9">
        <v>17833.45</v>
      </c>
      <c r="D1461" s="9">
        <v>17640.9</v>
      </c>
      <c r="E1461" s="9">
        <v>17822.3</v>
      </c>
      <c r="F1461" s="9">
        <v>4.27000191E8</v>
      </c>
      <c r="G1461" s="47">
        <v>23066.8</v>
      </c>
    </row>
    <row r="1462" ht="14.25" customHeight="1">
      <c r="A1462" s="46">
        <v>44475.0</v>
      </c>
      <c r="B1462" s="9">
        <v>17861.5</v>
      </c>
      <c r="C1462" s="9">
        <v>17884.6</v>
      </c>
      <c r="D1462" s="9">
        <v>17613.15</v>
      </c>
      <c r="E1462" s="9">
        <v>17646.0</v>
      </c>
      <c r="F1462" s="9">
        <v>3.9583355E8</v>
      </c>
      <c r="G1462" s="47">
        <v>24504.3</v>
      </c>
    </row>
    <row r="1463" ht="14.25" customHeight="1">
      <c r="A1463" s="46">
        <v>44476.0</v>
      </c>
      <c r="B1463" s="9">
        <v>17810.55</v>
      </c>
      <c r="C1463" s="9">
        <v>17857.55</v>
      </c>
      <c r="D1463" s="9">
        <v>17763.8</v>
      </c>
      <c r="E1463" s="9">
        <v>17790.35</v>
      </c>
      <c r="F1463" s="9">
        <v>4.19890959E8</v>
      </c>
      <c r="G1463" s="47">
        <v>27371.98</v>
      </c>
    </row>
    <row r="1464" ht="14.25" customHeight="1">
      <c r="A1464" s="46">
        <v>44477.0</v>
      </c>
      <c r="B1464" s="9">
        <v>17886.85</v>
      </c>
      <c r="C1464" s="9">
        <v>17941.85</v>
      </c>
      <c r="D1464" s="9">
        <v>17840.35</v>
      </c>
      <c r="E1464" s="9">
        <v>17895.2</v>
      </c>
      <c r="F1464" s="9">
        <v>3.24066351E8</v>
      </c>
      <c r="G1464" s="47">
        <v>22778.68</v>
      </c>
    </row>
    <row r="1465" ht="14.25" customHeight="1">
      <c r="A1465" s="46">
        <v>44480.0</v>
      </c>
      <c r="B1465" s="9">
        <v>17867.55</v>
      </c>
      <c r="C1465" s="9">
        <v>18041.95</v>
      </c>
      <c r="D1465" s="9">
        <v>17839.1</v>
      </c>
      <c r="E1465" s="9">
        <v>17945.95</v>
      </c>
      <c r="F1465" s="9">
        <v>3.75756457E8</v>
      </c>
      <c r="G1465" s="47">
        <v>29000.2</v>
      </c>
    </row>
    <row r="1466" ht="14.25" customHeight="1">
      <c r="A1466" s="46">
        <v>44481.0</v>
      </c>
      <c r="B1466" s="9">
        <v>17915.8</v>
      </c>
      <c r="C1466" s="9">
        <v>18008.65</v>
      </c>
      <c r="D1466" s="9">
        <v>17864.95</v>
      </c>
      <c r="E1466" s="9">
        <v>17991.95</v>
      </c>
      <c r="F1466" s="9">
        <v>3.55568313E8</v>
      </c>
      <c r="G1466" s="47">
        <v>26491.42</v>
      </c>
    </row>
    <row r="1467" ht="14.25" customHeight="1">
      <c r="A1467" s="46">
        <v>44482.0</v>
      </c>
      <c r="B1467" s="9">
        <v>18097.85</v>
      </c>
      <c r="C1467" s="9">
        <v>18197.8</v>
      </c>
      <c r="D1467" s="9">
        <v>18050.75</v>
      </c>
      <c r="E1467" s="9">
        <v>18161.75</v>
      </c>
      <c r="F1467" s="9">
        <v>5.06679748E8</v>
      </c>
      <c r="G1467" s="47">
        <v>34503.0</v>
      </c>
    </row>
    <row r="1468" ht="14.25" customHeight="1">
      <c r="A1468" s="46">
        <v>44483.0</v>
      </c>
      <c r="B1468" s="9">
        <v>18272.85</v>
      </c>
      <c r="C1468" s="9">
        <v>18350.75</v>
      </c>
      <c r="D1468" s="9">
        <v>18248.7</v>
      </c>
      <c r="E1468" s="9">
        <v>18338.55</v>
      </c>
      <c r="F1468" s="9">
        <v>5.3871444E8</v>
      </c>
      <c r="G1468" s="47">
        <v>38903.16</v>
      </c>
    </row>
    <row r="1469" ht="14.25" customHeight="1">
      <c r="A1469" s="46">
        <v>44487.0</v>
      </c>
      <c r="B1469" s="9">
        <v>18500.1</v>
      </c>
      <c r="C1469" s="9">
        <v>18543.15</v>
      </c>
      <c r="D1469" s="9">
        <v>18445.3</v>
      </c>
      <c r="E1469" s="9">
        <v>18477.05</v>
      </c>
      <c r="F1469" s="9">
        <v>4.69883515E8</v>
      </c>
      <c r="G1469" s="47">
        <v>36800.84</v>
      </c>
    </row>
    <row r="1470" ht="14.25" customHeight="1">
      <c r="A1470" s="46">
        <v>44488.0</v>
      </c>
      <c r="B1470" s="9">
        <v>18602.35</v>
      </c>
      <c r="C1470" s="9">
        <v>18604.45</v>
      </c>
      <c r="D1470" s="9">
        <v>18377.7</v>
      </c>
      <c r="E1470" s="9">
        <v>18418.75</v>
      </c>
      <c r="F1470" s="9">
        <v>3.68230309E8</v>
      </c>
      <c r="G1470" s="47">
        <v>30505.86</v>
      </c>
    </row>
    <row r="1471" ht="14.25" customHeight="1">
      <c r="A1471" s="46">
        <v>44489.0</v>
      </c>
      <c r="B1471" s="9">
        <v>18439.9</v>
      </c>
      <c r="C1471" s="9">
        <v>18458.3</v>
      </c>
      <c r="D1471" s="9">
        <v>18209.35</v>
      </c>
      <c r="E1471" s="9">
        <v>18266.6</v>
      </c>
      <c r="F1471" s="9">
        <v>3.71276478E8</v>
      </c>
      <c r="G1471" s="47">
        <v>28968.42</v>
      </c>
    </row>
    <row r="1472" ht="14.25" customHeight="1">
      <c r="A1472" s="46">
        <v>44490.0</v>
      </c>
      <c r="B1472" s="9">
        <v>18382.7</v>
      </c>
      <c r="C1472" s="9">
        <v>18384.2</v>
      </c>
      <c r="D1472" s="9">
        <v>18048.0</v>
      </c>
      <c r="E1472" s="9">
        <v>18178.1</v>
      </c>
      <c r="F1472" s="9">
        <v>3.65902008E8</v>
      </c>
      <c r="G1472" s="47">
        <v>30839.79</v>
      </c>
    </row>
    <row r="1473" ht="14.25" customHeight="1">
      <c r="A1473" s="46">
        <v>44491.0</v>
      </c>
      <c r="B1473" s="9">
        <v>18230.7</v>
      </c>
      <c r="C1473" s="9">
        <v>18314.25</v>
      </c>
      <c r="D1473" s="9">
        <v>18034.35</v>
      </c>
      <c r="E1473" s="9">
        <v>18114.9</v>
      </c>
      <c r="F1473" s="9">
        <v>3.24748084E8</v>
      </c>
      <c r="G1473" s="47">
        <v>26938.88</v>
      </c>
    </row>
    <row r="1474" ht="14.25" customHeight="1">
      <c r="A1474" s="46">
        <v>44494.0</v>
      </c>
      <c r="B1474" s="9">
        <v>18229.5</v>
      </c>
      <c r="C1474" s="9">
        <v>18241.4</v>
      </c>
      <c r="D1474" s="9">
        <v>17968.5</v>
      </c>
      <c r="E1474" s="9">
        <v>18125.4</v>
      </c>
      <c r="F1474" s="9">
        <v>4.18703647E8</v>
      </c>
      <c r="G1474" s="47">
        <v>34572.34</v>
      </c>
    </row>
    <row r="1475" ht="14.25" customHeight="1">
      <c r="A1475" s="46">
        <v>44495.0</v>
      </c>
      <c r="B1475" s="9">
        <v>18154.5</v>
      </c>
      <c r="C1475" s="9">
        <v>18310.45</v>
      </c>
      <c r="D1475" s="9">
        <v>18099.3</v>
      </c>
      <c r="E1475" s="9">
        <v>18268.4</v>
      </c>
      <c r="F1475" s="9">
        <v>3.41377869E8</v>
      </c>
      <c r="G1475" s="47">
        <v>29764.61</v>
      </c>
    </row>
    <row r="1476" ht="14.25" customHeight="1">
      <c r="A1476" s="46">
        <v>44496.0</v>
      </c>
      <c r="B1476" s="9">
        <v>18295.85</v>
      </c>
      <c r="C1476" s="9">
        <v>18342.05</v>
      </c>
      <c r="D1476" s="9">
        <v>18167.9</v>
      </c>
      <c r="E1476" s="9">
        <v>18210.95</v>
      </c>
      <c r="F1476" s="9">
        <v>3.35248487E8</v>
      </c>
      <c r="G1476" s="47">
        <v>30823.75</v>
      </c>
    </row>
    <row r="1477" ht="14.25" customHeight="1">
      <c r="A1477" s="46">
        <v>44497.0</v>
      </c>
      <c r="B1477" s="9">
        <v>18187.65</v>
      </c>
      <c r="C1477" s="9">
        <v>18190.7</v>
      </c>
      <c r="D1477" s="9">
        <v>17799.45</v>
      </c>
      <c r="E1477" s="9">
        <v>17857.25</v>
      </c>
      <c r="F1477" s="9">
        <v>3.74205784E8</v>
      </c>
      <c r="G1477" s="47">
        <v>30222.34</v>
      </c>
    </row>
    <row r="1478" ht="14.25" customHeight="1">
      <c r="A1478" s="46">
        <v>44498.0</v>
      </c>
      <c r="B1478" s="9">
        <v>17833.05</v>
      </c>
      <c r="C1478" s="9">
        <v>17915.85</v>
      </c>
      <c r="D1478" s="9">
        <v>17613.1</v>
      </c>
      <c r="E1478" s="9">
        <v>17671.65</v>
      </c>
      <c r="F1478" s="9">
        <v>3.36466864E8</v>
      </c>
      <c r="G1478" s="47">
        <v>28136.0</v>
      </c>
    </row>
    <row r="1479" ht="14.25" customHeight="1">
      <c r="A1479" s="46">
        <v>44501.0</v>
      </c>
      <c r="B1479" s="9">
        <v>17783.15</v>
      </c>
      <c r="C1479" s="9">
        <v>17954.1</v>
      </c>
      <c r="D1479" s="9">
        <v>17697.1</v>
      </c>
      <c r="E1479" s="9">
        <v>17929.65</v>
      </c>
      <c r="F1479" s="9">
        <v>2.8119013E8</v>
      </c>
      <c r="G1479" s="47">
        <v>24354.38</v>
      </c>
    </row>
    <row r="1480" ht="14.25" customHeight="1">
      <c r="A1480" s="46">
        <v>44502.0</v>
      </c>
      <c r="B1480" s="9">
        <v>17970.9</v>
      </c>
      <c r="C1480" s="9">
        <v>18012.25</v>
      </c>
      <c r="D1480" s="9">
        <v>17847.6</v>
      </c>
      <c r="E1480" s="9">
        <v>17888.95</v>
      </c>
      <c r="F1480" s="9">
        <v>2.96441997E8</v>
      </c>
      <c r="G1480" s="47">
        <v>23371.51</v>
      </c>
    </row>
    <row r="1481" ht="14.25" customHeight="1">
      <c r="A1481" s="46">
        <v>44503.0</v>
      </c>
      <c r="B1481" s="9">
        <v>17947.95</v>
      </c>
      <c r="C1481" s="9">
        <v>17988.75</v>
      </c>
      <c r="D1481" s="9">
        <v>17757.95</v>
      </c>
      <c r="E1481" s="9">
        <v>17829.2</v>
      </c>
      <c r="F1481" s="9">
        <v>3.30995982E8</v>
      </c>
      <c r="G1481" s="47">
        <v>26186.85</v>
      </c>
    </row>
    <row r="1482" ht="14.25" customHeight="1">
      <c r="A1482" s="46">
        <v>44504.0</v>
      </c>
      <c r="B1482" s="9">
        <v>17935.05</v>
      </c>
      <c r="C1482" s="9">
        <v>17947.55</v>
      </c>
      <c r="D1482" s="9">
        <v>17900.6</v>
      </c>
      <c r="E1482" s="9">
        <v>17916.8</v>
      </c>
      <c r="F1482" s="9">
        <v>4.8520856E7</v>
      </c>
      <c r="G1482" s="47">
        <v>3637.06</v>
      </c>
    </row>
    <row r="1483" ht="14.25" customHeight="1">
      <c r="A1483" s="46">
        <v>44508.0</v>
      </c>
      <c r="B1483" s="9">
        <v>18040.2</v>
      </c>
      <c r="C1483" s="9">
        <v>18087.8</v>
      </c>
      <c r="D1483" s="9">
        <v>17836.1</v>
      </c>
      <c r="E1483" s="9">
        <v>18068.55</v>
      </c>
      <c r="F1483" s="9">
        <v>3.38919483E8</v>
      </c>
      <c r="G1483" s="47">
        <v>30908.23</v>
      </c>
    </row>
    <row r="1484" ht="14.25" customHeight="1">
      <c r="A1484" s="46">
        <v>44509.0</v>
      </c>
      <c r="B1484" s="9">
        <v>18084.35</v>
      </c>
      <c r="C1484" s="9">
        <v>18112.6</v>
      </c>
      <c r="D1484" s="9">
        <v>17983.05</v>
      </c>
      <c r="E1484" s="9">
        <v>18044.25</v>
      </c>
      <c r="F1484" s="9">
        <v>2.70197527E8</v>
      </c>
      <c r="G1484" s="47">
        <v>23686.09</v>
      </c>
    </row>
    <row r="1485" ht="14.25" customHeight="1">
      <c r="A1485" s="46">
        <v>44510.0</v>
      </c>
      <c r="B1485" s="9">
        <v>17973.45</v>
      </c>
      <c r="C1485" s="9">
        <v>18061.25</v>
      </c>
      <c r="D1485" s="9">
        <v>17915.0</v>
      </c>
      <c r="E1485" s="9">
        <v>18017.2</v>
      </c>
      <c r="F1485" s="9">
        <v>2.61446523E8</v>
      </c>
      <c r="G1485" s="47">
        <v>22281.11</v>
      </c>
    </row>
    <row r="1486" ht="14.25" customHeight="1">
      <c r="A1486" s="46">
        <v>44511.0</v>
      </c>
      <c r="B1486" s="9">
        <v>17967.45</v>
      </c>
      <c r="C1486" s="9">
        <v>17971.35</v>
      </c>
      <c r="D1486" s="9">
        <v>17798.2</v>
      </c>
      <c r="E1486" s="9">
        <v>17873.6</v>
      </c>
      <c r="F1486" s="9">
        <v>2.32121151E8</v>
      </c>
      <c r="G1486" s="47">
        <v>20074.78</v>
      </c>
    </row>
    <row r="1487" ht="14.25" customHeight="1">
      <c r="A1487" s="46">
        <v>44512.0</v>
      </c>
      <c r="B1487" s="9">
        <v>17977.6</v>
      </c>
      <c r="C1487" s="9">
        <v>18123.0</v>
      </c>
      <c r="D1487" s="9">
        <v>17905.9</v>
      </c>
      <c r="E1487" s="9">
        <v>18102.75</v>
      </c>
      <c r="F1487" s="9">
        <v>2.49111898E8</v>
      </c>
      <c r="G1487" s="47">
        <v>22164.33</v>
      </c>
    </row>
    <row r="1488" ht="14.25" customHeight="1">
      <c r="A1488" s="46">
        <v>44515.0</v>
      </c>
      <c r="B1488" s="9">
        <v>18140.95</v>
      </c>
      <c r="C1488" s="9">
        <v>18210.15</v>
      </c>
      <c r="D1488" s="9">
        <v>18071.3</v>
      </c>
      <c r="E1488" s="9">
        <v>18109.45</v>
      </c>
      <c r="F1488" s="9">
        <v>2.80428633E8</v>
      </c>
      <c r="G1488" s="47">
        <v>19099.6</v>
      </c>
    </row>
    <row r="1489" ht="14.25" customHeight="1">
      <c r="A1489" s="46">
        <v>44516.0</v>
      </c>
      <c r="B1489" s="9">
        <v>18127.05</v>
      </c>
      <c r="C1489" s="9">
        <v>18132.65</v>
      </c>
      <c r="D1489" s="9">
        <v>17958.8</v>
      </c>
      <c r="E1489" s="9">
        <v>17999.2</v>
      </c>
      <c r="F1489" s="9">
        <v>2.67431829E8</v>
      </c>
      <c r="G1489" s="47">
        <v>24101.67</v>
      </c>
    </row>
    <row r="1490" ht="14.25" customHeight="1">
      <c r="A1490" s="46">
        <v>44517.0</v>
      </c>
      <c r="B1490" s="9">
        <v>17939.35</v>
      </c>
      <c r="C1490" s="9">
        <v>18022.65</v>
      </c>
      <c r="D1490" s="9">
        <v>17879.25</v>
      </c>
      <c r="E1490" s="9">
        <v>17898.65</v>
      </c>
      <c r="F1490" s="9">
        <v>2.95715938E8</v>
      </c>
      <c r="G1490" s="47">
        <v>22950.84</v>
      </c>
    </row>
    <row r="1491" ht="14.25" customHeight="1">
      <c r="A1491" s="46">
        <v>44518.0</v>
      </c>
      <c r="B1491" s="9">
        <v>17890.55</v>
      </c>
      <c r="C1491" s="9">
        <v>17945.6</v>
      </c>
      <c r="D1491" s="9">
        <v>17688.5</v>
      </c>
      <c r="E1491" s="9">
        <v>17764.8</v>
      </c>
      <c r="F1491" s="9">
        <v>2.78425148E8</v>
      </c>
      <c r="G1491" s="47">
        <v>22625.36</v>
      </c>
    </row>
    <row r="1492" ht="14.25" customHeight="1">
      <c r="A1492" s="46">
        <v>44522.0</v>
      </c>
      <c r="B1492" s="9">
        <v>17796.25</v>
      </c>
      <c r="C1492" s="9">
        <v>17805.25</v>
      </c>
      <c r="D1492" s="9">
        <v>17280.45</v>
      </c>
      <c r="E1492" s="9">
        <v>17416.55</v>
      </c>
      <c r="F1492" s="9">
        <v>3.56400425E8</v>
      </c>
      <c r="G1492" s="47">
        <v>29570.57</v>
      </c>
    </row>
    <row r="1493" ht="14.25" customHeight="1">
      <c r="A1493" s="46">
        <v>44523.0</v>
      </c>
      <c r="B1493" s="9">
        <v>17281.75</v>
      </c>
      <c r="C1493" s="9">
        <v>17553.7</v>
      </c>
      <c r="D1493" s="9">
        <v>17216.1</v>
      </c>
      <c r="E1493" s="9">
        <v>17503.35</v>
      </c>
      <c r="F1493" s="9">
        <v>3.08843255E8</v>
      </c>
      <c r="G1493" s="47">
        <v>26240.41</v>
      </c>
    </row>
    <row r="1494" ht="14.25" customHeight="1">
      <c r="A1494" s="46">
        <v>44524.0</v>
      </c>
      <c r="B1494" s="9">
        <v>17550.05</v>
      </c>
      <c r="C1494" s="9">
        <v>17600.6</v>
      </c>
      <c r="D1494" s="9">
        <v>17354.0</v>
      </c>
      <c r="E1494" s="9">
        <v>17415.05</v>
      </c>
      <c r="F1494" s="9">
        <v>2.98052158E8</v>
      </c>
      <c r="G1494" s="47">
        <v>23766.93</v>
      </c>
    </row>
    <row r="1495" ht="14.25" customHeight="1">
      <c r="A1495" s="46">
        <v>44525.0</v>
      </c>
      <c r="B1495" s="9">
        <v>17417.3</v>
      </c>
      <c r="C1495" s="9">
        <v>17564.35</v>
      </c>
      <c r="D1495" s="9">
        <v>17351.7</v>
      </c>
      <c r="E1495" s="9">
        <v>17536.25</v>
      </c>
      <c r="F1495" s="9">
        <v>2.55947032E8</v>
      </c>
      <c r="G1495" s="47">
        <v>21953.33</v>
      </c>
    </row>
    <row r="1496" ht="14.25" customHeight="1">
      <c r="A1496" s="46">
        <v>44526.0</v>
      </c>
      <c r="B1496" s="9">
        <v>17338.75</v>
      </c>
      <c r="C1496" s="9">
        <v>17355.4</v>
      </c>
      <c r="D1496" s="9">
        <v>16985.7</v>
      </c>
      <c r="E1496" s="9">
        <v>17026.45</v>
      </c>
      <c r="F1496" s="9">
        <v>3.56330009E8</v>
      </c>
      <c r="G1496" s="47">
        <v>28485.53</v>
      </c>
    </row>
    <row r="1497" ht="14.25" customHeight="1">
      <c r="A1497" s="46">
        <v>44529.0</v>
      </c>
      <c r="B1497" s="9">
        <v>17055.8</v>
      </c>
      <c r="C1497" s="9">
        <v>17160.7</v>
      </c>
      <c r="D1497" s="9">
        <v>16782.4</v>
      </c>
      <c r="E1497" s="9">
        <v>17053.95</v>
      </c>
      <c r="F1497" s="9">
        <v>3.4888875E8</v>
      </c>
      <c r="G1497" s="47">
        <v>27428.2</v>
      </c>
    </row>
    <row r="1498" ht="14.25" customHeight="1">
      <c r="A1498" s="46">
        <v>44530.0</v>
      </c>
      <c r="B1498" s="9">
        <v>17051.15</v>
      </c>
      <c r="C1498" s="9">
        <v>17324.65</v>
      </c>
      <c r="D1498" s="9">
        <v>16931.4</v>
      </c>
      <c r="E1498" s="9">
        <v>16983.2</v>
      </c>
      <c r="F1498" s="9">
        <v>4.97999836E8</v>
      </c>
      <c r="G1498" s="47">
        <v>41494.9</v>
      </c>
    </row>
    <row r="1499" ht="14.25" customHeight="1">
      <c r="A1499" s="46">
        <v>44531.0</v>
      </c>
      <c r="B1499" s="9">
        <v>17104.4</v>
      </c>
      <c r="C1499" s="9">
        <v>17213.05</v>
      </c>
      <c r="D1499" s="9">
        <v>17064.25</v>
      </c>
      <c r="E1499" s="9">
        <v>17166.9</v>
      </c>
      <c r="F1499" s="9">
        <v>2.95542125E8</v>
      </c>
      <c r="G1499" s="47">
        <v>24098.73</v>
      </c>
    </row>
    <row r="1500" ht="14.25" customHeight="1">
      <c r="A1500" s="46">
        <v>44532.0</v>
      </c>
      <c r="B1500" s="9">
        <v>17183.2</v>
      </c>
      <c r="C1500" s="9">
        <v>17420.35</v>
      </c>
      <c r="D1500" s="9">
        <v>17149.3</v>
      </c>
      <c r="E1500" s="9">
        <v>17401.65</v>
      </c>
      <c r="F1500" s="9">
        <v>2.798675E8</v>
      </c>
      <c r="G1500" s="47">
        <v>22473.64</v>
      </c>
    </row>
    <row r="1501" ht="14.25" customHeight="1">
      <c r="A1501" s="46">
        <v>44533.0</v>
      </c>
      <c r="B1501" s="9">
        <v>17424.9</v>
      </c>
      <c r="C1501" s="9">
        <v>17489.8</v>
      </c>
      <c r="D1501" s="9">
        <v>17180.8</v>
      </c>
      <c r="E1501" s="9">
        <v>17196.7</v>
      </c>
      <c r="F1501" s="9">
        <v>2.92526485E8</v>
      </c>
      <c r="G1501" s="47">
        <v>23100.57</v>
      </c>
    </row>
    <row r="1502" ht="14.25" customHeight="1">
      <c r="A1502" s="46">
        <v>44536.0</v>
      </c>
      <c r="B1502" s="9">
        <v>17209.05</v>
      </c>
      <c r="C1502" s="9">
        <v>17216.75</v>
      </c>
      <c r="D1502" s="9">
        <v>16891.7</v>
      </c>
      <c r="E1502" s="9">
        <v>16912.25</v>
      </c>
      <c r="F1502" s="9">
        <v>2.31716681E8</v>
      </c>
      <c r="G1502" s="47">
        <v>17912.15</v>
      </c>
    </row>
    <row r="1503" ht="14.25" customHeight="1">
      <c r="A1503" s="46">
        <v>44537.0</v>
      </c>
      <c r="B1503" s="9">
        <v>17044.1</v>
      </c>
      <c r="C1503" s="9">
        <v>17251.65</v>
      </c>
      <c r="D1503" s="9">
        <v>16987.75</v>
      </c>
      <c r="E1503" s="9">
        <v>17176.7</v>
      </c>
      <c r="F1503" s="9">
        <v>2.54144221E8</v>
      </c>
      <c r="G1503" s="47">
        <v>21693.69</v>
      </c>
    </row>
    <row r="1504" ht="14.25" customHeight="1">
      <c r="A1504" s="46">
        <v>44538.0</v>
      </c>
      <c r="B1504" s="9">
        <v>17315.25</v>
      </c>
      <c r="C1504" s="9">
        <v>17484.6</v>
      </c>
      <c r="D1504" s="9">
        <v>17308.95</v>
      </c>
      <c r="E1504" s="9">
        <v>17469.75</v>
      </c>
      <c r="F1504" s="9">
        <v>2.57791948E8</v>
      </c>
      <c r="G1504" s="47">
        <v>21665.95</v>
      </c>
    </row>
    <row r="1505" ht="14.25" customHeight="1">
      <c r="A1505" s="46">
        <v>44539.0</v>
      </c>
      <c r="B1505" s="9">
        <v>17524.4</v>
      </c>
      <c r="C1505" s="9">
        <v>17543.25</v>
      </c>
      <c r="D1505" s="9">
        <v>17379.6</v>
      </c>
      <c r="E1505" s="9">
        <v>17516.85</v>
      </c>
      <c r="F1505" s="9">
        <v>2.37170272E8</v>
      </c>
      <c r="G1505" s="47">
        <v>18984.75</v>
      </c>
    </row>
    <row r="1506" ht="14.25" customHeight="1">
      <c r="A1506" s="46">
        <v>44540.0</v>
      </c>
      <c r="B1506" s="9">
        <v>17476.05</v>
      </c>
      <c r="C1506" s="9">
        <v>17534.35</v>
      </c>
      <c r="D1506" s="9">
        <v>17405.25</v>
      </c>
      <c r="E1506" s="9">
        <v>17511.3</v>
      </c>
      <c r="F1506" s="9">
        <v>2.04467484E8</v>
      </c>
      <c r="G1506" s="47">
        <v>16399.53</v>
      </c>
    </row>
    <row r="1507" ht="14.25" customHeight="1">
      <c r="A1507" s="46">
        <v>44543.0</v>
      </c>
      <c r="B1507" s="9">
        <v>17619.1</v>
      </c>
      <c r="C1507" s="9">
        <v>17639.5</v>
      </c>
      <c r="D1507" s="9">
        <v>17355.95</v>
      </c>
      <c r="E1507" s="9">
        <v>17368.25</v>
      </c>
      <c r="F1507" s="9">
        <v>2.56560534E8</v>
      </c>
      <c r="G1507" s="47">
        <v>20592.03</v>
      </c>
    </row>
    <row r="1508" ht="14.25" customHeight="1">
      <c r="A1508" s="46">
        <v>44544.0</v>
      </c>
      <c r="B1508" s="9">
        <v>17283.2</v>
      </c>
      <c r="C1508" s="9">
        <v>17376.2</v>
      </c>
      <c r="D1508" s="9">
        <v>17225.8</v>
      </c>
      <c r="E1508" s="9">
        <v>17324.9</v>
      </c>
      <c r="F1508" s="9">
        <v>2.70965586E8</v>
      </c>
      <c r="G1508" s="47">
        <v>20459.79</v>
      </c>
    </row>
    <row r="1509" ht="14.25" customHeight="1">
      <c r="A1509" s="46">
        <v>44545.0</v>
      </c>
      <c r="B1509" s="9">
        <v>17323.65</v>
      </c>
      <c r="C1509" s="9">
        <v>17351.2</v>
      </c>
      <c r="D1509" s="9">
        <v>17192.2</v>
      </c>
      <c r="E1509" s="9">
        <v>17221.4</v>
      </c>
      <c r="F1509" s="9">
        <v>2.14972109E8</v>
      </c>
      <c r="G1509" s="47">
        <v>17046.42</v>
      </c>
    </row>
    <row r="1510" ht="14.25" customHeight="1">
      <c r="A1510" s="46">
        <v>44546.0</v>
      </c>
      <c r="B1510" s="9">
        <v>17373.0</v>
      </c>
      <c r="C1510" s="9">
        <v>17379.35</v>
      </c>
      <c r="D1510" s="9">
        <v>17184.95</v>
      </c>
      <c r="E1510" s="9">
        <v>17248.4</v>
      </c>
      <c r="F1510" s="9">
        <v>2.19496063E8</v>
      </c>
      <c r="G1510" s="47">
        <v>18493.54</v>
      </c>
    </row>
    <row r="1511" ht="14.25" customHeight="1">
      <c r="A1511" s="46">
        <v>44547.0</v>
      </c>
      <c r="B1511" s="9">
        <v>17276.0</v>
      </c>
      <c r="C1511" s="9">
        <v>17298.15</v>
      </c>
      <c r="D1511" s="9">
        <v>16966.45</v>
      </c>
      <c r="E1511" s="9">
        <v>16985.2</v>
      </c>
      <c r="F1511" s="9">
        <v>3.54591366E8</v>
      </c>
      <c r="G1511" s="47">
        <v>31326.91</v>
      </c>
    </row>
    <row r="1512" ht="14.25" customHeight="1">
      <c r="A1512" s="46">
        <v>44550.0</v>
      </c>
      <c r="B1512" s="9">
        <v>16824.25</v>
      </c>
      <c r="C1512" s="9">
        <v>16840.1</v>
      </c>
      <c r="D1512" s="9">
        <v>16410.2</v>
      </c>
      <c r="E1512" s="9">
        <v>16614.2</v>
      </c>
      <c r="F1512" s="9">
        <v>3.30614079E8</v>
      </c>
      <c r="G1512" s="47">
        <v>25123.59</v>
      </c>
    </row>
    <row r="1513" ht="14.25" customHeight="1">
      <c r="A1513" s="46">
        <v>44551.0</v>
      </c>
      <c r="B1513" s="9">
        <v>16773.15</v>
      </c>
      <c r="C1513" s="9">
        <v>16936.4</v>
      </c>
      <c r="D1513" s="9">
        <v>16688.25</v>
      </c>
      <c r="E1513" s="9">
        <v>16770.85</v>
      </c>
      <c r="F1513" s="9">
        <v>2.41030834E8</v>
      </c>
      <c r="G1513" s="47">
        <v>19783.04</v>
      </c>
    </row>
    <row r="1514" ht="14.25" customHeight="1">
      <c r="A1514" s="46">
        <v>44552.0</v>
      </c>
      <c r="B1514" s="9">
        <v>16865.55</v>
      </c>
      <c r="C1514" s="9">
        <v>16971.0</v>
      </c>
      <c r="D1514" s="9">
        <v>16819.5</v>
      </c>
      <c r="E1514" s="9">
        <v>16955.45</v>
      </c>
      <c r="F1514" s="9">
        <v>2.07946105E8</v>
      </c>
      <c r="G1514" s="47">
        <v>17443.94</v>
      </c>
    </row>
    <row r="1515" ht="14.25" customHeight="1">
      <c r="A1515" s="46">
        <v>44553.0</v>
      </c>
      <c r="B1515" s="9">
        <v>17066.8</v>
      </c>
      <c r="C1515" s="9">
        <v>17118.65</v>
      </c>
      <c r="D1515" s="9">
        <v>17015.55</v>
      </c>
      <c r="E1515" s="9">
        <v>17072.6</v>
      </c>
      <c r="F1515" s="9">
        <v>1.96965302E8</v>
      </c>
      <c r="G1515" s="47">
        <v>15755.89</v>
      </c>
    </row>
    <row r="1516" ht="14.25" customHeight="1">
      <c r="A1516" s="46">
        <v>44554.0</v>
      </c>
      <c r="B1516" s="9">
        <v>17149.5</v>
      </c>
      <c r="C1516" s="9">
        <v>17155.6</v>
      </c>
      <c r="D1516" s="9">
        <v>16909.6</v>
      </c>
      <c r="E1516" s="9">
        <v>17003.75</v>
      </c>
      <c r="F1516" s="9">
        <v>1.82564833E8</v>
      </c>
      <c r="G1516" s="47">
        <v>15435.01</v>
      </c>
    </row>
    <row r="1517" ht="14.25" customHeight="1">
      <c r="A1517" s="46">
        <v>44557.0</v>
      </c>
      <c r="B1517" s="9">
        <v>16937.75</v>
      </c>
      <c r="C1517" s="9">
        <v>17112.05</v>
      </c>
      <c r="D1517" s="9">
        <v>16833.2</v>
      </c>
      <c r="E1517" s="9">
        <v>17086.25</v>
      </c>
      <c r="F1517" s="9">
        <v>1.44777457E8</v>
      </c>
      <c r="G1517" s="47">
        <v>12567.03</v>
      </c>
    </row>
    <row r="1518" ht="14.25" customHeight="1">
      <c r="A1518" s="46">
        <v>44558.0</v>
      </c>
      <c r="B1518" s="9">
        <v>17177.6</v>
      </c>
      <c r="C1518" s="9">
        <v>17250.25</v>
      </c>
      <c r="D1518" s="9">
        <v>17161.15</v>
      </c>
      <c r="E1518" s="9">
        <v>17233.25</v>
      </c>
      <c r="F1518" s="9">
        <v>1.760261E8</v>
      </c>
      <c r="G1518" s="47">
        <v>14553.76</v>
      </c>
    </row>
    <row r="1519" ht="14.25" customHeight="1">
      <c r="A1519" s="46">
        <v>44559.0</v>
      </c>
      <c r="B1519" s="9">
        <v>17220.1</v>
      </c>
      <c r="C1519" s="9">
        <v>17285.95</v>
      </c>
      <c r="D1519" s="9">
        <v>17176.65</v>
      </c>
      <c r="E1519" s="9">
        <v>17213.6</v>
      </c>
      <c r="F1519" s="9">
        <v>1.61679423E8</v>
      </c>
      <c r="G1519" s="47">
        <v>14320.79</v>
      </c>
    </row>
    <row r="1520" ht="14.25" customHeight="1">
      <c r="A1520" s="46">
        <v>44560.0</v>
      </c>
      <c r="B1520" s="9">
        <v>17201.45</v>
      </c>
      <c r="C1520" s="9">
        <v>17264.05</v>
      </c>
      <c r="D1520" s="9">
        <v>17146.35</v>
      </c>
      <c r="E1520" s="9">
        <v>17203.95</v>
      </c>
      <c r="F1520" s="9">
        <v>3.20831676E8</v>
      </c>
      <c r="G1520" s="47">
        <v>21929.19</v>
      </c>
    </row>
    <row r="1521" ht="14.25" customHeight="1">
      <c r="A1521" s="46">
        <v>44561.0</v>
      </c>
      <c r="B1521" s="9">
        <v>17244.5</v>
      </c>
      <c r="C1521" s="9">
        <v>17400.8</v>
      </c>
      <c r="D1521" s="9">
        <v>17238.5</v>
      </c>
      <c r="E1521" s="9">
        <v>17354.05</v>
      </c>
      <c r="F1521" s="9">
        <v>1.6702572E8</v>
      </c>
      <c r="G1521" s="47">
        <v>14588.54</v>
      </c>
    </row>
    <row r="1522" ht="14.25" customHeight="1">
      <c r="A1522" s="46">
        <v>44564.0</v>
      </c>
      <c r="B1522" s="9">
        <v>17387.15</v>
      </c>
      <c r="C1522" s="9">
        <v>17646.65</v>
      </c>
      <c r="D1522" s="9">
        <v>17383.3</v>
      </c>
      <c r="E1522" s="9">
        <v>17625.7</v>
      </c>
      <c r="F1522" s="9">
        <v>2.0045643E8</v>
      </c>
      <c r="G1522" s="47">
        <v>16181.36</v>
      </c>
    </row>
    <row r="1523" ht="14.25" customHeight="1">
      <c r="A1523" s="46">
        <v>44565.0</v>
      </c>
      <c r="B1523" s="9">
        <v>17681.4</v>
      </c>
      <c r="C1523" s="9">
        <v>17827.6</v>
      </c>
      <c r="D1523" s="9">
        <v>17593.55</v>
      </c>
      <c r="E1523" s="9">
        <v>17805.25</v>
      </c>
      <c r="F1523" s="9">
        <v>2.47437472E8</v>
      </c>
      <c r="G1523" s="47">
        <v>18604.16</v>
      </c>
    </row>
    <row r="1524" ht="14.25" customHeight="1">
      <c r="A1524" s="46">
        <v>44566.0</v>
      </c>
      <c r="B1524" s="9">
        <v>17820.1</v>
      </c>
      <c r="C1524" s="9">
        <v>17944.7</v>
      </c>
      <c r="D1524" s="9">
        <v>17748.85</v>
      </c>
      <c r="E1524" s="9">
        <v>17925.25</v>
      </c>
      <c r="F1524" s="9">
        <v>2.51460038E8</v>
      </c>
      <c r="G1524" s="47">
        <v>23737.31</v>
      </c>
    </row>
    <row r="1525" ht="14.25" customHeight="1">
      <c r="A1525" s="46">
        <v>44567.0</v>
      </c>
      <c r="B1525" s="9">
        <v>17768.5</v>
      </c>
      <c r="C1525" s="9">
        <v>17797.95</v>
      </c>
      <c r="D1525" s="9">
        <v>17655.55</v>
      </c>
      <c r="E1525" s="9">
        <v>17745.9</v>
      </c>
      <c r="F1525" s="9">
        <v>2.36454824E8</v>
      </c>
      <c r="G1525" s="47">
        <v>22643.82</v>
      </c>
    </row>
    <row r="1526" ht="14.25" customHeight="1">
      <c r="A1526" s="46">
        <v>44568.0</v>
      </c>
      <c r="B1526" s="9">
        <v>17797.6</v>
      </c>
      <c r="C1526" s="9">
        <v>17905.0</v>
      </c>
      <c r="D1526" s="9">
        <v>17704.55</v>
      </c>
      <c r="E1526" s="9">
        <v>17812.7</v>
      </c>
      <c r="F1526" s="9">
        <v>2.39338015E8</v>
      </c>
      <c r="G1526" s="47">
        <v>21447.89</v>
      </c>
    </row>
    <row r="1527" ht="14.25" customHeight="1">
      <c r="A1527" s="46">
        <v>44571.0</v>
      </c>
      <c r="B1527" s="9">
        <v>17913.3</v>
      </c>
      <c r="C1527" s="9">
        <v>18017.45</v>
      </c>
      <c r="D1527" s="9">
        <v>17879.15</v>
      </c>
      <c r="E1527" s="9">
        <v>18003.3</v>
      </c>
      <c r="F1527" s="9">
        <v>2.32418075E8</v>
      </c>
      <c r="G1527" s="47">
        <v>20853.64</v>
      </c>
    </row>
    <row r="1528" ht="14.25" customHeight="1">
      <c r="A1528" s="46">
        <v>44572.0</v>
      </c>
      <c r="B1528" s="9">
        <v>17997.75</v>
      </c>
      <c r="C1528" s="9">
        <v>18081.25</v>
      </c>
      <c r="D1528" s="9">
        <v>17964.4</v>
      </c>
      <c r="E1528" s="9">
        <v>18055.75</v>
      </c>
      <c r="F1528" s="9">
        <v>2.20238796E8</v>
      </c>
      <c r="G1528" s="47">
        <v>20781.46</v>
      </c>
    </row>
    <row r="1529" ht="14.25" customHeight="1">
      <c r="A1529" s="46">
        <v>44573.0</v>
      </c>
      <c r="B1529" s="9">
        <v>18170.4</v>
      </c>
      <c r="C1529" s="9">
        <v>18227.95</v>
      </c>
      <c r="D1529" s="9">
        <v>18128.8</v>
      </c>
      <c r="E1529" s="9">
        <v>18212.35</v>
      </c>
      <c r="F1529" s="9">
        <v>2.44974287E8</v>
      </c>
      <c r="G1529" s="47">
        <v>22298.69</v>
      </c>
    </row>
    <row r="1530" ht="14.25" customHeight="1">
      <c r="A1530" s="46">
        <v>44574.0</v>
      </c>
      <c r="B1530" s="9">
        <v>18257.0</v>
      </c>
      <c r="C1530" s="9">
        <v>18272.25</v>
      </c>
      <c r="D1530" s="9">
        <v>18163.8</v>
      </c>
      <c r="E1530" s="9">
        <v>18257.8</v>
      </c>
      <c r="F1530" s="9">
        <v>3.03700545E8</v>
      </c>
      <c r="G1530" s="47">
        <v>28670.93</v>
      </c>
    </row>
    <row r="1531" ht="14.25" customHeight="1">
      <c r="A1531" s="46">
        <v>44575.0</v>
      </c>
      <c r="B1531" s="9">
        <v>18185.0</v>
      </c>
      <c r="C1531" s="9">
        <v>18286.95</v>
      </c>
      <c r="D1531" s="9">
        <v>18119.65</v>
      </c>
      <c r="E1531" s="9">
        <v>18255.75</v>
      </c>
      <c r="F1531" s="9">
        <v>2.29451608E8</v>
      </c>
      <c r="G1531" s="47">
        <v>21024.51</v>
      </c>
    </row>
    <row r="1532" ht="14.25" customHeight="1">
      <c r="A1532" s="46">
        <v>44578.0</v>
      </c>
      <c r="B1532" s="9">
        <v>18235.65</v>
      </c>
      <c r="C1532" s="9">
        <v>18321.55</v>
      </c>
      <c r="D1532" s="9">
        <v>18228.75</v>
      </c>
      <c r="E1532" s="9">
        <v>18308.1</v>
      </c>
      <c r="F1532" s="9">
        <v>2.66702919E8</v>
      </c>
      <c r="G1532" s="47">
        <v>23859.38</v>
      </c>
    </row>
    <row r="1533" ht="14.25" customHeight="1">
      <c r="A1533" s="46">
        <v>44579.0</v>
      </c>
      <c r="B1533" s="9">
        <v>18337.2</v>
      </c>
      <c r="C1533" s="9">
        <v>18350.95</v>
      </c>
      <c r="D1533" s="9">
        <v>18085.9</v>
      </c>
      <c r="E1533" s="9">
        <v>18113.05</v>
      </c>
      <c r="F1533" s="9">
        <v>2.27507319E8</v>
      </c>
      <c r="G1533" s="47">
        <v>20852.67</v>
      </c>
    </row>
    <row r="1534" ht="14.25" customHeight="1">
      <c r="A1534" s="46">
        <v>44580.0</v>
      </c>
      <c r="B1534" s="9">
        <v>18129.2</v>
      </c>
      <c r="C1534" s="9">
        <v>18129.2</v>
      </c>
      <c r="D1534" s="9">
        <v>17884.9</v>
      </c>
      <c r="E1534" s="9">
        <v>17938.4</v>
      </c>
      <c r="F1534" s="9">
        <v>2.76662654E8</v>
      </c>
      <c r="G1534" s="47">
        <v>25310.19</v>
      </c>
    </row>
    <row r="1535" ht="14.25" customHeight="1">
      <c r="A1535" s="46">
        <v>44581.0</v>
      </c>
      <c r="B1535" s="9">
        <v>17921.0</v>
      </c>
      <c r="C1535" s="9">
        <v>17943.7</v>
      </c>
      <c r="D1535" s="9">
        <v>17648.45</v>
      </c>
      <c r="E1535" s="9">
        <v>17757.0</v>
      </c>
      <c r="F1535" s="9">
        <v>2.58094246E8</v>
      </c>
      <c r="G1535" s="47">
        <v>25863.29</v>
      </c>
    </row>
    <row r="1536" ht="14.25" customHeight="1">
      <c r="A1536" s="46">
        <v>44582.0</v>
      </c>
      <c r="B1536" s="9">
        <v>17613.7</v>
      </c>
      <c r="C1536" s="9">
        <v>17707.6</v>
      </c>
      <c r="D1536" s="9">
        <v>17485.85</v>
      </c>
      <c r="E1536" s="9">
        <v>17617.15</v>
      </c>
      <c r="F1536" s="9">
        <v>2.77645373E8</v>
      </c>
      <c r="G1536" s="47">
        <v>25941.64</v>
      </c>
    </row>
    <row r="1537" ht="14.25" customHeight="1">
      <c r="A1537" s="46">
        <v>44585.0</v>
      </c>
      <c r="B1537" s="9">
        <v>17575.15</v>
      </c>
      <c r="C1537" s="9">
        <v>17599.4</v>
      </c>
      <c r="D1537" s="9">
        <v>16997.85</v>
      </c>
      <c r="E1537" s="9">
        <v>17149.1</v>
      </c>
      <c r="F1537" s="9">
        <v>3.23847388E8</v>
      </c>
      <c r="G1537" s="47">
        <v>28387.73</v>
      </c>
    </row>
    <row r="1538" ht="14.25" customHeight="1">
      <c r="A1538" s="46">
        <v>44586.0</v>
      </c>
      <c r="B1538" s="9">
        <v>17001.55</v>
      </c>
      <c r="C1538" s="9">
        <v>17309.15</v>
      </c>
      <c r="D1538" s="9">
        <v>16836.8</v>
      </c>
      <c r="E1538" s="9">
        <v>17277.95</v>
      </c>
      <c r="F1538" s="9">
        <v>3.26515896E8</v>
      </c>
      <c r="G1538" s="47">
        <v>31344.46</v>
      </c>
    </row>
    <row r="1539" ht="14.25" customHeight="1">
      <c r="A1539" s="46">
        <v>44588.0</v>
      </c>
      <c r="B1539" s="9">
        <v>17062.0</v>
      </c>
      <c r="C1539" s="9">
        <v>17182.5</v>
      </c>
      <c r="D1539" s="9">
        <v>16866.75</v>
      </c>
      <c r="E1539" s="9">
        <v>17110.15</v>
      </c>
      <c r="F1539" s="9">
        <v>3.95596577E8</v>
      </c>
      <c r="G1539" s="47">
        <v>36296.64</v>
      </c>
    </row>
    <row r="1540" ht="14.25" customHeight="1">
      <c r="A1540" s="46">
        <v>44589.0</v>
      </c>
      <c r="B1540" s="9">
        <v>17208.3</v>
      </c>
      <c r="C1540" s="9">
        <v>17373.5</v>
      </c>
      <c r="D1540" s="9">
        <v>17077.1</v>
      </c>
      <c r="E1540" s="9">
        <v>17101.95</v>
      </c>
      <c r="F1540" s="9">
        <v>3.55284285E8</v>
      </c>
      <c r="G1540" s="47">
        <v>29799.89</v>
      </c>
    </row>
    <row r="1541" ht="14.25" customHeight="1">
      <c r="A1541" s="46">
        <v>44592.0</v>
      </c>
      <c r="B1541" s="9">
        <v>17301.05</v>
      </c>
      <c r="C1541" s="9">
        <v>17410.0</v>
      </c>
      <c r="D1541" s="9">
        <v>17264.15</v>
      </c>
      <c r="E1541" s="9">
        <v>17339.85</v>
      </c>
      <c r="F1541" s="9">
        <v>3.21660346E8</v>
      </c>
      <c r="G1541" s="47">
        <v>25474.13</v>
      </c>
    </row>
    <row r="1542" ht="14.25" customHeight="1">
      <c r="A1542" s="46">
        <v>44593.0</v>
      </c>
      <c r="B1542" s="9">
        <v>17529.45</v>
      </c>
      <c r="C1542" s="9">
        <v>17622.4</v>
      </c>
      <c r="D1542" s="9">
        <v>17244.55</v>
      </c>
      <c r="E1542" s="9">
        <v>17576.85</v>
      </c>
      <c r="F1542" s="9">
        <v>3.86391485E8</v>
      </c>
      <c r="G1542" s="47">
        <v>30033.66</v>
      </c>
    </row>
    <row r="1543" ht="14.25" customHeight="1">
      <c r="A1543" s="46">
        <v>44594.0</v>
      </c>
      <c r="B1543" s="9">
        <v>17706.2</v>
      </c>
      <c r="C1543" s="9">
        <v>17794.6</v>
      </c>
      <c r="D1543" s="9">
        <v>17674.8</v>
      </c>
      <c r="E1543" s="9">
        <v>17780.0</v>
      </c>
      <c r="F1543" s="9">
        <v>2.71205907E8</v>
      </c>
      <c r="G1543" s="47">
        <v>23611.59</v>
      </c>
    </row>
    <row r="1544" ht="14.25" customHeight="1">
      <c r="A1544" s="46">
        <v>44595.0</v>
      </c>
      <c r="B1544" s="9">
        <v>17767.75</v>
      </c>
      <c r="C1544" s="9">
        <v>17781.15</v>
      </c>
      <c r="D1544" s="9">
        <v>17511.15</v>
      </c>
      <c r="E1544" s="9">
        <v>17560.2</v>
      </c>
      <c r="F1544" s="9">
        <v>2.26614989E8</v>
      </c>
      <c r="G1544" s="47">
        <v>20373.06</v>
      </c>
    </row>
    <row r="1545" ht="14.25" customHeight="1">
      <c r="A1545" s="46">
        <v>44596.0</v>
      </c>
      <c r="B1545" s="9">
        <v>17590.2</v>
      </c>
      <c r="C1545" s="9">
        <v>17617.8</v>
      </c>
      <c r="D1545" s="9">
        <v>17462.55</v>
      </c>
      <c r="E1545" s="9">
        <v>17516.3</v>
      </c>
      <c r="F1545" s="9">
        <v>2.6143417E8</v>
      </c>
      <c r="G1545" s="47">
        <v>20651.85</v>
      </c>
    </row>
    <row r="1546" ht="14.25" customHeight="1">
      <c r="A1546" s="46">
        <v>44599.0</v>
      </c>
      <c r="B1546" s="9">
        <v>17456.3</v>
      </c>
      <c r="C1546" s="9">
        <v>17536.75</v>
      </c>
      <c r="D1546" s="9">
        <v>17119.4</v>
      </c>
      <c r="E1546" s="9">
        <v>17213.6</v>
      </c>
      <c r="F1546" s="9">
        <v>2.65037933E8</v>
      </c>
      <c r="G1546" s="47">
        <v>21925.11</v>
      </c>
    </row>
    <row r="1547" ht="14.25" customHeight="1">
      <c r="A1547" s="46">
        <v>44600.0</v>
      </c>
      <c r="B1547" s="9">
        <v>17279.85</v>
      </c>
      <c r="C1547" s="9">
        <v>17306.45</v>
      </c>
      <c r="D1547" s="9">
        <v>17043.65</v>
      </c>
      <c r="E1547" s="9">
        <v>17266.75</v>
      </c>
      <c r="F1547" s="9">
        <v>2.6852621E8</v>
      </c>
      <c r="G1547" s="47">
        <v>23846.16</v>
      </c>
    </row>
    <row r="1548" ht="14.25" customHeight="1">
      <c r="A1548" s="46">
        <v>44601.0</v>
      </c>
      <c r="B1548" s="9">
        <v>17370.1</v>
      </c>
      <c r="C1548" s="9">
        <v>17477.15</v>
      </c>
      <c r="D1548" s="9">
        <v>17339.0</v>
      </c>
      <c r="E1548" s="9">
        <v>17463.8</v>
      </c>
      <c r="F1548" s="9">
        <v>2.36350514E8</v>
      </c>
      <c r="G1548" s="47">
        <v>19327.67</v>
      </c>
    </row>
    <row r="1549" ht="14.25" customHeight="1">
      <c r="A1549" s="46">
        <v>44602.0</v>
      </c>
      <c r="B1549" s="9">
        <v>17554.1</v>
      </c>
      <c r="C1549" s="9">
        <v>17639.45</v>
      </c>
      <c r="D1549" s="9">
        <v>17427.15</v>
      </c>
      <c r="E1549" s="9">
        <v>17605.85</v>
      </c>
      <c r="F1549" s="9">
        <v>2.7360644E8</v>
      </c>
      <c r="G1549" s="47">
        <v>22210.93</v>
      </c>
    </row>
    <row r="1550" ht="14.25" customHeight="1">
      <c r="A1550" s="46">
        <v>44603.0</v>
      </c>
      <c r="B1550" s="9">
        <v>17451.0</v>
      </c>
      <c r="C1550" s="9">
        <v>17454.75</v>
      </c>
      <c r="D1550" s="9">
        <v>17303.0</v>
      </c>
      <c r="E1550" s="9">
        <v>17374.75</v>
      </c>
      <c r="F1550" s="9">
        <v>2.5314166E8</v>
      </c>
      <c r="G1550" s="47">
        <v>23230.82</v>
      </c>
    </row>
    <row r="1551" ht="14.25" customHeight="1">
      <c r="A1551" s="46">
        <v>44606.0</v>
      </c>
      <c r="B1551" s="9">
        <v>17076.15</v>
      </c>
      <c r="C1551" s="9">
        <v>17099.5</v>
      </c>
      <c r="D1551" s="9">
        <v>16809.65</v>
      </c>
      <c r="E1551" s="9">
        <v>16842.8</v>
      </c>
      <c r="F1551" s="9">
        <v>3.0551074E8</v>
      </c>
      <c r="G1551" s="47">
        <v>24976.16</v>
      </c>
    </row>
    <row r="1552" ht="14.25" customHeight="1">
      <c r="A1552" s="46">
        <v>44607.0</v>
      </c>
      <c r="B1552" s="9">
        <v>16933.25</v>
      </c>
      <c r="C1552" s="9">
        <v>17375.0</v>
      </c>
      <c r="D1552" s="9">
        <v>16839.25</v>
      </c>
      <c r="E1552" s="9">
        <v>17352.45</v>
      </c>
      <c r="F1552" s="9">
        <v>2.98658142E8</v>
      </c>
      <c r="G1552" s="47">
        <v>24765.67</v>
      </c>
    </row>
    <row r="1553" ht="14.25" customHeight="1">
      <c r="A1553" s="46">
        <v>44608.0</v>
      </c>
      <c r="B1553" s="9">
        <v>17408.45</v>
      </c>
      <c r="C1553" s="9">
        <v>17490.6</v>
      </c>
      <c r="D1553" s="9">
        <v>17257.7</v>
      </c>
      <c r="E1553" s="9">
        <v>17322.2</v>
      </c>
      <c r="F1553" s="9">
        <v>2.44549223E8</v>
      </c>
      <c r="G1553" s="47">
        <v>21128.38</v>
      </c>
    </row>
    <row r="1554" ht="14.25" customHeight="1">
      <c r="A1554" s="46">
        <v>44609.0</v>
      </c>
      <c r="B1554" s="9">
        <v>17396.55</v>
      </c>
      <c r="C1554" s="9">
        <v>17442.9</v>
      </c>
      <c r="D1554" s="9">
        <v>17235.85</v>
      </c>
      <c r="E1554" s="9">
        <v>17304.6</v>
      </c>
      <c r="F1554" s="9">
        <v>2.32136131E8</v>
      </c>
      <c r="G1554" s="47">
        <v>19381.26</v>
      </c>
    </row>
    <row r="1555" ht="14.25" customHeight="1">
      <c r="A1555" s="46">
        <v>44610.0</v>
      </c>
      <c r="B1555" s="9">
        <v>17236.05</v>
      </c>
      <c r="C1555" s="9">
        <v>17380.8</v>
      </c>
      <c r="D1555" s="9">
        <v>17219.2</v>
      </c>
      <c r="E1555" s="9">
        <v>17276.3</v>
      </c>
      <c r="F1555" s="9">
        <v>1.89620888E8</v>
      </c>
      <c r="G1555" s="47">
        <v>16126.96</v>
      </c>
    </row>
    <row r="1556" ht="14.25" customHeight="1">
      <c r="A1556" s="46">
        <v>44613.0</v>
      </c>
      <c r="B1556" s="9">
        <v>17192.25</v>
      </c>
      <c r="C1556" s="9">
        <v>17351.05</v>
      </c>
      <c r="D1556" s="9">
        <v>17070.7</v>
      </c>
      <c r="E1556" s="9">
        <v>17206.65</v>
      </c>
      <c r="F1556" s="9">
        <v>2.15183301E8</v>
      </c>
      <c r="G1556" s="47">
        <v>18725.57</v>
      </c>
    </row>
    <row r="1557" ht="14.25" customHeight="1">
      <c r="A1557" s="46">
        <v>44614.0</v>
      </c>
      <c r="B1557" s="9">
        <v>16847.95</v>
      </c>
      <c r="C1557" s="9">
        <v>17148.55</v>
      </c>
      <c r="D1557" s="9">
        <v>16843.8</v>
      </c>
      <c r="E1557" s="9">
        <v>17092.2</v>
      </c>
      <c r="F1557" s="9">
        <v>3.00131995E8</v>
      </c>
      <c r="G1557" s="47">
        <v>24040.84</v>
      </c>
    </row>
    <row r="1558" ht="14.25" customHeight="1">
      <c r="A1558" s="46">
        <v>44615.0</v>
      </c>
      <c r="B1558" s="9">
        <v>17194.5</v>
      </c>
      <c r="C1558" s="9">
        <v>17220.7</v>
      </c>
      <c r="D1558" s="9">
        <v>17027.85</v>
      </c>
      <c r="E1558" s="9">
        <v>17063.25</v>
      </c>
      <c r="F1558" s="9">
        <v>2.00229631E8</v>
      </c>
      <c r="G1558" s="47">
        <v>17662.47</v>
      </c>
    </row>
    <row r="1559" ht="14.25" customHeight="1">
      <c r="A1559" s="46">
        <v>44616.0</v>
      </c>
      <c r="B1559" s="9">
        <v>16548.9</v>
      </c>
      <c r="C1559" s="9">
        <v>16705.25</v>
      </c>
      <c r="D1559" s="9">
        <v>16203.25</v>
      </c>
      <c r="E1559" s="9">
        <v>16247.95</v>
      </c>
      <c r="F1559" s="9">
        <v>4.57967874E8</v>
      </c>
      <c r="G1559" s="47">
        <v>36650.83</v>
      </c>
    </row>
    <row r="1560" ht="14.25" customHeight="1">
      <c r="A1560" s="46">
        <v>44617.0</v>
      </c>
      <c r="B1560" s="9">
        <v>16515.65</v>
      </c>
      <c r="C1560" s="9">
        <v>16748.8</v>
      </c>
      <c r="D1560" s="9">
        <v>16478.3</v>
      </c>
      <c r="E1560" s="9">
        <v>16658.4</v>
      </c>
      <c r="F1560" s="9">
        <v>3.29780732E8</v>
      </c>
      <c r="G1560" s="47">
        <v>25743.77</v>
      </c>
    </row>
    <row r="1561" ht="14.25" customHeight="1">
      <c r="A1561" s="46">
        <v>44620.0</v>
      </c>
      <c r="B1561" s="9">
        <v>16481.6</v>
      </c>
      <c r="C1561" s="9">
        <v>16815.9</v>
      </c>
      <c r="D1561" s="9">
        <v>16356.3</v>
      </c>
      <c r="E1561" s="9">
        <v>16793.9</v>
      </c>
      <c r="F1561" s="9">
        <v>4.04214666E8</v>
      </c>
      <c r="G1561" s="47">
        <v>33831.57</v>
      </c>
    </row>
    <row r="1562" ht="14.25" customHeight="1">
      <c r="A1562" s="46">
        <v>44622.0</v>
      </c>
      <c r="B1562" s="9">
        <v>16593.1</v>
      </c>
      <c r="C1562" s="9">
        <v>16678.5</v>
      </c>
      <c r="D1562" s="9">
        <v>16478.65</v>
      </c>
      <c r="E1562" s="9">
        <v>16605.95</v>
      </c>
      <c r="F1562" s="9">
        <v>5.17723542E8</v>
      </c>
      <c r="G1562" s="47">
        <v>39407.44</v>
      </c>
    </row>
    <row r="1563" ht="14.25" customHeight="1">
      <c r="A1563" s="46">
        <v>44623.0</v>
      </c>
      <c r="B1563" s="9">
        <v>16723.2</v>
      </c>
      <c r="C1563" s="9">
        <v>16768.95</v>
      </c>
      <c r="D1563" s="9">
        <v>16442.95</v>
      </c>
      <c r="E1563" s="9">
        <v>16498.05</v>
      </c>
      <c r="F1563" s="9">
        <v>4.42068263E8</v>
      </c>
      <c r="G1563" s="47">
        <v>31413.0</v>
      </c>
    </row>
    <row r="1564" ht="14.25" customHeight="1">
      <c r="A1564" s="46">
        <v>44624.0</v>
      </c>
      <c r="B1564" s="9">
        <v>16339.45</v>
      </c>
      <c r="C1564" s="9">
        <v>16456.0</v>
      </c>
      <c r="D1564" s="9">
        <v>16133.8</v>
      </c>
      <c r="E1564" s="9">
        <v>16245.35</v>
      </c>
      <c r="F1564" s="9">
        <v>4.5614304E8</v>
      </c>
      <c r="G1564" s="47">
        <v>34821.1</v>
      </c>
    </row>
    <row r="1565" ht="14.25" customHeight="1">
      <c r="A1565" s="46">
        <v>44627.0</v>
      </c>
      <c r="B1565" s="9">
        <v>15867.95</v>
      </c>
      <c r="C1565" s="9">
        <v>15944.6</v>
      </c>
      <c r="D1565" s="9">
        <v>15711.45</v>
      </c>
      <c r="E1565" s="9">
        <v>15863.15</v>
      </c>
      <c r="F1565" s="9">
        <v>5.8540366E8</v>
      </c>
      <c r="G1565" s="47">
        <v>38038.75</v>
      </c>
    </row>
    <row r="1566" ht="14.25" customHeight="1">
      <c r="A1566" s="46">
        <v>44628.0</v>
      </c>
      <c r="B1566" s="9">
        <v>15747.75</v>
      </c>
      <c r="C1566" s="9">
        <v>16028.75</v>
      </c>
      <c r="D1566" s="9">
        <v>15671.45</v>
      </c>
      <c r="E1566" s="9">
        <v>16013.45</v>
      </c>
      <c r="F1566" s="9">
        <v>5.43600673E8</v>
      </c>
      <c r="G1566" s="47">
        <v>38704.4</v>
      </c>
    </row>
    <row r="1567" ht="14.25" customHeight="1">
      <c r="A1567" s="46">
        <v>44629.0</v>
      </c>
      <c r="B1567" s="9">
        <v>16078.0</v>
      </c>
      <c r="C1567" s="9">
        <v>16418.05</v>
      </c>
      <c r="D1567" s="9">
        <v>15990.0</v>
      </c>
      <c r="E1567" s="9">
        <v>16345.35</v>
      </c>
      <c r="F1567" s="9">
        <v>4.62231428E8</v>
      </c>
      <c r="G1567" s="47">
        <v>35329.34</v>
      </c>
    </row>
    <row r="1568" ht="14.25" customHeight="1">
      <c r="A1568" s="46">
        <v>44630.0</v>
      </c>
      <c r="B1568" s="9">
        <v>16757.1</v>
      </c>
      <c r="C1568" s="9">
        <v>16757.3</v>
      </c>
      <c r="D1568" s="9">
        <v>16447.9</v>
      </c>
      <c r="E1568" s="9">
        <v>16594.9</v>
      </c>
      <c r="F1568" s="9">
        <v>4.86445481E8</v>
      </c>
      <c r="G1568" s="47">
        <v>35513.73</v>
      </c>
    </row>
    <row r="1569" ht="14.25" customHeight="1">
      <c r="A1569" s="46">
        <v>44631.0</v>
      </c>
      <c r="B1569" s="9">
        <v>16528.8</v>
      </c>
      <c r="C1569" s="9">
        <v>16694.4</v>
      </c>
      <c r="D1569" s="9">
        <v>16470.9</v>
      </c>
      <c r="E1569" s="9">
        <v>16630.45</v>
      </c>
      <c r="F1569" s="9">
        <v>3.43717045E8</v>
      </c>
      <c r="G1569" s="47">
        <v>24720.34</v>
      </c>
    </row>
    <row r="1570" ht="14.25" customHeight="1">
      <c r="A1570" s="46">
        <v>44634.0</v>
      </c>
      <c r="B1570" s="9">
        <v>16633.7</v>
      </c>
      <c r="C1570" s="9">
        <v>16887.95</v>
      </c>
      <c r="D1570" s="9">
        <v>16606.5</v>
      </c>
      <c r="E1570" s="9">
        <v>16871.3</v>
      </c>
      <c r="F1570" s="9">
        <v>3.14669685E8</v>
      </c>
      <c r="G1570" s="47">
        <v>23824.02</v>
      </c>
    </row>
    <row r="1571" ht="14.25" customHeight="1">
      <c r="A1571" s="46">
        <v>44635.0</v>
      </c>
      <c r="B1571" s="9">
        <v>16900.65</v>
      </c>
      <c r="C1571" s="9">
        <v>16927.75</v>
      </c>
      <c r="D1571" s="9">
        <v>16555.0</v>
      </c>
      <c r="E1571" s="9">
        <v>16663.0</v>
      </c>
      <c r="F1571" s="9">
        <v>3.81631902E8</v>
      </c>
      <c r="G1571" s="47">
        <v>29731.09</v>
      </c>
    </row>
    <row r="1572" ht="14.25" customHeight="1">
      <c r="A1572" s="46">
        <v>44636.0</v>
      </c>
      <c r="B1572" s="9">
        <v>16876.65</v>
      </c>
      <c r="C1572" s="9">
        <v>16987.9</v>
      </c>
      <c r="D1572" s="9">
        <v>16837.85</v>
      </c>
      <c r="E1572" s="9">
        <v>16975.35</v>
      </c>
      <c r="F1572" s="9">
        <v>2.59973396E8</v>
      </c>
      <c r="G1572" s="47">
        <v>21361.32</v>
      </c>
    </row>
    <row r="1573" ht="14.25" customHeight="1">
      <c r="A1573" s="46">
        <v>44637.0</v>
      </c>
      <c r="B1573" s="9">
        <v>17202.9</v>
      </c>
      <c r="C1573" s="9">
        <v>17344.6</v>
      </c>
      <c r="D1573" s="9">
        <v>17175.75</v>
      </c>
      <c r="E1573" s="9">
        <v>17287.05</v>
      </c>
      <c r="F1573" s="9">
        <v>4.48335248E8</v>
      </c>
      <c r="G1573" s="47">
        <v>35367.28</v>
      </c>
    </row>
    <row r="1574" ht="14.25" customHeight="1">
      <c r="A1574" s="46">
        <v>44641.0</v>
      </c>
      <c r="B1574" s="9">
        <v>17329.5</v>
      </c>
      <c r="C1574" s="9">
        <v>17353.35</v>
      </c>
      <c r="D1574" s="9">
        <v>17096.4</v>
      </c>
      <c r="E1574" s="9">
        <v>17117.6</v>
      </c>
      <c r="F1574" s="9">
        <v>2.85451208E8</v>
      </c>
      <c r="G1574" s="47">
        <v>22886.39</v>
      </c>
    </row>
    <row r="1575" ht="14.25" customHeight="1">
      <c r="A1575" s="46">
        <v>44642.0</v>
      </c>
      <c r="B1575" s="9">
        <v>17120.4</v>
      </c>
      <c r="C1575" s="9">
        <v>17334.4</v>
      </c>
      <c r="D1575" s="9">
        <v>17006.3</v>
      </c>
      <c r="E1575" s="9">
        <v>17315.5</v>
      </c>
      <c r="F1575" s="9">
        <v>3.38263468E8</v>
      </c>
      <c r="G1575" s="47">
        <v>27347.6</v>
      </c>
    </row>
    <row r="1576" ht="14.25" customHeight="1">
      <c r="A1576" s="46">
        <v>44643.0</v>
      </c>
      <c r="B1576" s="9">
        <v>17405.05</v>
      </c>
      <c r="C1576" s="9">
        <v>17442.4</v>
      </c>
      <c r="D1576" s="9">
        <v>17199.6</v>
      </c>
      <c r="E1576" s="9">
        <v>17245.65</v>
      </c>
      <c r="F1576" s="9">
        <v>2.92120348E8</v>
      </c>
      <c r="G1576" s="47">
        <v>24705.28</v>
      </c>
    </row>
    <row r="1577" ht="14.25" customHeight="1">
      <c r="A1577" s="46">
        <v>44644.0</v>
      </c>
      <c r="B1577" s="9">
        <v>17094.95</v>
      </c>
      <c r="C1577" s="9">
        <v>17291.75</v>
      </c>
      <c r="D1577" s="9">
        <v>17091.15</v>
      </c>
      <c r="E1577" s="9">
        <v>17222.75</v>
      </c>
      <c r="F1577" s="9">
        <v>2.90280124E8</v>
      </c>
      <c r="G1577" s="47">
        <v>25011.72</v>
      </c>
    </row>
    <row r="1578" ht="14.25" customHeight="1">
      <c r="A1578" s="46">
        <v>44645.0</v>
      </c>
      <c r="B1578" s="9">
        <v>17289.0</v>
      </c>
      <c r="C1578" s="9">
        <v>17294.9</v>
      </c>
      <c r="D1578" s="9">
        <v>17076.55</v>
      </c>
      <c r="E1578" s="9">
        <v>17153.0</v>
      </c>
      <c r="F1578" s="9">
        <v>2.37115741E8</v>
      </c>
      <c r="G1578" s="47">
        <v>20031.39</v>
      </c>
    </row>
    <row r="1579" ht="14.25" customHeight="1">
      <c r="A1579" s="46">
        <v>44648.0</v>
      </c>
      <c r="B1579" s="9">
        <v>17181.85</v>
      </c>
      <c r="C1579" s="9">
        <v>17235.1</v>
      </c>
      <c r="D1579" s="9">
        <v>17003.9</v>
      </c>
      <c r="E1579" s="9">
        <v>17222.0</v>
      </c>
      <c r="F1579" s="9">
        <v>2.53240837E8</v>
      </c>
      <c r="G1579" s="47">
        <v>19976.26</v>
      </c>
    </row>
    <row r="1580" ht="14.25" customHeight="1">
      <c r="A1580" s="46">
        <v>44649.0</v>
      </c>
      <c r="B1580" s="9">
        <v>17297.2</v>
      </c>
      <c r="C1580" s="9">
        <v>17343.65</v>
      </c>
      <c r="D1580" s="9">
        <v>17235.7</v>
      </c>
      <c r="E1580" s="9">
        <v>17325.3</v>
      </c>
      <c r="F1580" s="9">
        <v>2.35149625E8</v>
      </c>
      <c r="G1580" s="47">
        <v>20305.78</v>
      </c>
    </row>
    <row r="1581" ht="14.25" customHeight="1">
      <c r="A1581" s="46">
        <v>44650.0</v>
      </c>
      <c r="B1581" s="9">
        <v>17468.15</v>
      </c>
      <c r="C1581" s="9">
        <v>17522.5</v>
      </c>
      <c r="D1581" s="9">
        <v>17387.2</v>
      </c>
      <c r="E1581" s="9">
        <v>17498.25</v>
      </c>
      <c r="F1581" s="9">
        <v>5.05031841E8</v>
      </c>
      <c r="G1581" s="47">
        <v>28907.47</v>
      </c>
    </row>
    <row r="1582" ht="14.25" customHeight="1">
      <c r="A1582" s="46">
        <v>44651.0</v>
      </c>
      <c r="B1582" s="9">
        <v>17519.2</v>
      </c>
      <c r="C1582" s="9">
        <v>17559.8</v>
      </c>
      <c r="D1582" s="9">
        <v>17435.2</v>
      </c>
      <c r="E1582" s="9">
        <v>17464.75</v>
      </c>
      <c r="F1582" s="9">
        <v>2.81111679E8</v>
      </c>
      <c r="G1582" s="47">
        <v>24032.07</v>
      </c>
    </row>
    <row r="1583" ht="14.25" customHeight="1">
      <c r="A1583" s="46">
        <v>44652.0</v>
      </c>
      <c r="B1583" s="9">
        <v>17436.9</v>
      </c>
      <c r="C1583" s="9">
        <v>17703.7</v>
      </c>
      <c r="D1583" s="9">
        <v>17422.7</v>
      </c>
      <c r="E1583" s="9">
        <v>17670.45</v>
      </c>
      <c r="F1583" s="9">
        <v>2.91773447E8</v>
      </c>
      <c r="G1583" s="47">
        <v>21132.13</v>
      </c>
    </row>
    <row r="1584" ht="14.25" customHeight="1">
      <c r="A1584" s="46">
        <v>44655.0</v>
      </c>
      <c r="B1584" s="9">
        <v>17809.1</v>
      </c>
      <c r="C1584" s="9">
        <v>18114.65</v>
      </c>
      <c r="D1584" s="9">
        <v>17791.4</v>
      </c>
      <c r="E1584" s="9">
        <v>18053.4</v>
      </c>
      <c r="F1584" s="9">
        <v>3.45526502E8</v>
      </c>
      <c r="G1584" s="47">
        <v>38623.94</v>
      </c>
    </row>
    <row r="1585" ht="14.25" customHeight="1">
      <c r="A1585" s="46">
        <v>44656.0</v>
      </c>
      <c r="B1585" s="9">
        <v>18080.6</v>
      </c>
      <c r="C1585" s="9">
        <v>18095.45</v>
      </c>
      <c r="D1585" s="9">
        <v>17921.55</v>
      </c>
      <c r="E1585" s="9">
        <v>17957.4</v>
      </c>
      <c r="F1585" s="9">
        <v>2.83453612E8</v>
      </c>
      <c r="G1585" s="47">
        <v>25096.7</v>
      </c>
    </row>
    <row r="1586" ht="14.25" customHeight="1">
      <c r="A1586" s="46">
        <v>44657.0</v>
      </c>
      <c r="B1586" s="9">
        <v>17842.75</v>
      </c>
      <c r="C1586" s="9">
        <v>17901.0</v>
      </c>
      <c r="D1586" s="9">
        <v>17779.85</v>
      </c>
      <c r="E1586" s="9">
        <v>17807.65</v>
      </c>
      <c r="F1586" s="9">
        <v>3.2882442E8</v>
      </c>
      <c r="G1586" s="47">
        <v>24252.48</v>
      </c>
    </row>
    <row r="1587" ht="14.25" customHeight="1">
      <c r="A1587" s="46">
        <v>44658.0</v>
      </c>
      <c r="B1587" s="9">
        <v>17723.3</v>
      </c>
      <c r="C1587" s="9">
        <v>17787.5</v>
      </c>
      <c r="D1587" s="9">
        <v>17623.7</v>
      </c>
      <c r="E1587" s="9">
        <v>17639.55</v>
      </c>
      <c r="F1587" s="9">
        <v>3.08840215E8</v>
      </c>
      <c r="G1587" s="47">
        <v>26236.91</v>
      </c>
    </row>
    <row r="1588" ht="14.25" customHeight="1">
      <c r="A1588" s="46">
        <v>44659.0</v>
      </c>
      <c r="B1588" s="9">
        <v>17698.15</v>
      </c>
      <c r="C1588" s="9">
        <v>17842.75</v>
      </c>
      <c r="D1588" s="9">
        <v>17600.55</v>
      </c>
      <c r="E1588" s="9">
        <v>17784.35</v>
      </c>
      <c r="F1588" s="9">
        <v>2.74447433E8</v>
      </c>
      <c r="G1588" s="47">
        <v>25608.1</v>
      </c>
    </row>
    <row r="1589" ht="14.25" customHeight="1">
      <c r="A1589" s="46">
        <v>44662.0</v>
      </c>
      <c r="B1589" s="9">
        <v>17740.9</v>
      </c>
      <c r="C1589" s="9">
        <v>17779.05</v>
      </c>
      <c r="D1589" s="9">
        <v>17650.95</v>
      </c>
      <c r="E1589" s="9">
        <v>17674.95</v>
      </c>
      <c r="F1589" s="9">
        <v>2.51701846E8</v>
      </c>
      <c r="G1589" s="47">
        <v>21001.58</v>
      </c>
    </row>
    <row r="1590" ht="14.25" customHeight="1">
      <c r="A1590" s="46">
        <v>44663.0</v>
      </c>
      <c r="B1590" s="9">
        <v>17584.85</v>
      </c>
      <c r="C1590" s="9">
        <v>17595.3</v>
      </c>
      <c r="D1590" s="9">
        <v>17442.35</v>
      </c>
      <c r="E1590" s="9">
        <v>17530.3</v>
      </c>
      <c r="F1590" s="9">
        <v>2.6602906E8</v>
      </c>
      <c r="G1590" s="47">
        <v>23958.77</v>
      </c>
    </row>
    <row r="1591" ht="14.25" customHeight="1">
      <c r="A1591" s="46">
        <v>44664.0</v>
      </c>
      <c r="B1591" s="9">
        <v>17599.9</v>
      </c>
      <c r="C1591" s="9">
        <v>17663.65</v>
      </c>
      <c r="D1591" s="9">
        <v>17457.4</v>
      </c>
      <c r="E1591" s="9">
        <v>17475.65</v>
      </c>
      <c r="F1591" s="9">
        <v>2.45061941E8</v>
      </c>
      <c r="G1591" s="47">
        <v>20229.83</v>
      </c>
    </row>
    <row r="1592" ht="14.25" customHeight="1">
      <c r="A1592" s="46">
        <v>44669.0</v>
      </c>
      <c r="B1592" s="9">
        <v>17183.45</v>
      </c>
      <c r="C1592" s="9">
        <v>17237.75</v>
      </c>
      <c r="D1592" s="9">
        <v>17067.85</v>
      </c>
      <c r="E1592" s="9">
        <v>17173.65</v>
      </c>
      <c r="F1592" s="9">
        <v>3.76130248E8</v>
      </c>
      <c r="G1592" s="47">
        <v>30154.62</v>
      </c>
    </row>
    <row r="1593" ht="14.25" customHeight="1">
      <c r="A1593" s="46">
        <v>44670.0</v>
      </c>
      <c r="B1593" s="9">
        <v>17258.95</v>
      </c>
      <c r="C1593" s="9">
        <v>17275.65</v>
      </c>
      <c r="D1593" s="9">
        <v>16824.7</v>
      </c>
      <c r="E1593" s="9">
        <v>16958.65</v>
      </c>
      <c r="F1593" s="9">
        <v>4.01399563E8</v>
      </c>
      <c r="G1593" s="47">
        <v>35467.13</v>
      </c>
    </row>
    <row r="1594" ht="14.25" customHeight="1">
      <c r="A1594" s="46">
        <v>44671.0</v>
      </c>
      <c r="B1594" s="9">
        <v>17045.25</v>
      </c>
      <c r="C1594" s="9">
        <v>17186.9</v>
      </c>
      <c r="D1594" s="9">
        <v>16978.95</v>
      </c>
      <c r="E1594" s="9">
        <v>17136.55</v>
      </c>
      <c r="F1594" s="9">
        <v>2.86069736E8</v>
      </c>
      <c r="G1594" s="47">
        <v>25972.15</v>
      </c>
    </row>
    <row r="1595" ht="14.25" customHeight="1">
      <c r="A1595" s="46">
        <v>44672.0</v>
      </c>
      <c r="B1595" s="9">
        <v>17234.6</v>
      </c>
      <c r="C1595" s="9">
        <v>17414.7</v>
      </c>
      <c r="D1595" s="9">
        <v>17215.5</v>
      </c>
      <c r="E1595" s="9">
        <v>17392.6</v>
      </c>
      <c r="F1595" s="9">
        <v>2.85200022E8</v>
      </c>
      <c r="G1595" s="47">
        <v>24999.9</v>
      </c>
    </row>
    <row r="1596" ht="14.25" customHeight="1">
      <c r="A1596" s="46">
        <v>44673.0</v>
      </c>
      <c r="B1596" s="9">
        <v>17242.75</v>
      </c>
      <c r="C1596" s="9">
        <v>17315.3</v>
      </c>
      <c r="D1596" s="9">
        <v>17149.2</v>
      </c>
      <c r="E1596" s="9">
        <v>17171.95</v>
      </c>
      <c r="F1596" s="9">
        <v>2.6273974E8</v>
      </c>
      <c r="G1596" s="47">
        <v>23371.7</v>
      </c>
    </row>
    <row r="1597" ht="14.25" customHeight="1">
      <c r="A1597" s="46">
        <v>44676.0</v>
      </c>
      <c r="B1597" s="9">
        <v>17009.05</v>
      </c>
      <c r="C1597" s="9">
        <v>17054.3</v>
      </c>
      <c r="D1597" s="9">
        <v>16888.7</v>
      </c>
      <c r="E1597" s="9">
        <v>16953.95</v>
      </c>
      <c r="F1597" s="9">
        <v>2.75685925E8</v>
      </c>
      <c r="G1597" s="47">
        <v>22699.65</v>
      </c>
    </row>
    <row r="1598" ht="14.25" customHeight="1">
      <c r="A1598" s="46">
        <v>44677.0</v>
      </c>
      <c r="B1598" s="9">
        <v>17121.3</v>
      </c>
      <c r="C1598" s="9">
        <v>17223.85</v>
      </c>
      <c r="D1598" s="9">
        <v>17064.45</v>
      </c>
      <c r="E1598" s="9">
        <v>17200.8</v>
      </c>
      <c r="F1598" s="9">
        <v>2.61065753E8</v>
      </c>
      <c r="G1598" s="47">
        <v>22079.92</v>
      </c>
    </row>
    <row r="1599" ht="14.25" customHeight="1">
      <c r="A1599" s="46">
        <v>44678.0</v>
      </c>
      <c r="B1599" s="9">
        <v>17073.35</v>
      </c>
      <c r="C1599" s="9">
        <v>17110.7</v>
      </c>
      <c r="D1599" s="9">
        <v>16958.45</v>
      </c>
      <c r="E1599" s="9">
        <v>17038.4</v>
      </c>
      <c r="F1599" s="9">
        <v>2.6514048E8</v>
      </c>
      <c r="G1599" s="47">
        <v>25373.8</v>
      </c>
    </row>
    <row r="1600" ht="14.25" customHeight="1">
      <c r="A1600" s="46">
        <v>44679.0</v>
      </c>
      <c r="B1600" s="9">
        <v>17189.5</v>
      </c>
      <c r="C1600" s="9">
        <v>17322.5</v>
      </c>
      <c r="D1600" s="9">
        <v>17071.05</v>
      </c>
      <c r="E1600" s="9">
        <v>17245.05</v>
      </c>
      <c r="F1600" s="9">
        <v>3.12914417E8</v>
      </c>
      <c r="G1600" s="47">
        <v>28488.87</v>
      </c>
    </row>
    <row r="1601" ht="14.25" customHeight="1">
      <c r="A1601" s="46">
        <v>44680.0</v>
      </c>
      <c r="B1601" s="9">
        <v>17329.25</v>
      </c>
      <c r="C1601" s="9">
        <v>17377.65</v>
      </c>
      <c r="D1601" s="9">
        <v>17053.25</v>
      </c>
      <c r="E1601" s="9">
        <v>17102.55</v>
      </c>
      <c r="F1601" s="9">
        <v>3.36243642E8</v>
      </c>
      <c r="G1601" s="47">
        <v>29582.86</v>
      </c>
    </row>
    <row r="1602" ht="14.25" customHeight="1">
      <c r="A1602" s="46">
        <v>44683.0</v>
      </c>
      <c r="B1602" s="9">
        <v>16924.45</v>
      </c>
      <c r="C1602" s="9">
        <v>17092.25</v>
      </c>
      <c r="D1602" s="9">
        <v>16917.25</v>
      </c>
      <c r="E1602" s="9">
        <v>17069.1</v>
      </c>
      <c r="F1602" s="9">
        <v>2.78155513E8</v>
      </c>
      <c r="G1602" s="47">
        <v>21222.64</v>
      </c>
    </row>
    <row r="1603" ht="14.25" customHeight="1">
      <c r="A1603" s="46">
        <v>44685.0</v>
      </c>
      <c r="B1603" s="9">
        <v>17096.6</v>
      </c>
      <c r="C1603" s="9">
        <v>17132.85</v>
      </c>
      <c r="D1603" s="9">
        <v>16623.95</v>
      </c>
      <c r="E1603" s="9">
        <v>16677.6</v>
      </c>
      <c r="F1603" s="9">
        <v>3.10632799E8</v>
      </c>
      <c r="G1603" s="47">
        <v>27405.52</v>
      </c>
    </row>
    <row r="1604" ht="14.25" customHeight="1">
      <c r="A1604" s="46">
        <v>44686.0</v>
      </c>
      <c r="B1604" s="9">
        <v>16854.75</v>
      </c>
      <c r="C1604" s="9">
        <v>16945.7</v>
      </c>
      <c r="D1604" s="9">
        <v>16651.85</v>
      </c>
      <c r="E1604" s="9">
        <v>16682.65</v>
      </c>
      <c r="F1604" s="9">
        <v>2.65793403E8</v>
      </c>
      <c r="G1604" s="47">
        <v>21792.91</v>
      </c>
    </row>
    <row r="1605" ht="14.25" customHeight="1">
      <c r="A1605" s="46">
        <v>44687.0</v>
      </c>
      <c r="B1605" s="9">
        <v>16415.55</v>
      </c>
      <c r="C1605" s="9">
        <v>16484.2</v>
      </c>
      <c r="D1605" s="9">
        <v>16340.9</v>
      </c>
      <c r="E1605" s="9">
        <v>16411.25</v>
      </c>
      <c r="F1605" s="9">
        <v>3.00527719E8</v>
      </c>
      <c r="G1605" s="47">
        <v>25472.95</v>
      </c>
    </row>
    <row r="1606" ht="14.25" customHeight="1">
      <c r="A1606" s="46">
        <v>44690.0</v>
      </c>
      <c r="B1606" s="9">
        <v>16227.7</v>
      </c>
      <c r="C1606" s="9">
        <v>16403.7</v>
      </c>
      <c r="D1606" s="9">
        <v>16142.1</v>
      </c>
      <c r="E1606" s="9">
        <v>16301.85</v>
      </c>
      <c r="F1606" s="9">
        <v>2.8840295E8</v>
      </c>
      <c r="G1606" s="47">
        <v>23274.74</v>
      </c>
    </row>
    <row r="1607" ht="14.25" customHeight="1">
      <c r="A1607" s="46">
        <v>44691.0</v>
      </c>
      <c r="B1607" s="9">
        <v>16248.9</v>
      </c>
      <c r="C1607" s="9">
        <v>16404.55</v>
      </c>
      <c r="D1607" s="9">
        <v>16197.3</v>
      </c>
      <c r="E1607" s="9">
        <v>16240.05</v>
      </c>
      <c r="F1607" s="9">
        <v>2.830612E8</v>
      </c>
      <c r="G1607" s="47">
        <v>22685.27</v>
      </c>
    </row>
    <row r="1608" ht="14.25" customHeight="1">
      <c r="A1608" s="46">
        <v>44692.0</v>
      </c>
      <c r="B1608" s="9">
        <v>16270.05</v>
      </c>
      <c r="C1608" s="9">
        <v>16318.75</v>
      </c>
      <c r="D1608" s="9">
        <v>15992.6</v>
      </c>
      <c r="E1608" s="9">
        <v>16167.1</v>
      </c>
      <c r="F1608" s="9">
        <v>2.84294438E8</v>
      </c>
      <c r="G1608" s="47">
        <v>22994.38</v>
      </c>
    </row>
    <row r="1609" ht="14.25" customHeight="1">
      <c r="A1609" s="46">
        <v>44693.0</v>
      </c>
      <c r="B1609" s="9">
        <v>16021.1</v>
      </c>
      <c r="C1609" s="9">
        <v>16041.95</v>
      </c>
      <c r="D1609" s="9">
        <v>15735.75</v>
      </c>
      <c r="E1609" s="9">
        <v>15808.0</v>
      </c>
      <c r="F1609" s="9">
        <v>3.14921678E8</v>
      </c>
      <c r="G1609" s="47">
        <v>25352.34</v>
      </c>
    </row>
    <row r="1610" ht="14.25" customHeight="1">
      <c r="A1610" s="46">
        <v>44694.0</v>
      </c>
      <c r="B1610" s="9">
        <v>15977.0</v>
      </c>
      <c r="C1610" s="9">
        <v>16083.6</v>
      </c>
      <c r="D1610" s="9">
        <v>15740.85</v>
      </c>
      <c r="E1610" s="9">
        <v>15782.15</v>
      </c>
      <c r="F1610" s="9">
        <v>3.6913554E8</v>
      </c>
      <c r="G1610" s="47">
        <v>27454.12</v>
      </c>
    </row>
    <row r="1611" ht="14.25" customHeight="1">
      <c r="A1611" s="46">
        <v>44697.0</v>
      </c>
      <c r="B1611" s="9">
        <v>15845.1</v>
      </c>
      <c r="C1611" s="9">
        <v>15977.95</v>
      </c>
      <c r="D1611" s="9">
        <v>15739.65</v>
      </c>
      <c r="E1611" s="9">
        <v>15842.3</v>
      </c>
      <c r="F1611" s="9">
        <v>2.17646558E8</v>
      </c>
      <c r="G1611" s="47">
        <v>17852.19</v>
      </c>
    </row>
    <row r="1612" ht="14.25" customHeight="1">
      <c r="A1612" s="46">
        <v>44698.0</v>
      </c>
      <c r="B1612" s="9">
        <v>15912.6</v>
      </c>
      <c r="C1612" s="9">
        <v>16284.25</v>
      </c>
      <c r="D1612" s="9">
        <v>15900.8</v>
      </c>
      <c r="E1612" s="9">
        <v>16259.3</v>
      </c>
      <c r="F1612" s="9">
        <v>2.95687774E8</v>
      </c>
      <c r="G1612" s="47">
        <v>22782.99</v>
      </c>
    </row>
    <row r="1613" ht="14.25" customHeight="1">
      <c r="A1613" s="46">
        <v>44699.0</v>
      </c>
      <c r="B1613" s="9">
        <v>16318.15</v>
      </c>
      <c r="C1613" s="9">
        <v>16399.8</v>
      </c>
      <c r="D1613" s="9">
        <v>16211.2</v>
      </c>
      <c r="E1613" s="9">
        <v>16240.3</v>
      </c>
      <c r="F1613" s="9">
        <v>2.90441105E8</v>
      </c>
      <c r="G1613" s="47">
        <v>23889.84</v>
      </c>
    </row>
    <row r="1614" ht="14.25" customHeight="1">
      <c r="A1614" s="46">
        <v>44700.0</v>
      </c>
      <c r="B1614" s="9">
        <v>15917.4</v>
      </c>
      <c r="C1614" s="9">
        <v>15984.75</v>
      </c>
      <c r="D1614" s="9">
        <v>15775.2</v>
      </c>
      <c r="E1614" s="9">
        <v>15809.4</v>
      </c>
      <c r="F1614" s="9">
        <v>3.13876082E8</v>
      </c>
      <c r="G1614" s="47">
        <v>24340.84</v>
      </c>
    </row>
    <row r="1615" ht="14.25" customHeight="1">
      <c r="A1615" s="46">
        <v>44701.0</v>
      </c>
      <c r="B1615" s="9">
        <v>16043.8</v>
      </c>
      <c r="C1615" s="9">
        <v>16283.05</v>
      </c>
      <c r="D1615" s="9">
        <v>16003.85</v>
      </c>
      <c r="E1615" s="9">
        <v>16266.15</v>
      </c>
      <c r="F1615" s="9">
        <v>2.52402013E8</v>
      </c>
      <c r="G1615" s="47">
        <v>22806.69</v>
      </c>
    </row>
    <row r="1616" ht="14.25" customHeight="1">
      <c r="A1616" s="46">
        <v>44704.0</v>
      </c>
      <c r="B1616" s="9">
        <v>16290.95</v>
      </c>
      <c r="C1616" s="9">
        <v>16414.7</v>
      </c>
      <c r="D1616" s="9">
        <v>16185.75</v>
      </c>
      <c r="E1616" s="9">
        <v>16214.7</v>
      </c>
      <c r="F1616" s="9">
        <v>2.93829853E8</v>
      </c>
      <c r="G1616" s="47">
        <v>25110.85</v>
      </c>
    </row>
    <row r="1617" ht="14.25" customHeight="1">
      <c r="A1617" s="46">
        <v>44705.0</v>
      </c>
      <c r="B1617" s="9">
        <v>16225.55</v>
      </c>
      <c r="C1617" s="9">
        <v>16262.8</v>
      </c>
      <c r="D1617" s="9">
        <v>16078.6</v>
      </c>
      <c r="E1617" s="9">
        <v>16125.15</v>
      </c>
      <c r="F1617" s="9">
        <v>2.49778296E8</v>
      </c>
      <c r="G1617" s="47">
        <v>21895.75</v>
      </c>
    </row>
    <row r="1618" ht="14.25" customHeight="1">
      <c r="A1618" s="46">
        <v>44706.0</v>
      </c>
      <c r="B1618" s="9">
        <v>16196.35</v>
      </c>
      <c r="C1618" s="9">
        <v>16223.35</v>
      </c>
      <c r="D1618" s="9">
        <v>16006.95</v>
      </c>
      <c r="E1618" s="9">
        <v>16025.8</v>
      </c>
      <c r="F1618" s="9">
        <v>2.43342347E8</v>
      </c>
      <c r="G1618" s="47">
        <v>21400.14</v>
      </c>
    </row>
    <row r="1619" ht="14.25" customHeight="1">
      <c r="A1619" s="46">
        <v>44707.0</v>
      </c>
      <c r="B1619" s="9">
        <v>16105.0</v>
      </c>
      <c r="C1619" s="9">
        <v>16204.45</v>
      </c>
      <c r="D1619" s="9">
        <v>15903.7</v>
      </c>
      <c r="E1619" s="9">
        <v>16170.15</v>
      </c>
      <c r="F1619" s="9">
        <v>3.14305739E8</v>
      </c>
      <c r="G1619" s="47">
        <v>27721.21</v>
      </c>
    </row>
    <row r="1620" ht="14.25" customHeight="1">
      <c r="A1620" s="46">
        <v>44708.0</v>
      </c>
      <c r="B1620" s="9">
        <v>16296.6</v>
      </c>
      <c r="C1620" s="9">
        <v>16370.6</v>
      </c>
      <c r="D1620" s="9">
        <v>16221.95</v>
      </c>
      <c r="E1620" s="9">
        <v>16352.45</v>
      </c>
      <c r="F1620" s="9">
        <v>2.74064956E8</v>
      </c>
      <c r="G1620" s="47">
        <v>21341.98</v>
      </c>
    </row>
    <row r="1621" ht="14.25" customHeight="1">
      <c r="A1621" s="46">
        <v>44711.0</v>
      </c>
      <c r="B1621" s="9">
        <v>16527.9</v>
      </c>
      <c r="C1621" s="9">
        <v>16695.5</v>
      </c>
      <c r="D1621" s="9">
        <v>16506.15</v>
      </c>
      <c r="E1621" s="9">
        <v>16661.4</v>
      </c>
      <c r="F1621" s="9">
        <v>2.51400757E8</v>
      </c>
      <c r="G1621" s="47">
        <v>21216.5</v>
      </c>
    </row>
    <row r="1622" ht="14.25" customHeight="1">
      <c r="A1622" s="46">
        <v>44712.0</v>
      </c>
      <c r="B1622" s="9">
        <v>16578.45</v>
      </c>
      <c r="C1622" s="9">
        <v>16690.75</v>
      </c>
      <c r="D1622" s="9">
        <v>16521.9</v>
      </c>
      <c r="E1622" s="9">
        <v>16584.55</v>
      </c>
      <c r="F1622" s="9">
        <v>6.5161361E8</v>
      </c>
      <c r="G1622" s="47">
        <v>52929.35</v>
      </c>
    </row>
    <row r="1623" ht="14.25" customHeight="1">
      <c r="A1623" s="46">
        <v>44713.0</v>
      </c>
      <c r="B1623" s="9">
        <v>16594.4</v>
      </c>
      <c r="C1623" s="9">
        <v>16649.2</v>
      </c>
      <c r="D1623" s="9">
        <v>16438.85</v>
      </c>
      <c r="E1623" s="9">
        <v>16522.75</v>
      </c>
      <c r="F1623" s="9">
        <v>2.49619038E8</v>
      </c>
      <c r="G1623" s="47">
        <v>19350.33</v>
      </c>
    </row>
    <row r="1624" ht="14.25" customHeight="1">
      <c r="A1624" s="46">
        <v>44714.0</v>
      </c>
      <c r="B1624" s="9">
        <v>16481.65</v>
      </c>
      <c r="C1624" s="9">
        <v>16646.4</v>
      </c>
      <c r="D1624" s="9">
        <v>16443.05</v>
      </c>
      <c r="E1624" s="9">
        <v>16628.0</v>
      </c>
      <c r="F1624" s="9">
        <v>2.35958283E8</v>
      </c>
      <c r="G1624" s="47">
        <v>20055.84</v>
      </c>
    </row>
    <row r="1625" ht="14.25" customHeight="1">
      <c r="A1625" s="46">
        <v>44715.0</v>
      </c>
      <c r="B1625" s="9">
        <v>16761.65</v>
      </c>
      <c r="C1625" s="9">
        <v>16793.85</v>
      </c>
      <c r="D1625" s="9">
        <v>16567.9</v>
      </c>
      <c r="E1625" s="9">
        <v>16584.3</v>
      </c>
      <c r="F1625" s="9">
        <v>2.45514871E8</v>
      </c>
      <c r="G1625" s="47">
        <v>22249.29</v>
      </c>
    </row>
    <row r="1626" ht="14.25" customHeight="1">
      <c r="A1626" s="46">
        <v>44718.0</v>
      </c>
      <c r="B1626" s="9">
        <v>16530.7</v>
      </c>
      <c r="C1626" s="9">
        <v>16610.95</v>
      </c>
      <c r="D1626" s="9">
        <v>16444.55</v>
      </c>
      <c r="E1626" s="9">
        <v>16569.55</v>
      </c>
      <c r="F1626" s="9">
        <v>2.33589132E8</v>
      </c>
      <c r="G1626" s="47">
        <v>17999.41</v>
      </c>
    </row>
    <row r="1627" ht="14.25" customHeight="1">
      <c r="A1627" s="46">
        <v>44719.0</v>
      </c>
      <c r="B1627" s="9">
        <v>16469.6</v>
      </c>
      <c r="C1627" s="9">
        <v>16487.25</v>
      </c>
      <c r="D1627" s="9">
        <v>16347.1</v>
      </c>
      <c r="E1627" s="9">
        <v>16416.35</v>
      </c>
      <c r="F1627" s="9">
        <v>2.33814633E8</v>
      </c>
      <c r="G1627" s="47">
        <v>17921.95</v>
      </c>
    </row>
    <row r="1628" ht="14.25" customHeight="1">
      <c r="A1628" s="46">
        <v>44720.0</v>
      </c>
      <c r="B1628" s="9">
        <v>16474.95</v>
      </c>
      <c r="C1628" s="9">
        <v>16514.3</v>
      </c>
      <c r="D1628" s="9">
        <v>16293.35</v>
      </c>
      <c r="E1628" s="9">
        <v>16356.25</v>
      </c>
      <c r="F1628" s="9">
        <v>2.43481044E8</v>
      </c>
      <c r="G1628" s="47">
        <v>18336.15</v>
      </c>
    </row>
    <row r="1629" ht="14.25" customHeight="1">
      <c r="A1629" s="46">
        <v>44721.0</v>
      </c>
      <c r="B1629" s="9">
        <v>16263.85</v>
      </c>
      <c r="C1629" s="9">
        <v>16492.8</v>
      </c>
      <c r="D1629" s="9">
        <v>16243.85</v>
      </c>
      <c r="E1629" s="9">
        <v>16478.1</v>
      </c>
      <c r="F1629" s="9">
        <v>2.04954394E8</v>
      </c>
      <c r="G1629" s="47">
        <v>16721.68</v>
      </c>
    </row>
    <row r="1630" ht="14.25" customHeight="1">
      <c r="A1630" s="46">
        <v>44722.0</v>
      </c>
      <c r="B1630" s="9">
        <v>16283.95</v>
      </c>
      <c r="C1630" s="9">
        <v>16324.7</v>
      </c>
      <c r="D1630" s="9">
        <v>16172.6</v>
      </c>
      <c r="E1630" s="9">
        <v>16201.8</v>
      </c>
      <c r="F1630" s="9">
        <v>1.89680523E8</v>
      </c>
      <c r="G1630" s="47">
        <v>18388.03</v>
      </c>
    </row>
    <row r="1631" ht="14.25" customHeight="1">
      <c r="A1631" s="46">
        <v>44725.0</v>
      </c>
      <c r="B1631" s="9">
        <v>15877.55</v>
      </c>
      <c r="C1631" s="9">
        <v>15886.15</v>
      </c>
      <c r="D1631" s="9">
        <v>15684.0</v>
      </c>
      <c r="E1631" s="9">
        <v>15774.4</v>
      </c>
      <c r="F1631" s="9">
        <v>2.25534385E8</v>
      </c>
      <c r="G1631" s="47">
        <v>20002.64</v>
      </c>
    </row>
    <row r="1632" ht="14.25" customHeight="1">
      <c r="A1632" s="46">
        <v>44726.0</v>
      </c>
      <c r="B1632" s="9">
        <v>15674.25</v>
      </c>
      <c r="C1632" s="9">
        <v>15858.0</v>
      </c>
      <c r="D1632" s="9">
        <v>15659.45</v>
      </c>
      <c r="E1632" s="9">
        <v>15732.1</v>
      </c>
      <c r="F1632" s="9">
        <v>2.25425862E8</v>
      </c>
      <c r="G1632" s="47">
        <v>19825.41</v>
      </c>
    </row>
    <row r="1633" ht="14.25" customHeight="1">
      <c r="A1633" s="46">
        <v>44727.0</v>
      </c>
      <c r="B1633" s="9">
        <v>15729.25</v>
      </c>
      <c r="C1633" s="9">
        <v>15783.65</v>
      </c>
      <c r="D1633" s="9">
        <v>15678.9</v>
      </c>
      <c r="E1633" s="9">
        <v>15692.15</v>
      </c>
      <c r="F1633" s="9">
        <v>1.83011236E8</v>
      </c>
      <c r="G1633" s="47">
        <v>16063.24</v>
      </c>
    </row>
    <row r="1634" ht="14.25" customHeight="1">
      <c r="A1634" s="46">
        <v>44728.0</v>
      </c>
      <c r="B1634" s="9">
        <v>15832.25</v>
      </c>
      <c r="C1634" s="9">
        <v>15863.15</v>
      </c>
      <c r="D1634" s="9">
        <v>15335.1</v>
      </c>
      <c r="E1634" s="9">
        <v>15360.6</v>
      </c>
      <c r="F1634" s="9">
        <v>2.64735957E8</v>
      </c>
      <c r="G1634" s="47">
        <v>21383.06</v>
      </c>
    </row>
    <row r="1635" ht="14.25" customHeight="1">
      <c r="A1635" s="46">
        <v>44729.0</v>
      </c>
      <c r="B1635" s="9">
        <v>15272.65</v>
      </c>
      <c r="C1635" s="9">
        <v>15400.4</v>
      </c>
      <c r="D1635" s="9">
        <v>15183.4</v>
      </c>
      <c r="E1635" s="9">
        <v>15293.5</v>
      </c>
      <c r="F1635" s="9">
        <v>3.42629997E8</v>
      </c>
      <c r="G1635" s="47">
        <v>29074.0</v>
      </c>
    </row>
    <row r="1636" ht="14.25" customHeight="1">
      <c r="A1636" s="46">
        <v>44732.0</v>
      </c>
      <c r="B1636" s="9">
        <v>15334.5</v>
      </c>
      <c r="C1636" s="9">
        <v>15382.5</v>
      </c>
      <c r="D1636" s="9">
        <v>15191.1</v>
      </c>
      <c r="E1636" s="9">
        <v>15350.15</v>
      </c>
      <c r="F1636" s="9">
        <v>2.60022438E8</v>
      </c>
      <c r="G1636" s="47">
        <v>18531.78</v>
      </c>
    </row>
    <row r="1637" ht="14.25" customHeight="1">
      <c r="A1637" s="46">
        <v>44733.0</v>
      </c>
      <c r="B1637" s="9">
        <v>15455.95</v>
      </c>
      <c r="C1637" s="9">
        <v>15707.25</v>
      </c>
      <c r="D1637" s="9">
        <v>15419.85</v>
      </c>
      <c r="E1637" s="9">
        <v>15638.8</v>
      </c>
      <c r="F1637" s="9">
        <v>2.62794687E8</v>
      </c>
      <c r="G1637" s="47">
        <v>18934.27</v>
      </c>
    </row>
    <row r="1638" ht="14.25" customHeight="1">
      <c r="A1638" s="46">
        <v>44734.0</v>
      </c>
      <c r="B1638" s="9">
        <v>15545.65</v>
      </c>
      <c r="C1638" s="9">
        <v>15565.4</v>
      </c>
      <c r="D1638" s="9">
        <v>15385.95</v>
      </c>
      <c r="E1638" s="9">
        <v>15413.3</v>
      </c>
      <c r="F1638" s="9">
        <v>2.20889589E8</v>
      </c>
      <c r="G1638" s="47">
        <v>16817.07</v>
      </c>
    </row>
    <row r="1639" ht="14.25" customHeight="1">
      <c r="A1639" s="46">
        <v>44735.0</v>
      </c>
      <c r="B1639" s="9">
        <v>15451.55</v>
      </c>
      <c r="C1639" s="9">
        <v>15628.45</v>
      </c>
      <c r="D1639" s="9">
        <v>15367.5</v>
      </c>
      <c r="E1639" s="9">
        <v>15556.65</v>
      </c>
      <c r="F1639" s="9">
        <v>2.5917181E8</v>
      </c>
      <c r="G1639" s="47">
        <v>21722.06</v>
      </c>
    </row>
    <row r="1640" ht="14.25" customHeight="1">
      <c r="A1640" s="46">
        <v>44736.0</v>
      </c>
      <c r="B1640" s="9">
        <v>15657.4</v>
      </c>
      <c r="C1640" s="9">
        <v>15749.25</v>
      </c>
      <c r="D1640" s="9">
        <v>15619.45</v>
      </c>
      <c r="E1640" s="9">
        <v>15699.25</v>
      </c>
      <c r="F1640" s="9">
        <v>2.19599372E8</v>
      </c>
      <c r="G1640" s="47">
        <v>18259.72</v>
      </c>
    </row>
    <row r="1641" ht="14.25" customHeight="1">
      <c r="A1641" s="46">
        <v>44739.0</v>
      </c>
      <c r="B1641" s="9">
        <v>15926.2</v>
      </c>
      <c r="C1641" s="9">
        <v>15927.45</v>
      </c>
      <c r="D1641" s="9">
        <v>15815.5</v>
      </c>
      <c r="E1641" s="9">
        <v>15832.05</v>
      </c>
      <c r="F1641" s="9">
        <v>2.10932505E8</v>
      </c>
      <c r="G1641" s="47">
        <v>17770.42</v>
      </c>
    </row>
    <row r="1642" ht="14.25" customHeight="1">
      <c r="A1642" s="46">
        <v>44740.0</v>
      </c>
      <c r="B1642" s="9">
        <v>15757.45</v>
      </c>
      <c r="C1642" s="9">
        <v>15892.1</v>
      </c>
      <c r="D1642" s="9">
        <v>15710.15</v>
      </c>
      <c r="E1642" s="9">
        <v>15850.2</v>
      </c>
      <c r="F1642" s="9">
        <v>2.51865155E8</v>
      </c>
      <c r="G1642" s="47">
        <v>18419.75</v>
      </c>
    </row>
    <row r="1643" ht="14.25" customHeight="1">
      <c r="A1643" s="46">
        <v>44741.0</v>
      </c>
      <c r="B1643" s="9">
        <v>15701.7</v>
      </c>
      <c r="C1643" s="9">
        <v>15861.6</v>
      </c>
      <c r="D1643" s="9">
        <v>15687.8</v>
      </c>
      <c r="E1643" s="9">
        <v>15799.1</v>
      </c>
      <c r="F1643" s="9">
        <v>4.44949551E8</v>
      </c>
      <c r="G1643" s="47">
        <v>22528.57</v>
      </c>
    </row>
    <row r="1644" ht="14.25" customHeight="1">
      <c r="A1644" s="46">
        <v>44742.0</v>
      </c>
      <c r="B1644" s="9">
        <v>15774.5</v>
      </c>
      <c r="C1644" s="9">
        <v>15890.0</v>
      </c>
      <c r="D1644" s="9">
        <v>15728.85</v>
      </c>
      <c r="E1644" s="9">
        <v>15780.25</v>
      </c>
      <c r="F1644" s="9">
        <v>3.06027777E8</v>
      </c>
      <c r="G1644" s="47">
        <v>23970.65</v>
      </c>
    </row>
    <row r="1645" ht="14.25" customHeight="1">
      <c r="A1645" s="46">
        <v>44743.0</v>
      </c>
      <c r="B1645" s="9">
        <v>15703.7</v>
      </c>
      <c r="C1645" s="9">
        <v>15793.95</v>
      </c>
      <c r="D1645" s="9">
        <v>15511.05</v>
      </c>
      <c r="E1645" s="9">
        <v>15752.05</v>
      </c>
      <c r="F1645" s="9">
        <v>3.64090131E8</v>
      </c>
      <c r="G1645" s="47">
        <v>25891.94</v>
      </c>
    </row>
    <row r="1646" ht="14.25" customHeight="1">
      <c r="A1646" s="46">
        <v>44746.0</v>
      </c>
      <c r="B1646" s="9">
        <v>15710.5</v>
      </c>
      <c r="C1646" s="9">
        <v>15852.35</v>
      </c>
      <c r="D1646" s="9">
        <v>15661.8</v>
      </c>
      <c r="E1646" s="9">
        <v>15835.35</v>
      </c>
      <c r="F1646" s="9">
        <v>3.04328467E8</v>
      </c>
      <c r="G1646" s="47">
        <v>19875.22</v>
      </c>
    </row>
    <row r="1647" ht="14.25" customHeight="1">
      <c r="A1647" s="46">
        <v>44747.0</v>
      </c>
      <c r="B1647" s="9">
        <v>15909.15</v>
      </c>
      <c r="C1647" s="9">
        <v>16025.75</v>
      </c>
      <c r="D1647" s="9">
        <v>15785.45</v>
      </c>
      <c r="E1647" s="9">
        <v>15810.85</v>
      </c>
      <c r="F1647" s="9">
        <v>2.54164463E8</v>
      </c>
      <c r="G1647" s="47">
        <v>19129.6</v>
      </c>
    </row>
    <row r="1648" ht="14.25" customHeight="1">
      <c r="A1648" s="46">
        <v>44748.0</v>
      </c>
      <c r="B1648" s="9">
        <v>15818.2</v>
      </c>
      <c r="C1648" s="9">
        <v>16011.35</v>
      </c>
      <c r="D1648" s="9">
        <v>15800.9</v>
      </c>
      <c r="E1648" s="9">
        <v>15989.8</v>
      </c>
      <c r="F1648" s="9">
        <v>2.883753E8</v>
      </c>
      <c r="G1648" s="47">
        <v>22836.77</v>
      </c>
    </row>
    <row r="1649" ht="14.25" customHeight="1">
      <c r="A1649" s="46">
        <v>44749.0</v>
      </c>
      <c r="B1649" s="9">
        <v>16113.75</v>
      </c>
      <c r="C1649" s="9">
        <v>16150.5</v>
      </c>
      <c r="D1649" s="9">
        <v>16045.95</v>
      </c>
      <c r="E1649" s="9">
        <v>16132.9</v>
      </c>
      <c r="F1649" s="9">
        <v>2.64615218E8</v>
      </c>
      <c r="G1649" s="47">
        <v>21465.33</v>
      </c>
    </row>
    <row r="1650" ht="14.25" customHeight="1">
      <c r="A1650" s="46">
        <v>44750.0</v>
      </c>
      <c r="B1650" s="9">
        <v>16273.65</v>
      </c>
      <c r="C1650" s="9">
        <v>16275.5</v>
      </c>
      <c r="D1650" s="9">
        <v>16157.9</v>
      </c>
      <c r="E1650" s="9">
        <v>16220.6</v>
      </c>
      <c r="F1650" s="9">
        <v>2.81102369E8</v>
      </c>
      <c r="G1650" s="47">
        <v>20990.69</v>
      </c>
    </row>
    <row r="1651" ht="14.25" customHeight="1">
      <c r="A1651" s="46">
        <v>44753.0</v>
      </c>
      <c r="B1651" s="9">
        <v>16136.15</v>
      </c>
      <c r="C1651" s="9">
        <v>16248.55</v>
      </c>
      <c r="D1651" s="9">
        <v>16115.5</v>
      </c>
      <c r="E1651" s="9">
        <v>16216.0</v>
      </c>
      <c r="F1651" s="9">
        <v>2.55915072E8</v>
      </c>
      <c r="G1651" s="47">
        <v>20240.69</v>
      </c>
    </row>
    <row r="1652" ht="14.25" customHeight="1">
      <c r="A1652" s="46">
        <v>44754.0</v>
      </c>
      <c r="B1652" s="9">
        <v>16126.2</v>
      </c>
      <c r="C1652" s="9">
        <v>16158.75</v>
      </c>
      <c r="D1652" s="9">
        <v>16031.15</v>
      </c>
      <c r="E1652" s="9">
        <v>16058.3</v>
      </c>
      <c r="F1652" s="9">
        <v>2.08648707E8</v>
      </c>
      <c r="G1652" s="47">
        <v>16042.52</v>
      </c>
    </row>
    <row r="1653" ht="14.25" customHeight="1">
      <c r="A1653" s="46">
        <v>44755.0</v>
      </c>
      <c r="B1653" s="9">
        <v>16128.2</v>
      </c>
      <c r="C1653" s="9">
        <v>16140.0</v>
      </c>
      <c r="D1653" s="9">
        <v>15950.15</v>
      </c>
      <c r="E1653" s="9">
        <v>15966.65</v>
      </c>
      <c r="F1653" s="9">
        <v>2.332641E8</v>
      </c>
      <c r="G1653" s="47">
        <v>19649.66</v>
      </c>
    </row>
    <row r="1654" ht="14.25" customHeight="1">
      <c r="A1654" s="46">
        <v>44756.0</v>
      </c>
      <c r="B1654" s="9">
        <v>16018.85</v>
      </c>
      <c r="C1654" s="9">
        <v>16070.85</v>
      </c>
      <c r="D1654" s="9">
        <v>15858.2</v>
      </c>
      <c r="E1654" s="9">
        <v>15938.65</v>
      </c>
      <c r="F1654" s="9">
        <v>2.28603433E8</v>
      </c>
      <c r="G1654" s="47">
        <v>18858.83</v>
      </c>
    </row>
    <row r="1655" ht="14.25" customHeight="1">
      <c r="A1655" s="46">
        <v>44757.0</v>
      </c>
      <c r="B1655" s="9">
        <v>16010.8</v>
      </c>
      <c r="C1655" s="9">
        <v>16066.95</v>
      </c>
      <c r="D1655" s="9">
        <v>15927.3</v>
      </c>
      <c r="E1655" s="9">
        <v>16049.2</v>
      </c>
      <c r="F1655" s="9">
        <v>2.05768079E8</v>
      </c>
      <c r="G1655" s="47">
        <v>17031.43</v>
      </c>
    </row>
    <row r="1656" ht="14.25" customHeight="1">
      <c r="A1656" s="46">
        <v>44760.0</v>
      </c>
      <c r="B1656" s="9">
        <v>16151.4</v>
      </c>
      <c r="C1656" s="9">
        <v>16287.95</v>
      </c>
      <c r="D1656" s="9">
        <v>16142.2</v>
      </c>
      <c r="E1656" s="9">
        <v>16278.5</v>
      </c>
      <c r="F1656" s="9">
        <v>2.2774485E8</v>
      </c>
      <c r="G1656" s="47">
        <v>19420.93</v>
      </c>
    </row>
    <row r="1657" ht="14.25" customHeight="1">
      <c r="A1657" s="46">
        <v>44761.0</v>
      </c>
      <c r="B1657" s="9">
        <v>16187.05</v>
      </c>
      <c r="C1657" s="9">
        <v>16359.5</v>
      </c>
      <c r="D1657" s="9">
        <v>16187.05</v>
      </c>
      <c r="E1657" s="9">
        <v>16340.55</v>
      </c>
      <c r="F1657" s="9">
        <v>2.22630928E8</v>
      </c>
      <c r="G1657" s="47">
        <v>18068.59</v>
      </c>
    </row>
    <row r="1658" ht="14.25" customHeight="1">
      <c r="A1658" s="46">
        <v>44762.0</v>
      </c>
      <c r="B1658" s="9">
        <v>16562.8</v>
      </c>
      <c r="C1658" s="9">
        <v>16588.0</v>
      </c>
      <c r="D1658" s="9">
        <v>16490.95</v>
      </c>
      <c r="E1658" s="9">
        <v>16520.85</v>
      </c>
      <c r="F1658" s="9">
        <v>2.84359582E8</v>
      </c>
      <c r="G1658" s="47">
        <v>22061.81</v>
      </c>
    </row>
    <row r="1659" ht="14.25" customHeight="1">
      <c r="A1659" s="46">
        <v>44763.0</v>
      </c>
      <c r="B1659" s="9">
        <v>16523.55</v>
      </c>
      <c r="C1659" s="9">
        <v>16626.95</v>
      </c>
      <c r="D1659" s="9">
        <v>16483.9</v>
      </c>
      <c r="E1659" s="9">
        <v>16605.25</v>
      </c>
      <c r="F1659" s="9">
        <v>2.43625339E8</v>
      </c>
      <c r="G1659" s="47">
        <v>20603.17</v>
      </c>
    </row>
    <row r="1660" ht="14.25" customHeight="1">
      <c r="A1660" s="46">
        <v>44764.0</v>
      </c>
      <c r="B1660" s="9">
        <v>16661.25</v>
      </c>
      <c r="C1660" s="9">
        <v>16752.25</v>
      </c>
      <c r="D1660" s="9">
        <v>16610.9</v>
      </c>
      <c r="E1660" s="9">
        <v>16719.45</v>
      </c>
      <c r="F1660" s="9">
        <v>1.90906776E8</v>
      </c>
      <c r="G1660" s="47">
        <v>18600.11</v>
      </c>
    </row>
    <row r="1661" ht="14.25" customHeight="1">
      <c r="A1661" s="46">
        <v>44767.0</v>
      </c>
      <c r="B1661" s="9">
        <v>16662.55</v>
      </c>
      <c r="C1661" s="9">
        <v>16706.05</v>
      </c>
      <c r="D1661" s="9">
        <v>16564.25</v>
      </c>
      <c r="E1661" s="9">
        <v>16631.0</v>
      </c>
      <c r="F1661" s="9">
        <v>2.11392171E8</v>
      </c>
      <c r="G1661" s="47">
        <v>19384.43</v>
      </c>
    </row>
    <row r="1662" ht="14.25" customHeight="1">
      <c r="A1662" s="46">
        <v>44768.0</v>
      </c>
      <c r="B1662" s="9">
        <v>16632.9</v>
      </c>
      <c r="C1662" s="9">
        <v>16636.1</v>
      </c>
      <c r="D1662" s="9">
        <v>16463.3</v>
      </c>
      <c r="E1662" s="9">
        <v>16483.85</v>
      </c>
      <c r="F1662" s="9">
        <v>2.08208122E8</v>
      </c>
      <c r="G1662" s="47">
        <v>20087.54</v>
      </c>
    </row>
    <row r="1663" ht="14.25" customHeight="1">
      <c r="A1663" s="46">
        <v>44769.0</v>
      </c>
      <c r="B1663" s="9">
        <v>16475.35</v>
      </c>
      <c r="C1663" s="9">
        <v>16653.45</v>
      </c>
      <c r="D1663" s="9">
        <v>16438.75</v>
      </c>
      <c r="E1663" s="9">
        <v>16641.8</v>
      </c>
      <c r="F1663" s="9">
        <v>1.8521097E8</v>
      </c>
      <c r="G1663" s="47">
        <v>17608.03</v>
      </c>
    </row>
    <row r="1664" ht="14.25" customHeight="1">
      <c r="A1664" s="46">
        <v>44770.0</v>
      </c>
      <c r="B1664" s="9">
        <v>16774.85</v>
      </c>
      <c r="C1664" s="9">
        <v>16947.65</v>
      </c>
      <c r="D1664" s="9">
        <v>16746.25</v>
      </c>
      <c r="E1664" s="9">
        <v>16929.6</v>
      </c>
      <c r="F1664" s="9">
        <v>3.76256315E8</v>
      </c>
      <c r="G1664" s="47">
        <v>26674.28</v>
      </c>
    </row>
    <row r="1665" ht="14.25" customHeight="1">
      <c r="A1665" s="46">
        <v>44771.0</v>
      </c>
      <c r="B1665" s="9">
        <v>17079.5</v>
      </c>
      <c r="C1665" s="9">
        <v>17172.8</v>
      </c>
      <c r="D1665" s="9">
        <v>17018.15</v>
      </c>
      <c r="E1665" s="9">
        <v>17158.25</v>
      </c>
      <c r="F1665" s="9">
        <v>4.36059722E8</v>
      </c>
      <c r="G1665" s="47">
        <v>28241.29</v>
      </c>
    </row>
    <row r="1666" ht="14.25" customHeight="1">
      <c r="A1666" s="46">
        <v>44774.0</v>
      </c>
      <c r="B1666" s="9">
        <v>17243.2</v>
      </c>
      <c r="C1666" s="9">
        <v>17356.25</v>
      </c>
      <c r="D1666" s="9">
        <v>17154.8</v>
      </c>
      <c r="E1666" s="9">
        <v>17340.05</v>
      </c>
      <c r="F1666" s="9">
        <v>3.81532671E8</v>
      </c>
      <c r="G1666" s="47">
        <v>23221.04</v>
      </c>
    </row>
    <row r="1667" ht="14.25" customHeight="1">
      <c r="A1667" s="46">
        <v>44775.0</v>
      </c>
      <c r="B1667" s="9">
        <v>17310.15</v>
      </c>
      <c r="C1667" s="9">
        <v>17390.15</v>
      </c>
      <c r="D1667" s="9">
        <v>17215.85</v>
      </c>
      <c r="E1667" s="9">
        <v>17345.45</v>
      </c>
      <c r="F1667" s="9">
        <v>3.33639093E8</v>
      </c>
      <c r="G1667" s="47">
        <v>22576.94</v>
      </c>
    </row>
    <row r="1668" ht="14.25" customHeight="1">
      <c r="A1668" s="46">
        <v>44776.0</v>
      </c>
      <c r="B1668" s="9">
        <v>17349.25</v>
      </c>
      <c r="C1668" s="9">
        <v>17407.5</v>
      </c>
      <c r="D1668" s="9">
        <v>17225.85</v>
      </c>
      <c r="E1668" s="9">
        <v>17388.15</v>
      </c>
      <c r="F1668" s="9">
        <v>2.85414666E8</v>
      </c>
      <c r="G1668" s="47">
        <v>20842.13</v>
      </c>
    </row>
    <row r="1669" ht="14.25" customHeight="1">
      <c r="A1669" s="46">
        <v>44777.0</v>
      </c>
      <c r="B1669" s="9">
        <v>17463.1</v>
      </c>
      <c r="C1669" s="9">
        <v>17490.7</v>
      </c>
      <c r="D1669" s="9">
        <v>17161.25</v>
      </c>
      <c r="E1669" s="9">
        <v>17382.0</v>
      </c>
      <c r="F1669" s="9">
        <v>3.24981426E8</v>
      </c>
      <c r="G1669" s="47">
        <v>21848.21</v>
      </c>
    </row>
    <row r="1670" ht="14.25" customHeight="1">
      <c r="A1670" s="46">
        <v>44778.0</v>
      </c>
      <c r="B1670" s="9">
        <v>17423.65</v>
      </c>
      <c r="C1670" s="9">
        <v>17474.4</v>
      </c>
      <c r="D1670" s="9">
        <v>17348.75</v>
      </c>
      <c r="E1670" s="9">
        <v>17397.5</v>
      </c>
      <c r="F1670" s="9">
        <v>3.55310802E8</v>
      </c>
      <c r="G1670" s="47">
        <v>20013.14</v>
      </c>
    </row>
    <row r="1671" ht="14.25" customHeight="1">
      <c r="A1671" s="46">
        <v>44781.0</v>
      </c>
      <c r="B1671" s="9">
        <v>17401.5</v>
      </c>
      <c r="C1671" s="9">
        <v>17548.8</v>
      </c>
      <c r="D1671" s="9">
        <v>17359.75</v>
      </c>
      <c r="E1671" s="9">
        <v>17525.1</v>
      </c>
      <c r="F1671" s="9">
        <v>2.56994113E8</v>
      </c>
      <c r="G1671" s="47">
        <v>18475.21</v>
      </c>
    </row>
    <row r="1672" ht="14.25" customHeight="1">
      <c r="A1672" s="46">
        <v>44783.0</v>
      </c>
      <c r="B1672" s="9">
        <v>17566.1</v>
      </c>
      <c r="C1672" s="9">
        <v>17566.1</v>
      </c>
      <c r="D1672" s="9">
        <v>17442.8</v>
      </c>
      <c r="E1672" s="9">
        <v>17534.75</v>
      </c>
      <c r="F1672" s="9">
        <v>3.12716544E8</v>
      </c>
      <c r="G1672" s="47">
        <v>21952.35</v>
      </c>
    </row>
    <row r="1673" ht="14.25" customHeight="1">
      <c r="A1673" s="46">
        <v>44784.0</v>
      </c>
      <c r="B1673" s="9">
        <v>17711.65</v>
      </c>
      <c r="C1673" s="9">
        <v>17719.3</v>
      </c>
      <c r="D1673" s="9">
        <v>17631.95</v>
      </c>
      <c r="E1673" s="9">
        <v>17659.0</v>
      </c>
      <c r="F1673" s="9">
        <v>3.11247237E8</v>
      </c>
      <c r="G1673" s="47">
        <v>20476.53</v>
      </c>
    </row>
    <row r="1674" ht="14.25" customHeight="1">
      <c r="A1674" s="46">
        <v>44785.0</v>
      </c>
      <c r="B1674" s="9">
        <v>17659.65</v>
      </c>
      <c r="C1674" s="9">
        <v>17724.65</v>
      </c>
      <c r="D1674" s="9">
        <v>17597.85</v>
      </c>
      <c r="E1674" s="9">
        <v>17698.15</v>
      </c>
      <c r="F1674" s="9">
        <v>3.03872483E8</v>
      </c>
      <c r="G1674" s="47">
        <v>18422.47</v>
      </c>
    </row>
    <row r="1675" ht="14.25" customHeight="1">
      <c r="A1675" s="46">
        <v>44789.0</v>
      </c>
      <c r="B1675" s="9">
        <v>17797.2</v>
      </c>
      <c r="C1675" s="9">
        <v>17839.1</v>
      </c>
      <c r="D1675" s="9">
        <v>17764.05</v>
      </c>
      <c r="E1675" s="9">
        <v>17825.25</v>
      </c>
      <c r="F1675" s="9">
        <v>2.78042725E8</v>
      </c>
      <c r="G1675" s="47">
        <v>18495.27</v>
      </c>
    </row>
    <row r="1676" ht="14.25" customHeight="1">
      <c r="A1676" s="46">
        <v>44790.0</v>
      </c>
      <c r="B1676" s="9">
        <v>17868.15</v>
      </c>
      <c r="C1676" s="9">
        <v>17965.95</v>
      </c>
      <c r="D1676" s="9">
        <v>17833.35</v>
      </c>
      <c r="E1676" s="9">
        <v>17944.25</v>
      </c>
      <c r="F1676" s="9">
        <v>2.62768582E8</v>
      </c>
      <c r="G1676" s="47">
        <v>21209.54</v>
      </c>
    </row>
    <row r="1677" ht="14.25" customHeight="1">
      <c r="A1677" s="46">
        <v>44791.0</v>
      </c>
      <c r="B1677" s="9">
        <v>17898.65</v>
      </c>
      <c r="C1677" s="9">
        <v>17968.45</v>
      </c>
      <c r="D1677" s="9">
        <v>17852.05</v>
      </c>
      <c r="E1677" s="9">
        <v>17956.5</v>
      </c>
      <c r="F1677" s="9">
        <v>2.63914197E8</v>
      </c>
      <c r="G1677" s="47">
        <v>18441.68</v>
      </c>
    </row>
    <row r="1678" ht="14.25" customHeight="1">
      <c r="A1678" s="46">
        <v>44792.0</v>
      </c>
      <c r="B1678" s="9">
        <v>17966.55</v>
      </c>
      <c r="C1678" s="9">
        <v>17992.2</v>
      </c>
      <c r="D1678" s="9">
        <v>17710.75</v>
      </c>
      <c r="E1678" s="9">
        <v>17758.45</v>
      </c>
      <c r="F1678" s="9">
        <v>2.95627263E8</v>
      </c>
      <c r="G1678" s="47">
        <v>21531.99</v>
      </c>
    </row>
    <row r="1679" ht="14.25" customHeight="1">
      <c r="A1679" s="46">
        <v>44795.0</v>
      </c>
      <c r="B1679" s="9">
        <v>17682.9</v>
      </c>
      <c r="C1679" s="9">
        <v>17690.05</v>
      </c>
      <c r="D1679" s="9">
        <v>17467.35</v>
      </c>
      <c r="E1679" s="9">
        <v>17490.7</v>
      </c>
      <c r="F1679" s="9">
        <v>2.87559133E8</v>
      </c>
      <c r="G1679" s="47">
        <v>19605.44</v>
      </c>
    </row>
    <row r="1680" ht="14.25" customHeight="1">
      <c r="A1680" s="46">
        <v>44796.0</v>
      </c>
      <c r="B1680" s="9">
        <v>17357.35</v>
      </c>
      <c r="C1680" s="9">
        <v>17625.55</v>
      </c>
      <c r="D1680" s="9">
        <v>17345.2</v>
      </c>
      <c r="E1680" s="9">
        <v>17577.5</v>
      </c>
      <c r="F1680" s="9">
        <v>2.85616338E8</v>
      </c>
      <c r="G1680" s="47">
        <v>20365.8</v>
      </c>
    </row>
    <row r="1681" ht="14.25" customHeight="1">
      <c r="A1681" s="46">
        <v>44797.0</v>
      </c>
      <c r="B1681" s="9">
        <v>17525.45</v>
      </c>
      <c r="C1681" s="9">
        <v>17623.65</v>
      </c>
      <c r="D1681" s="9">
        <v>17499.25</v>
      </c>
      <c r="E1681" s="9">
        <v>17604.95</v>
      </c>
      <c r="F1681" s="9">
        <v>2.61953239E8</v>
      </c>
      <c r="G1681" s="47">
        <v>17819.88</v>
      </c>
    </row>
    <row r="1682" ht="14.25" customHeight="1">
      <c r="A1682" s="46">
        <v>44798.0</v>
      </c>
      <c r="B1682" s="9">
        <v>17679.0</v>
      </c>
      <c r="C1682" s="9">
        <v>17726.5</v>
      </c>
      <c r="D1682" s="9">
        <v>17487.45</v>
      </c>
      <c r="E1682" s="9">
        <v>17522.45</v>
      </c>
      <c r="F1682" s="9">
        <v>2.30181848E8</v>
      </c>
      <c r="G1682" s="47">
        <v>17566.7</v>
      </c>
    </row>
    <row r="1683" ht="14.25" customHeight="1">
      <c r="A1683" s="46">
        <v>44799.0</v>
      </c>
      <c r="B1683" s="9">
        <v>17619.3</v>
      </c>
      <c r="C1683" s="9">
        <v>17685.85</v>
      </c>
      <c r="D1683" s="9">
        <v>17519.35</v>
      </c>
      <c r="E1683" s="9">
        <v>17558.9</v>
      </c>
      <c r="F1683" s="9">
        <v>2.66636238E8</v>
      </c>
      <c r="G1683" s="47">
        <v>17500.8</v>
      </c>
    </row>
    <row r="1684" ht="14.25" customHeight="1">
      <c r="A1684" s="46">
        <v>44802.0</v>
      </c>
      <c r="B1684" s="9">
        <v>17188.65</v>
      </c>
      <c r="C1684" s="9">
        <v>17380.15</v>
      </c>
      <c r="D1684" s="9">
        <v>17166.2</v>
      </c>
      <c r="E1684" s="9">
        <v>17312.9</v>
      </c>
      <c r="F1684" s="9">
        <v>2.44854637E8</v>
      </c>
      <c r="G1684" s="47">
        <v>19351.5</v>
      </c>
    </row>
    <row r="1685" ht="14.25" customHeight="1">
      <c r="A1685" s="46">
        <v>44803.0</v>
      </c>
      <c r="B1685" s="9">
        <v>17414.95</v>
      </c>
      <c r="C1685" s="9">
        <v>17777.65</v>
      </c>
      <c r="D1685" s="9">
        <v>17401.5</v>
      </c>
      <c r="E1685" s="9">
        <v>17759.3</v>
      </c>
      <c r="F1685" s="9">
        <v>3.24687477E8</v>
      </c>
      <c r="G1685" s="47">
        <v>26284.26</v>
      </c>
    </row>
    <row r="1686" ht="14.25" customHeight="1">
      <c r="A1686" s="46">
        <v>44805.0</v>
      </c>
      <c r="B1686" s="9">
        <v>17485.7</v>
      </c>
      <c r="C1686" s="9">
        <v>17695.6</v>
      </c>
      <c r="D1686" s="9">
        <v>17468.45</v>
      </c>
      <c r="E1686" s="9">
        <v>17542.8</v>
      </c>
      <c r="F1686" s="9">
        <v>3.08526598E8</v>
      </c>
      <c r="G1686" s="47">
        <v>26813.95</v>
      </c>
    </row>
    <row r="1687" ht="14.25" customHeight="1">
      <c r="A1687" s="46">
        <v>44806.0</v>
      </c>
      <c r="B1687" s="9">
        <v>17598.4</v>
      </c>
      <c r="C1687" s="9">
        <v>17643.85</v>
      </c>
      <c r="D1687" s="9">
        <v>17476.45</v>
      </c>
      <c r="E1687" s="9">
        <v>17539.45</v>
      </c>
      <c r="F1687" s="9">
        <v>2.56268616E8</v>
      </c>
      <c r="G1687" s="47">
        <v>19548.88</v>
      </c>
    </row>
    <row r="1688" ht="14.25" customHeight="1">
      <c r="A1688" s="46">
        <v>44809.0</v>
      </c>
      <c r="B1688" s="9">
        <v>17546.45</v>
      </c>
      <c r="C1688" s="9">
        <v>17683.15</v>
      </c>
      <c r="D1688" s="9">
        <v>17540.35</v>
      </c>
      <c r="E1688" s="9">
        <v>17665.8</v>
      </c>
      <c r="F1688" s="9">
        <v>2.30309013E8</v>
      </c>
      <c r="G1688" s="47">
        <v>17011.26</v>
      </c>
    </row>
    <row r="1689" ht="14.25" customHeight="1">
      <c r="A1689" s="46">
        <v>44810.0</v>
      </c>
      <c r="B1689" s="9">
        <v>17695.7</v>
      </c>
      <c r="C1689" s="9">
        <v>17764.65</v>
      </c>
      <c r="D1689" s="9">
        <v>17587.65</v>
      </c>
      <c r="E1689" s="9">
        <v>17655.6</v>
      </c>
      <c r="F1689" s="9">
        <v>2.51204527E8</v>
      </c>
      <c r="G1689" s="47">
        <v>17521.09</v>
      </c>
    </row>
    <row r="1690" ht="14.25" customHeight="1">
      <c r="A1690" s="46">
        <v>44811.0</v>
      </c>
      <c r="B1690" s="9">
        <v>17519.4</v>
      </c>
      <c r="C1690" s="9">
        <v>17650.75</v>
      </c>
      <c r="D1690" s="9">
        <v>17484.3</v>
      </c>
      <c r="E1690" s="9">
        <v>17624.4</v>
      </c>
      <c r="F1690" s="9">
        <v>3.54137885E8</v>
      </c>
      <c r="G1690" s="47">
        <v>25419.5</v>
      </c>
    </row>
    <row r="1691" ht="14.25" customHeight="1">
      <c r="A1691" s="46">
        <v>44812.0</v>
      </c>
      <c r="B1691" s="9">
        <v>17748.15</v>
      </c>
      <c r="C1691" s="9">
        <v>17807.65</v>
      </c>
      <c r="D1691" s="9">
        <v>17691.95</v>
      </c>
      <c r="E1691" s="9">
        <v>17798.75</v>
      </c>
      <c r="F1691" s="9">
        <v>2.79845682E8</v>
      </c>
      <c r="G1691" s="47">
        <v>19925.25</v>
      </c>
    </row>
    <row r="1692" ht="14.25" customHeight="1">
      <c r="A1692" s="46">
        <v>44813.0</v>
      </c>
      <c r="B1692" s="9">
        <v>17923.35</v>
      </c>
      <c r="C1692" s="9">
        <v>17925.95</v>
      </c>
      <c r="D1692" s="9">
        <v>17786.0</v>
      </c>
      <c r="E1692" s="9">
        <v>17833.35</v>
      </c>
      <c r="F1692" s="9">
        <v>2.70299618E8</v>
      </c>
      <c r="G1692" s="47">
        <v>20564.06</v>
      </c>
    </row>
    <row r="1693" ht="14.25" customHeight="1">
      <c r="A1693" s="46">
        <v>44816.0</v>
      </c>
      <c r="B1693" s="9">
        <v>17890.85</v>
      </c>
      <c r="C1693" s="9">
        <v>17980.55</v>
      </c>
      <c r="D1693" s="9">
        <v>17889.15</v>
      </c>
      <c r="E1693" s="9">
        <v>17936.35</v>
      </c>
      <c r="F1693" s="9">
        <v>2.28242025E8</v>
      </c>
      <c r="G1693" s="47">
        <v>17648.17</v>
      </c>
    </row>
    <row r="1694" ht="14.25" customHeight="1">
      <c r="A1694" s="46">
        <v>44817.0</v>
      </c>
      <c r="B1694" s="9">
        <v>18044.45</v>
      </c>
      <c r="C1694" s="9">
        <v>18088.3</v>
      </c>
      <c r="D1694" s="9">
        <v>18015.45</v>
      </c>
      <c r="E1694" s="9">
        <v>18070.05</v>
      </c>
      <c r="F1694" s="9">
        <v>2.59922741E8</v>
      </c>
      <c r="G1694" s="47">
        <v>21039.08</v>
      </c>
    </row>
    <row r="1695" ht="14.25" customHeight="1">
      <c r="A1695" s="46">
        <v>44818.0</v>
      </c>
      <c r="B1695" s="9">
        <v>17771.15</v>
      </c>
      <c r="C1695" s="9">
        <v>18091.55</v>
      </c>
      <c r="D1695" s="9">
        <v>17771.15</v>
      </c>
      <c r="E1695" s="9">
        <v>18003.75</v>
      </c>
      <c r="F1695" s="9">
        <v>3.65866933E8</v>
      </c>
      <c r="G1695" s="47">
        <v>26611.96</v>
      </c>
    </row>
    <row r="1696" ht="14.25" customHeight="1">
      <c r="A1696" s="46">
        <v>44819.0</v>
      </c>
      <c r="B1696" s="9">
        <v>18046.35</v>
      </c>
      <c r="C1696" s="9">
        <v>18096.15</v>
      </c>
      <c r="D1696" s="9">
        <v>17861.5</v>
      </c>
      <c r="E1696" s="9">
        <v>17877.4</v>
      </c>
      <c r="F1696" s="9">
        <v>2.89637528E8</v>
      </c>
      <c r="G1696" s="47">
        <v>22007.78</v>
      </c>
    </row>
    <row r="1697" ht="14.25" customHeight="1">
      <c r="A1697" s="46">
        <v>44820.0</v>
      </c>
      <c r="B1697" s="9">
        <v>17796.8</v>
      </c>
      <c r="C1697" s="9">
        <v>17820.05</v>
      </c>
      <c r="D1697" s="9">
        <v>17497.25</v>
      </c>
      <c r="E1697" s="9">
        <v>17530.85</v>
      </c>
      <c r="F1697" s="9">
        <v>4.68464263E8</v>
      </c>
      <c r="G1697" s="47">
        <v>36013.89</v>
      </c>
    </row>
    <row r="1698" ht="14.25" customHeight="1">
      <c r="A1698" s="46">
        <v>44823.0</v>
      </c>
      <c r="B1698" s="9">
        <v>17540.65</v>
      </c>
      <c r="C1698" s="9">
        <v>17667.2</v>
      </c>
      <c r="D1698" s="9">
        <v>17429.7</v>
      </c>
      <c r="E1698" s="9">
        <v>17622.25</v>
      </c>
      <c r="F1698" s="9">
        <v>2.58329581E8</v>
      </c>
      <c r="G1698" s="47">
        <v>19548.99</v>
      </c>
    </row>
    <row r="1699" ht="14.25" customHeight="1">
      <c r="A1699" s="46">
        <v>44824.0</v>
      </c>
      <c r="B1699" s="9">
        <v>17770.4</v>
      </c>
      <c r="C1699" s="9">
        <v>17919.3</v>
      </c>
      <c r="D1699" s="9">
        <v>17744.4</v>
      </c>
      <c r="E1699" s="9">
        <v>17816.25</v>
      </c>
      <c r="F1699" s="9">
        <v>2.63100874E8</v>
      </c>
      <c r="G1699" s="47">
        <v>20456.69</v>
      </c>
    </row>
    <row r="1700" ht="14.25" customHeight="1">
      <c r="A1700" s="46">
        <v>44825.0</v>
      </c>
      <c r="B1700" s="9">
        <v>17766.35</v>
      </c>
      <c r="C1700" s="9">
        <v>17838.7</v>
      </c>
      <c r="D1700" s="9">
        <v>17663.6</v>
      </c>
      <c r="E1700" s="9">
        <v>17718.35</v>
      </c>
      <c r="F1700" s="9">
        <v>2.45532498E8</v>
      </c>
      <c r="G1700" s="47">
        <v>19816.78</v>
      </c>
    </row>
    <row r="1701" ht="14.25" customHeight="1">
      <c r="A1701" s="46">
        <v>44826.0</v>
      </c>
      <c r="B1701" s="9">
        <v>17609.65</v>
      </c>
      <c r="C1701" s="9">
        <v>17722.75</v>
      </c>
      <c r="D1701" s="9">
        <v>17532.45</v>
      </c>
      <c r="E1701" s="9">
        <v>17629.8</v>
      </c>
      <c r="F1701" s="9">
        <v>2.84094023E8</v>
      </c>
      <c r="G1701" s="47">
        <v>21303.96</v>
      </c>
    </row>
    <row r="1702" ht="14.25" customHeight="1">
      <c r="A1702" s="46">
        <v>44827.0</v>
      </c>
      <c r="B1702" s="9">
        <v>17593.85</v>
      </c>
      <c r="C1702" s="9">
        <v>17642.15</v>
      </c>
      <c r="D1702" s="9">
        <v>17291.65</v>
      </c>
      <c r="E1702" s="9">
        <v>17327.35</v>
      </c>
      <c r="F1702" s="9">
        <v>3.90754862E8</v>
      </c>
      <c r="G1702" s="47">
        <v>23750.53</v>
      </c>
    </row>
    <row r="1703" ht="14.25" customHeight="1">
      <c r="A1703" s="46">
        <v>44830.0</v>
      </c>
      <c r="B1703" s="9">
        <v>17156.3</v>
      </c>
      <c r="C1703" s="9">
        <v>17196.4</v>
      </c>
      <c r="D1703" s="9">
        <v>16978.3</v>
      </c>
      <c r="E1703" s="9">
        <v>17016.3</v>
      </c>
      <c r="F1703" s="9">
        <v>4.92002942E8</v>
      </c>
      <c r="G1703" s="47">
        <v>27533.01</v>
      </c>
    </row>
    <row r="1704" ht="14.25" customHeight="1">
      <c r="A1704" s="46">
        <v>44831.0</v>
      </c>
      <c r="B1704" s="9">
        <v>17110.9</v>
      </c>
      <c r="C1704" s="9">
        <v>17176.45</v>
      </c>
      <c r="D1704" s="9">
        <v>16942.35</v>
      </c>
      <c r="E1704" s="9">
        <v>17007.4</v>
      </c>
      <c r="F1704" s="9">
        <v>3.59895458E8</v>
      </c>
      <c r="G1704" s="47">
        <v>22712.8</v>
      </c>
    </row>
    <row r="1705" ht="14.25" customHeight="1">
      <c r="A1705" s="46">
        <v>44832.0</v>
      </c>
      <c r="B1705" s="9">
        <v>16870.55</v>
      </c>
      <c r="C1705" s="9">
        <v>17037.6</v>
      </c>
      <c r="D1705" s="9">
        <v>16820.4</v>
      </c>
      <c r="E1705" s="9">
        <v>16858.6</v>
      </c>
      <c r="F1705" s="9">
        <v>3.23922457E8</v>
      </c>
      <c r="G1705" s="47">
        <v>21400.93</v>
      </c>
    </row>
    <row r="1706" ht="14.25" customHeight="1">
      <c r="A1706" s="46">
        <v>44833.0</v>
      </c>
      <c r="B1706" s="9">
        <v>16993.6</v>
      </c>
      <c r="C1706" s="9">
        <v>17026.05</v>
      </c>
      <c r="D1706" s="9">
        <v>16788.6</v>
      </c>
      <c r="E1706" s="9">
        <v>16818.1</v>
      </c>
      <c r="F1706" s="9">
        <v>3.4003438E8</v>
      </c>
      <c r="G1706" s="47">
        <v>24758.63</v>
      </c>
    </row>
    <row r="1707" ht="14.25" customHeight="1">
      <c r="A1707" s="46">
        <v>44834.0</v>
      </c>
      <c r="B1707" s="9">
        <v>16798.05</v>
      </c>
      <c r="C1707" s="9">
        <v>17187.1</v>
      </c>
      <c r="D1707" s="9">
        <v>16747.7</v>
      </c>
      <c r="E1707" s="9">
        <v>17094.35</v>
      </c>
      <c r="F1707" s="9">
        <v>3.80204763E8</v>
      </c>
      <c r="G1707" s="47">
        <v>26205.63</v>
      </c>
    </row>
    <row r="1708" ht="14.25" customHeight="1">
      <c r="A1708" s="46">
        <v>44837.0</v>
      </c>
      <c r="B1708" s="9">
        <v>17102.1</v>
      </c>
      <c r="C1708" s="9">
        <v>17114.65</v>
      </c>
      <c r="D1708" s="9">
        <v>16855.55</v>
      </c>
      <c r="E1708" s="9">
        <v>16887.35</v>
      </c>
      <c r="F1708" s="9">
        <v>2.85850587E8</v>
      </c>
      <c r="G1708" s="47">
        <v>21860.54</v>
      </c>
    </row>
    <row r="1709" ht="14.25" customHeight="1">
      <c r="A1709" s="46">
        <v>44838.0</v>
      </c>
      <c r="B1709" s="9">
        <v>17147.45</v>
      </c>
      <c r="C1709" s="9">
        <v>17287.3</v>
      </c>
      <c r="D1709" s="9">
        <v>17117.3</v>
      </c>
      <c r="E1709" s="9">
        <v>17274.3</v>
      </c>
      <c r="F1709" s="9">
        <v>2.31601639E8</v>
      </c>
      <c r="G1709" s="47">
        <v>18480.43</v>
      </c>
    </row>
    <row r="1710" ht="14.25" customHeight="1">
      <c r="A1710" s="46">
        <v>44840.0</v>
      </c>
      <c r="B1710" s="9">
        <v>17379.25</v>
      </c>
      <c r="C1710" s="9">
        <v>17428.8</v>
      </c>
      <c r="D1710" s="9">
        <v>17315.65</v>
      </c>
      <c r="E1710" s="9">
        <v>17331.8</v>
      </c>
      <c r="F1710" s="9">
        <v>2.6823932E8</v>
      </c>
      <c r="G1710" s="47">
        <v>20404.46</v>
      </c>
    </row>
    <row r="1711" ht="14.25" customHeight="1">
      <c r="A1711" s="46">
        <v>44841.0</v>
      </c>
      <c r="B1711" s="9">
        <v>17287.2</v>
      </c>
      <c r="C1711" s="9">
        <v>17337.35</v>
      </c>
      <c r="D1711" s="9">
        <v>17216.95</v>
      </c>
      <c r="E1711" s="9">
        <v>17314.65</v>
      </c>
      <c r="F1711" s="9">
        <v>2.16273136E8</v>
      </c>
      <c r="G1711" s="47">
        <v>17043.26</v>
      </c>
    </row>
    <row r="1712" ht="14.25" customHeight="1">
      <c r="A1712" s="46">
        <v>44844.0</v>
      </c>
      <c r="B1712" s="9">
        <v>17094.35</v>
      </c>
      <c r="C1712" s="9">
        <v>17280.15</v>
      </c>
      <c r="D1712" s="9">
        <v>17064.7</v>
      </c>
      <c r="E1712" s="9">
        <v>17241.0</v>
      </c>
      <c r="F1712" s="9">
        <v>2.34005512E8</v>
      </c>
      <c r="G1712" s="47">
        <v>16220.67</v>
      </c>
    </row>
    <row r="1713" ht="14.25" customHeight="1">
      <c r="A1713" s="46">
        <v>44845.0</v>
      </c>
      <c r="B1713" s="9">
        <v>17256.05</v>
      </c>
      <c r="C1713" s="9">
        <v>17261.8</v>
      </c>
      <c r="D1713" s="9">
        <v>16950.3</v>
      </c>
      <c r="E1713" s="9">
        <v>16983.55</v>
      </c>
      <c r="F1713" s="9">
        <v>2.82617982E8</v>
      </c>
      <c r="G1713" s="47">
        <v>22178.37</v>
      </c>
    </row>
    <row r="1714" ht="14.25" customHeight="1">
      <c r="A1714" s="46">
        <v>44846.0</v>
      </c>
      <c r="B1714" s="9">
        <v>17025.55</v>
      </c>
      <c r="C1714" s="9">
        <v>17142.35</v>
      </c>
      <c r="D1714" s="9">
        <v>16960.05</v>
      </c>
      <c r="E1714" s="9">
        <v>17123.6</v>
      </c>
      <c r="F1714" s="9">
        <v>2.56037322E8</v>
      </c>
      <c r="G1714" s="47">
        <v>18098.41</v>
      </c>
    </row>
    <row r="1715" ht="14.25" customHeight="1">
      <c r="A1715" s="46">
        <v>44847.0</v>
      </c>
      <c r="B1715" s="9">
        <v>17087.35</v>
      </c>
      <c r="C1715" s="9">
        <v>17112.35</v>
      </c>
      <c r="D1715" s="9">
        <v>16956.95</v>
      </c>
      <c r="E1715" s="9">
        <v>17014.35</v>
      </c>
      <c r="F1715" s="9">
        <v>2.66438674E8</v>
      </c>
      <c r="G1715" s="47">
        <v>18189.64</v>
      </c>
    </row>
    <row r="1716" ht="14.25" customHeight="1">
      <c r="A1716" s="46">
        <v>44848.0</v>
      </c>
      <c r="B1716" s="9">
        <v>17322.3</v>
      </c>
      <c r="C1716" s="9">
        <v>17348.55</v>
      </c>
      <c r="D1716" s="9">
        <v>17169.75</v>
      </c>
      <c r="E1716" s="9">
        <v>17185.7</v>
      </c>
      <c r="F1716" s="9">
        <v>2.26997138E8</v>
      </c>
      <c r="G1716" s="47">
        <v>17813.47</v>
      </c>
    </row>
    <row r="1717" ht="14.25" customHeight="1">
      <c r="A1717" s="46">
        <v>44851.0</v>
      </c>
      <c r="B1717" s="9">
        <v>17144.8</v>
      </c>
      <c r="C1717" s="9">
        <v>17328.55</v>
      </c>
      <c r="D1717" s="9">
        <v>17098.55</v>
      </c>
      <c r="E1717" s="9">
        <v>17311.8</v>
      </c>
      <c r="F1717" s="9">
        <v>2.12223419E8</v>
      </c>
      <c r="G1717" s="47">
        <v>16887.83</v>
      </c>
    </row>
    <row r="1718" ht="14.25" customHeight="1">
      <c r="A1718" s="46">
        <v>44852.0</v>
      </c>
      <c r="B1718" s="9">
        <v>17438.75</v>
      </c>
      <c r="C1718" s="9">
        <v>17527.8</v>
      </c>
      <c r="D1718" s="9">
        <v>17434.05</v>
      </c>
      <c r="E1718" s="9">
        <v>17486.95</v>
      </c>
      <c r="F1718" s="9">
        <v>2.3949363E8</v>
      </c>
      <c r="G1718" s="47">
        <v>18224.95</v>
      </c>
    </row>
    <row r="1719" ht="14.25" customHeight="1">
      <c r="A1719" s="46">
        <v>44853.0</v>
      </c>
      <c r="B1719" s="9">
        <v>17568.15</v>
      </c>
      <c r="C1719" s="9">
        <v>17607.6</v>
      </c>
      <c r="D1719" s="9">
        <v>17472.85</v>
      </c>
      <c r="E1719" s="9">
        <v>17512.25</v>
      </c>
      <c r="F1719" s="9">
        <v>2.10480869E8</v>
      </c>
      <c r="G1719" s="47">
        <v>17200.79</v>
      </c>
    </row>
    <row r="1720" ht="14.25" customHeight="1">
      <c r="A1720" s="46">
        <v>44854.0</v>
      </c>
      <c r="B1720" s="9">
        <v>17423.1</v>
      </c>
      <c r="C1720" s="9">
        <v>17584.15</v>
      </c>
      <c r="D1720" s="9">
        <v>17421.0</v>
      </c>
      <c r="E1720" s="9">
        <v>17563.95</v>
      </c>
      <c r="F1720" s="9">
        <v>2.49604832E8</v>
      </c>
      <c r="G1720" s="47">
        <v>18345.6</v>
      </c>
    </row>
    <row r="1721" ht="14.25" customHeight="1">
      <c r="A1721" s="46">
        <v>44855.0</v>
      </c>
      <c r="B1721" s="9">
        <v>17622.85</v>
      </c>
      <c r="C1721" s="9">
        <v>17670.15</v>
      </c>
      <c r="D1721" s="9">
        <v>17520.75</v>
      </c>
      <c r="E1721" s="9">
        <v>17576.3</v>
      </c>
      <c r="F1721" s="9">
        <v>2.7770268E8</v>
      </c>
      <c r="G1721" s="47">
        <v>23547.38</v>
      </c>
    </row>
    <row r="1722" ht="14.25" customHeight="1">
      <c r="A1722" s="46">
        <v>44858.0</v>
      </c>
      <c r="B1722" s="9">
        <v>17736.35</v>
      </c>
      <c r="C1722" s="9">
        <v>17777.55</v>
      </c>
      <c r="D1722" s="9">
        <v>17707.4</v>
      </c>
      <c r="E1722" s="9">
        <v>17730.75</v>
      </c>
      <c r="F1722" s="9">
        <v>4.5029477E7</v>
      </c>
      <c r="G1722" s="47">
        <v>3772.49</v>
      </c>
    </row>
    <row r="1723" ht="14.25" customHeight="1">
      <c r="A1723" s="46">
        <v>44859.0</v>
      </c>
      <c r="B1723" s="9">
        <v>17808.3</v>
      </c>
      <c r="C1723" s="9">
        <v>17811.5</v>
      </c>
      <c r="D1723" s="9">
        <v>17637.0</v>
      </c>
      <c r="E1723" s="9">
        <v>17656.35</v>
      </c>
      <c r="F1723" s="9">
        <v>2.51358203E8</v>
      </c>
      <c r="G1723" s="47">
        <v>20338.32</v>
      </c>
    </row>
    <row r="1724" ht="14.25" customHeight="1">
      <c r="A1724" s="46">
        <v>44861.0</v>
      </c>
      <c r="B1724" s="9">
        <v>17771.4</v>
      </c>
      <c r="C1724" s="9">
        <v>17783.9</v>
      </c>
      <c r="D1724" s="9">
        <v>17654.5</v>
      </c>
      <c r="E1724" s="9">
        <v>17736.95</v>
      </c>
      <c r="F1724" s="9">
        <v>3.24649088E8</v>
      </c>
      <c r="G1724" s="47">
        <v>24166.3</v>
      </c>
    </row>
    <row r="1725" ht="14.25" customHeight="1">
      <c r="A1725" s="46">
        <v>44862.0</v>
      </c>
      <c r="B1725" s="9">
        <v>17756.4</v>
      </c>
      <c r="C1725" s="9">
        <v>17838.9</v>
      </c>
      <c r="D1725" s="9">
        <v>17723.7</v>
      </c>
      <c r="E1725" s="9">
        <v>17786.8</v>
      </c>
      <c r="F1725" s="9">
        <v>2.50030113E8</v>
      </c>
      <c r="G1725" s="47">
        <v>19099.59</v>
      </c>
    </row>
    <row r="1726" ht="14.25" customHeight="1">
      <c r="A1726" s="46">
        <v>44865.0</v>
      </c>
      <c r="B1726" s="9">
        <v>17910.2</v>
      </c>
      <c r="C1726" s="9">
        <v>18022.8</v>
      </c>
      <c r="D1726" s="9">
        <v>17899.9</v>
      </c>
      <c r="E1726" s="9">
        <v>18012.2</v>
      </c>
      <c r="F1726" s="9">
        <v>2.27174539E8</v>
      </c>
      <c r="G1726" s="47">
        <v>19846.47</v>
      </c>
    </row>
    <row r="1727" ht="14.25" customHeight="1">
      <c r="A1727" s="46">
        <v>44866.0</v>
      </c>
      <c r="B1727" s="9">
        <v>18130.7</v>
      </c>
      <c r="C1727" s="9">
        <v>18175.8</v>
      </c>
      <c r="D1727" s="9">
        <v>18060.15</v>
      </c>
      <c r="E1727" s="9">
        <v>18145.4</v>
      </c>
      <c r="F1727" s="9">
        <v>3.49924808E8</v>
      </c>
      <c r="G1727" s="47">
        <v>26796.59</v>
      </c>
    </row>
    <row r="1728" ht="14.25" customHeight="1">
      <c r="A1728" s="46">
        <v>44867.0</v>
      </c>
      <c r="B1728" s="9">
        <v>18177.9</v>
      </c>
      <c r="C1728" s="9">
        <v>18178.75</v>
      </c>
      <c r="D1728" s="9">
        <v>18048.65</v>
      </c>
      <c r="E1728" s="9">
        <v>18082.85</v>
      </c>
      <c r="F1728" s="9">
        <v>2.70878019E8</v>
      </c>
      <c r="G1728" s="47">
        <v>20072.62</v>
      </c>
    </row>
    <row r="1729" ht="14.25" customHeight="1">
      <c r="A1729" s="46">
        <v>44868.0</v>
      </c>
      <c r="B1729" s="9">
        <v>17968.35</v>
      </c>
      <c r="C1729" s="9">
        <v>18106.3</v>
      </c>
      <c r="D1729" s="9">
        <v>17959.2</v>
      </c>
      <c r="E1729" s="9">
        <v>18052.7</v>
      </c>
      <c r="F1729" s="9">
        <v>2.12968291E8</v>
      </c>
      <c r="G1729" s="47">
        <v>16037.78</v>
      </c>
    </row>
    <row r="1730" ht="14.25" customHeight="1">
      <c r="A1730" s="46">
        <v>44869.0</v>
      </c>
      <c r="B1730" s="9">
        <v>18053.4</v>
      </c>
      <c r="C1730" s="9">
        <v>18135.1</v>
      </c>
      <c r="D1730" s="9">
        <v>18017.15</v>
      </c>
      <c r="E1730" s="9">
        <v>18117.15</v>
      </c>
      <c r="F1730" s="9">
        <v>2.67941526E8</v>
      </c>
      <c r="G1730" s="47">
        <v>21062.54</v>
      </c>
    </row>
    <row r="1731" ht="14.25" customHeight="1">
      <c r="A1731" s="46">
        <v>44872.0</v>
      </c>
      <c r="B1731" s="9">
        <v>18211.75</v>
      </c>
      <c r="C1731" s="9">
        <v>18255.5</v>
      </c>
      <c r="D1731" s="9">
        <v>18064.75</v>
      </c>
      <c r="E1731" s="9">
        <v>18202.8</v>
      </c>
      <c r="F1731" s="9">
        <v>3.14758398E8</v>
      </c>
      <c r="G1731" s="47">
        <v>25124.84</v>
      </c>
    </row>
    <row r="1732" ht="14.25" customHeight="1">
      <c r="A1732" s="46">
        <v>44874.0</v>
      </c>
      <c r="B1732" s="9">
        <v>18288.25</v>
      </c>
      <c r="C1732" s="9">
        <v>18296.4</v>
      </c>
      <c r="D1732" s="9">
        <v>18117.5</v>
      </c>
      <c r="E1732" s="9">
        <v>18157.0</v>
      </c>
      <c r="F1732" s="9">
        <v>3.07155149E8</v>
      </c>
      <c r="G1732" s="47">
        <v>23344.58</v>
      </c>
    </row>
    <row r="1733" ht="14.25" customHeight="1">
      <c r="A1733" s="46">
        <v>44875.0</v>
      </c>
      <c r="B1733" s="9">
        <v>18044.35</v>
      </c>
      <c r="C1733" s="9">
        <v>18103.1</v>
      </c>
      <c r="D1733" s="9">
        <v>17969.4</v>
      </c>
      <c r="E1733" s="9">
        <v>18028.2</v>
      </c>
      <c r="F1733" s="9">
        <v>2.56451785E8</v>
      </c>
      <c r="G1733" s="47">
        <v>19848.06</v>
      </c>
    </row>
    <row r="1734" ht="14.25" customHeight="1">
      <c r="A1734" s="46">
        <v>44876.0</v>
      </c>
      <c r="B1734" s="9">
        <v>18272.35</v>
      </c>
      <c r="C1734" s="9">
        <v>18362.3</v>
      </c>
      <c r="D1734" s="9">
        <v>18259.35</v>
      </c>
      <c r="E1734" s="9">
        <v>18349.7</v>
      </c>
      <c r="F1734" s="9">
        <v>3.78469072E8</v>
      </c>
      <c r="G1734" s="47">
        <v>30732.11</v>
      </c>
    </row>
    <row r="1735" ht="14.25" customHeight="1">
      <c r="A1735" s="46">
        <v>44879.0</v>
      </c>
      <c r="B1735" s="9">
        <v>18376.4</v>
      </c>
      <c r="C1735" s="9">
        <v>18399.45</v>
      </c>
      <c r="D1735" s="9">
        <v>18311.4</v>
      </c>
      <c r="E1735" s="9">
        <v>18329.15</v>
      </c>
      <c r="F1735" s="9">
        <v>3.01401961E8</v>
      </c>
      <c r="G1735" s="47">
        <v>21697.66</v>
      </c>
    </row>
    <row r="1736" ht="14.25" customHeight="1">
      <c r="A1736" s="46">
        <v>44880.0</v>
      </c>
      <c r="B1736" s="9">
        <v>18362.75</v>
      </c>
      <c r="C1736" s="9">
        <v>18427.95</v>
      </c>
      <c r="D1736" s="9">
        <v>18282.0</v>
      </c>
      <c r="E1736" s="9">
        <v>18403.4</v>
      </c>
      <c r="F1736" s="9">
        <v>2.50926391E8</v>
      </c>
      <c r="G1736" s="47">
        <v>17836.19</v>
      </c>
    </row>
    <row r="1737" ht="14.25" customHeight="1">
      <c r="A1737" s="46">
        <v>44881.0</v>
      </c>
      <c r="B1737" s="9">
        <v>18398.25</v>
      </c>
      <c r="C1737" s="9">
        <v>18442.15</v>
      </c>
      <c r="D1737" s="9">
        <v>18344.15</v>
      </c>
      <c r="E1737" s="9">
        <v>18409.65</v>
      </c>
      <c r="F1737" s="9">
        <v>2.19268992E8</v>
      </c>
      <c r="G1737" s="47">
        <v>19732.87</v>
      </c>
    </row>
    <row r="1738" ht="14.25" customHeight="1">
      <c r="A1738" s="46">
        <v>44882.0</v>
      </c>
      <c r="B1738" s="9">
        <v>18358.7</v>
      </c>
      <c r="C1738" s="9">
        <v>18417.6</v>
      </c>
      <c r="D1738" s="9">
        <v>18312.95</v>
      </c>
      <c r="E1738" s="9">
        <v>18343.9</v>
      </c>
      <c r="F1738" s="9">
        <v>2.0051291E8</v>
      </c>
      <c r="G1738" s="47">
        <v>16410.36</v>
      </c>
    </row>
    <row r="1739" ht="14.25" customHeight="1">
      <c r="A1739" s="46">
        <v>44883.0</v>
      </c>
      <c r="B1739" s="9">
        <v>18382.95</v>
      </c>
      <c r="C1739" s="9">
        <v>18394.6</v>
      </c>
      <c r="D1739" s="9">
        <v>18209.8</v>
      </c>
      <c r="E1739" s="9">
        <v>18307.65</v>
      </c>
      <c r="F1739" s="9">
        <v>1.98794846E8</v>
      </c>
      <c r="G1739" s="47">
        <v>16553.69</v>
      </c>
    </row>
    <row r="1740" ht="14.25" customHeight="1">
      <c r="A1740" s="46">
        <v>44886.0</v>
      </c>
      <c r="B1740" s="9">
        <v>18246.4</v>
      </c>
      <c r="C1740" s="9">
        <v>18262.3</v>
      </c>
      <c r="D1740" s="9">
        <v>18133.35</v>
      </c>
      <c r="E1740" s="9">
        <v>18159.95</v>
      </c>
      <c r="F1740" s="9">
        <v>2.13794598E8</v>
      </c>
      <c r="G1740" s="47">
        <v>15037.5</v>
      </c>
    </row>
    <row r="1741" ht="14.25" customHeight="1">
      <c r="A1741" s="46">
        <v>44887.0</v>
      </c>
      <c r="B1741" s="9">
        <v>18179.15</v>
      </c>
      <c r="C1741" s="9">
        <v>18261.85</v>
      </c>
      <c r="D1741" s="9">
        <v>18137.7</v>
      </c>
      <c r="E1741" s="9">
        <v>18244.2</v>
      </c>
      <c r="F1741" s="9">
        <v>1.77681099E8</v>
      </c>
      <c r="G1741" s="47">
        <v>14750.98</v>
      </c>
    </row>
    <row r="1742" ht="14.25" customHeight="1">
      <c r="A1742" s="46">
        <v>44888.0</v>
      </c>
      <c r="B1742" s="9">
        <v>18325.2</v>
      </c>
      <c r="C1742" s="9">
        <v>18325.4</v>
      </c>
      <c r="D1742" s="9">
        <v>18246.0</v>
      </c>
      <c r="E1742" s="9">
        <v>18267.25</v>
      </c>
      <c r="F1742" s="9">
        <v>1.78791087E8</v>
      </c>
      <c r="G1742" s="47">
        <v>15674.45</v>
      </c>
    </row>
    <row r="1743" ht="14.25" customHeight="1">
      <c r="A1743" s="46">
        <v>44889.0</v>
      </c>
      <c r="B1743" s="9">
        <v>18326.1</v>
      </c>
      <c r="C1743" s="9">
        <v>18529.7</v>
      </c>
      <c r="D1743" s="9">
        <v>18294.25</v>
      </c>
      <c r="E1743" s="9">
        <v>18484.1</v>
      </c>
      <c r="F1743" s="9">
        <v>2.04044559E8</v>
      </c>
      <c r="G1743" s="47">
        <v>18218.35</v>
      </c>
    </row>
    <row r="1744" ht="14.25" customHeight="1">
      <c r="A1744" s="46">
        <v>44890.0</v>
      </c>
      <c r="B1744" s="9">
        <v>18528.45</v>
      </c>
      <c r="C1744" s="9">
        <v>18534.9</v>
      </c>
      <c r="D1744" s="9">
        <v>18445.1</v>
      </c>
      <c r="E1744" s="9">
        <v>18512.75</v>
      </c>
      <c r="F1744" s="9">
        <v>2.05876043E8</v>
      </c>
      <c r="G1744" s="47">
        <v>17112.8</v>
      </c>
    </row>
    <row r="1745" ht="14.25" customHeight="1">
      <c r="A1745" s="46">
        <v>44893.0</v>
      </c>
      <c r="B1745" s="9">
        <v>18430.55</v>
      </c>
      <c r="C1745" s="9">
        <v>18614.25</v>
      </c>
      <c r="D1745" s="9">
        <v>18365.6</v>
      </c>
      <c r="E1745" s="9">
        <v>18562.75</v>
      </c>
      <c r="F1745" s="9">
        <v>2.06468884E8</v>
      </c>
      <c r="G1745" s="47">
        <v>19006.92</v>
      </c>
    </row>
    <row r="1746" ht="14.25" customHeight="1">
      <c r="A1746" s="46">
        <v>44894.0</v>
      </c>
      <c r="B1746" s="9">
        <v>18552.45</v>
      </c>
      <c r="C1746" s="9">
        <v>18678.1</v>
      </c>
      <c r="D1746" s="9">
        <v>18552.15</v>
      </c>
      <c r="E1746" s="9">
        <v>18618.05</v>
      </c>
      <c r="F1746" s="9">
        <v>1.95255179E8</v>
      </c>
      <c r="G1746" s="47">
        <v>16568.17</v>
      </c>
    </row>
    <row r="1747" ht="14.25" customHeight="1">
      <c r="A1747" s="46">
        <v>44895.0</v>
      </c>
      <c r="B1747" s="9">
        <v>18625.7</v>
      </c>
      <c r="C1747" s="9">
        <v>18816.05</v>
      </c>
      <c r="D1747" s="9">
        <v>18616.55</v>
      </c>
      <c r="E1747" s="9">
        <v>18758.35</v>
      </c>
      <c r="F1747" s="9">
        <v>3.45636288E8</v>
      </c>
      <c r="G1747" s="47">
        <v>32757.21</v>
      </c>
    </row>
    <row r="1748" ht="14.25" customHeight="1">
      <c r="A1748" s="46">
        <v>44896.0</v>
      </c>
      <c r="B1748" s="9">
        <v>18871.95</v>
      </c>
      <c r="C1748" s="9">
        <v>18887.6</v>
      </c>
      <c r="D1748" s="9">
        <v>18778.2</v>
      </c>
      <c r="E1748" s="9">
        <v>18812.5</v>
      </c>
      <c r="F1748" s="9">
        <v>3.24955829E8</v>
      </c>
      <c r="G1748" s="47">
        <v>22216.65</v>
      </c>
    </row>
    <row r="1749" ht="14.25" customHeight="1">
      <c r="A1749" s="46">
        <v>44897.0</v>
      </c>
      <c r="B1749" s="9">
        <v>18752.4</v>
      </c>
      <c r="C1749" s="9">
        <v>18781.95</v>
      </c>
      <c r="D1749" s="9">
        <v>18639.2</v>
      </c>
      <c r="E1749" s="9">
        <v>18696.1</v>
      </c>
      <c r="F1749" s="9">
        <v>2.54401004E8</v>
      </c>
      <c r="G1749" s="47">
        <v>20233.76</v>
      </c>
    </row>
    <row r="1750" ht="14.25" customHeight="1">
      <c r="A1750" s="46">
        <v>44900.0</v>
      </c>
      <c r="B1750" s="9">
        <v>18719.55</v>
      </c>
      <c r="C1750" s="9">
        <v>18728.6</v>
      </c>
      <c r="D1750" s="9">
        <v>18591.35</v>
      </c>
      <c r="E1750" s="9">
        <v>18701.05</v>
      </c>
      <c r="F1750" s="9">
        <v>2.88393766E8</v>
      </c>
      <c r="G1750" s="47">
        <v>19471.83</v>
      </c>
    </row>
    <row r="1751" ht="14.25" customHeight="1">
      <c r="A1751" s="46">
        <v>44901.0</v>
      </c>
      <c r="B1751" s="9">
        <v>18600.65</v>
      </c>
      <c r="C1751" s="9">
        <v>18654.9</v>
      </c>
      <c r="D1751" s="9">
        <v>18577.9</v>
      </c>
      <c r="E1751" s="9">
        <v>18642.75</v>
      </c>
      <c r="F1751" s="9">
        <v>2.1777709E8</v>
      </c>
      <c r="G1751" s="47">
        <v>17772.27</v>
      </c>
    </row>
    <row r="1752" ht="14.25" customHeight="1">
      <c r="A1752" s="46">
        <v>44902.0</v>
      </c>
      <c r="B1752" s="9">
        <v>18638.85</v>
      </c>
      <c r="C1752" s="9">
        <v>18668.3</v>
      </c>
      <c r="D1752" s="9">
        <v>18528.4</v>
      </c>
      <c r="E1752" s="9">
        <v>18560.5</v>
      </c>
      <c r="F1752" s="9">
        <v>2.0050172E8</v>
      </c>
      <c r="G1752" s="47">
        <v>17496.8</v>
      </c>
    </row>
    <row r="1753" ht="14.25" customHeight="1">
      <c r="A1753" s="46">
        <v>44903.0</v>
      </c>
      <c r="B1753" s="9">
        <v>18570.85</v>
      </c>
      <c r="C1753" s="9">
        <v>18625.0</v>
      </c>
      <c r="D1753" s="9">
        <v>18536.95</v>
      </c>
      <c r="E1753" s="9">
        <v>18609.35</v>
      </c>
      <c r="F1753" s="9">
        <v>2.02811256E8</v>
      </c>
      <c r="G1753" s="47">
        <v>19277.65</v>
      </c>
    </row>
    <row r="1754" ht="14.25" customHeight="1">
      <c r="A1754" s="46">
        <v>44904.0</v>
      </c>
      <c r="B1754" s="9">
        <v>18662.4</v>
      </c>
      <c r="C1754" s="9">
        <v>18664.7</v>
      </c>
      <c r="D1754" s="9">
        <v>18410.1</v>
      </c>
      <c r="E1754" s="9">
        <v>18496.6</v>
      </c>
      <c r="F1754" s="9">
        <v>2.15839572E8</v>
      </c>
      <c r="G1754" s="47">
        <v>20317.78</v>
      </c>
    </row>
    <row r="1755" ht="14.25" customHeight="1">
      <c r="A1755" s="46">
        <v>44907.0</v>
      </c>
      <c r="B1755" s="9">
        <v>18402.15</v>
      </c>
      <c r="C1755" s="9">
        <v>18521.55</v>
      </c>
      <c r="D1755" s="9">
        <v>18345.7</v>
      </c>
      <c r="E1755" s="9">
        <v>18497.15</v>
      </c>
      <c r="F1755" s="9">
        <v>1.93883468E8</v>
      </c>
      <c r="G1755" s="47">
        <v>16688.2</v>
      </c>
    </row>
    <row r="1756" ht="14.25" customHeight="1">
      <c r="A1756" s="46">
        <v>44908.0</v>
      </c>
      <c r="B1756" s="9">
        <v>18524.4</v>
      </c>
      <c r="C1756" s="9">
        <v>18617.25</v>
      </c>
      <c r="D1756" s="9">
        <v>18490.2</v>
      </c>
      <c r="E1756" s="9">
        <v>18608.0</v>
      </c>
      <c r="F1756" s="9">
        <v>1.87585567E8</v>
      </c>
      <c r="G1756" s="47">
        <v>16536.17</v>
      </c>
    </row>
    <row r="1757" ht="14.25" customHeight="1">
      <c r="A1757" s="46">
        <v>44909.0</v>
      </c>
      <c r="B1757" s="9">
        <v>18671.25</v>
      </c>
      <c r="C1757" s="9">
        <v>18696.1</v>
      </c>
      <c r="D1757" s="9">
        <v>18632.9</v>
      </c>
      <c r="E1757" s="9">
        <v>18660.3</v>
      </c>
      <c r="F1757" s="9">
        <v>2.08030337E8</v>
      </c>
      <c r="G1757" s="47">
        <v>16626.0</v>
      </c>
    </row>
    <row r="1758" ht="14.25" customHeight="1">
      <c r="A1758" s="46">
        <v>44910.0</v>
      </c>
      <c r="B1758" s="9">
        <v>18614.4</v>
      </c>
      <c r="C1758" s="9">
        <v>18652.9</v>
      </c>
      <c r="D1758" s="9">
        <v>18387.7</v>
      </c>
      <c r="E1758" s="9">
        <v>18414.9</v>
      </c>
      <c r="F1758" s="9">
        <v>1.83127544E8</v>
      </c>
      <c r="G1758" s="47">
        <v>15618.55</v>
      </c>
    </row>
    <row r="1759" ht="14.25" customHeight="1">
      <c r="A1759" s="46">
        <v>44911.0</v>
      </c>
      <c r="B1759" s="9">
        <v>18319.1</v>
      </c>
      <c r="C1759" s="9">
        <v>18440.95</v>
      </c>
      <c r="D1759" s="9">
        <v>18255.15</v>
      </c>
      <c r="E1759" s="9">
        <v>18269.0</v>
      </c>
      <c r="F1759" s="9">
        <v>2.77650193E8</v>
      </c>
      <c r="G1759" s="47">
        <v>23292.95</v>
      </c>
    </row>
    <row r="1760" ht="14.25" customHeight="1">
      <c r="A1760" s="46">
        <v>44914.0</v>
      </c>
      <c r="B1760" s="9">
        <v>18288.1</v>
      </c>
      <c r="C1760" s="9">
        <v>18431.65</v>
      </c>
      <c r="D1760" s="9">
        <v>18244.55</v>
      </c>
      <c r="E1760" s="9">
        <v>18420.45</v>
      </c>
      <c r="F1760" s="9">
        <v>1.54847475E8</v>
      </c>
      <c r="G1760" s="47">
        <v>14455.23</v>
      </c>
    </row>
    <row r="1761" ht="14.25" customHeight="1">
      <c r="A1761" s="46">
        <v>44915.0</v>
      </c>
      <c r="B1761" s="9">
        <v>18340.3</v>
      </c>
      <c r="C1761" s="9">
        <v>18404.9</v>
      </c>
      <c r="D1761" s="9">
        <v>18202.65</v>
      </c>
      <c r="E1761" s="9">
        <v>18385.3</v>
      </c>
      <c r="F1761" s="9">
        <v>1.69041783E8</v>
      </c>
      <c r="G1761" s="47">
        <v>15038.56</v>
      </c>
    </row>
    <row r="1762" ht="14.25" customHeight="1">
      <c r="A1762" s="46">
        <v>44916.0</v>
      </c>
      <c r="B1762" s="9">
        <v>18435.15</v>
      </c>
      <c r="C1762" s="9">
        <v>18473.35</v>
      </c>
      <c r="D1762" s="9">
        <v>18162.75</v>
      </c>
      <c r="E1762" s="9">
        <v>18199.1</v>
      </c>
      <c r="F1762" s="9">
        <v>1.87594274E8</v>
      </c>
      <c r="G1762" s="47">
        <v>17223.44</v>
      </c>
    </row>
    <row r="1763" ht="14.25" customHeight="1">
      <c r="A1763" s="46">
        <v>44917.0</v>
      </c>
      <c r="B1763" s="9">
        <v>18288.8</v>
      </c>
      <c r="C1763" s="9">
        <v>18318.75</v>
      </c>
      <c r="D1763" s="9">
        <v>18068.6</v>
      </c>
      <c r="E1763" s="9">
        <v>18127.35</v>
      </c>
      <c r="F1763" s="9">
        <v>1.9569965E8</v>
      </c>
      <c r="G1763" s="47">
        <v>16725.23</v>
      </c>
    </row>
    <row r="1764" ht="14.25" customHeight="1">
      <c r="A1764" s="46">
        <v>44918.0</v>
      </c>
      <c r="B1764" s="9">
        <v>17977.65</v>
      </c>
      <c r="C1764" s="9">
        <v>18050.45</v>
      </c>
      <c r="D1764" s="9">
        <v>17779.5</v>
      </c>
      <c r="E1764" s="9">
        <v>17806.8</v>
      </c>
      <c r="F1764" s="9">
        <v>2.21454773E8</v>
      </c>
      <c r="G1764" s="47">
        <v>18486.94</v>
      </c>
    </row>
    <row r="1765" ht="14.25" customHeight="1">
      <c r="A1765" s="46">
        <v>44921.0</v>
      </c>
      <c r="B1765" s="9">
        <v>17830.4</v>
      </c>
      <c r="C1765" s="9">
        <v>18084.1</v>
      </c>
      <c r="D1765" s="9">
        <v>17774.25</v>
      </c>
      <c r="E1765" s="9">
        <v>18014.6</v>
      </c>
      <c r="F1765" s="9">
        <v>1.76652342E8</v>
      </c>
      <c r="G1765" s="47">
        <v>13708.21</v>
      </c>
    </row>
    <row r="1766" ht="14.25" customHeight="1">
      <c r="A1766" s="46">
        <v>44922.0</v>
      </c>
      <c r="B1766" s="9">
        <v>18089.8</v>
      </c>
      <c r="C1766" s="9">
        <v>18149.25</v>
      </c>
      <c r="D1766" s="9">
        <v>17967.45</v>
      </c>
      <c r="E1766" s="9">
        <v>18132.3</v>
      </c>
      <c r="F1766" s="9">
        <v>2.14257094E8</v>
      </c>
      <c r="G1766" s="47">
        <v>13000.64</v>
      </c>
    </row>
    <row r="1767" ht="14.25" customHeight="1">
      <c r="A1767" s="46">
        <v>44923.0</v>
      </c>
      <c r="B1767" s="9">
        <v>18084.75</v>
      </c>
      <c r="C1767" s="9">
        <v>18173.1</v>
      </c>
      <c r="D1767" s="9">
        <v>18068.35</v>
      </c>
      <c r="E1767" s="9">
        <v>18122.5</v>
      </c>
      <c r="F1767" s="9">
        <v>1.93873167E8</v>
      </c>
      <c r="G1767" s="47">
        <v>13997.59</v>
      </c>
    </row>
    <row r="1768" ht="14.25" customHeight="1">
      <c r="A1768" s="46">
        <v>44924.0</v>
      </c>
      <c r="B1768" s="9">
        <v>18045.7</v>
      </c>
      <c r="C1768" s="9">
        <v>18229.7</v>
      </c>
      <c r="D1768" s="9">
        <v>17992.8</v>
      </c>
      <c r="E1768" s="9">
        <v>18191.0</v>
      </c>
      <c r="F1768" s="9">
        <v>2.81052828E8</v>
      </c>
      <c r="G1768" s="47">
        <v>18466.05</v>
      </c>
    </row>
    <row r="1769" ht="14.25" customHeight="1">
      <c r="A1769" s="46">
        <v>44925.0</v>
      </c>
      <c r="B1769" s="9">
        <v>18259.1</v>
      </c>
      <c r="C1769" s="9">
        <v>18265.25</v>
      </c>
      <c r="D1769" s="9">
        <v>18080.3</v>
      </c>
      <c r="E1769" s="9">
        <v>18105.3</v>
      </c>
      <c r="F1769" s="9">
        <v>1.92005563E8</v>
      </c>
      <c r="G1769" s="47">
        <v>14475.22</v>
      </c>
    </row>
    <row r="1770" ht="14.25" customHeight="1">
      <c r="A1770" s="46">
        <v>44928.0</v>
      </c>
      <c r="B1770" s="9">
        <v>18131.7</v>
      </c>
      <c r="C1770" s="9">
        <v>18215.15</v>
      </c>
      <c r="D1770" s="9">
        <v>18086.5</v>
      </c>
      <c r="E1770" s="9">
        <v>18197.45</v>
      </c>
      <c r="F1770" s="9">
        <v>2.56073979E8</v>
      </c>
      <c r="G1770" s="47">
        <v>11793.06</v>
      </c>
    </row>
    <row r="1771" ht="14.25" customHeight="1">
      <c r="A1771" s="46">
        <v>44929.0</v>
      </c>
      <c r="B1771" s="9">
        <v>18163.2</v>
      </c>
      <c r="C1771" s="9">
        <v>18251.95</v>
      </c>
      <c r="D1771" s="9">
        <v>18149.8</v>
      </c>
      <c r="E1771" s="9">
        <v>18232.55</v>
      </c>
      <c r="F1771" s="9">
        <v>2.08699772E8</v>
      </c>
      <c r="G1771" s="47">
        <v>13680.91</v>
      </c>
    </row>
    <row r="1772" ht="14.25" customHeight="1">
      <c r="A1772" s="46">
        <v>44930.0</v>
      </c>
      <c r="B1772" s="9">
        <v>18230.65</v>
      </c>
      <c r="C1772" s="9">
        <v>18243.0</v>
      </c>
      <c r="D1772" s="9">
        <v>18020.6</v>
      </c>
      <c r="E1772" s="9">
        <v>18042.95</v>
      </c>
      <c r="F1772" s="9">
        <v>2.35162202E8</v>
      </c>
      <c r="G1772" s="47">
        <v>16687.71</v>
      </c>
    </row>
    <row r="1773" ht="14.25" customHeight="1">
      <c r="A1773" s="46">
        <v>44931.0</v>
      </c>
      <c r="B1773" s="9">
        <v>18101.95</v>
      </c>
      <c r="C1773" s="9">
        <v>18120.3</v>
      </c>
      <c r="D1773" s="9">
        <v>17892.6</v>
      </c>
      <c r="E1773" s="9">
        <v>17992.15</v>
      </c>
      <c r="F1773" s="9">
        <v>2.69949738E8</v>
      </c>
      <c r="G1773" s="47">
        <v>22108.53</v>
      </c>
    </row>
    <row r="1774" ht="14.25" customHeight="1">
      <c r="A1774" s="46">
        <v>44932.0</v>
      </c>
      <c r="B1774" s="9">
        <v>18008.05</v>
      </c>
      <c r="C1774" s="9">
        <v>18047.4</v>
      </c>
      <c r="D1774" s="9">
        <v>17795.55</v>
      </c>
      <c r="E1774" s="9">
        <v>17859.45</v>
      </c>
      <c r="F1774" s="9">
        <v>2.38220578E8</v>
      </c>
      <c r="G1774" s="47">
        <v>17495.25</v>
      </c>
    </row>
    <row r="1775" ht="14.25" customHeight="1">
      <c r="A1775" s="46">
        <v>44935.0</v>
      </c>
      <c r="B1775" s="9">
        <v>17952.55</v>
      </c>
      <c r="C1775" s="9">
        <v>18141.4</v>
      </c>
      <c r="D1775" s="9">
        <v>17936.15</v>
      </c>
      <c r="E1775" s="9">
        <v>18101.2</v>
      </c>
      <c r="F1775" s="9">
        <v>2.57237669E8</v>
      </c>
      <c r="G1775" s="47">
        <v>19916.16</v>
      </c>
    </row>
    <row r="1776" ht="14.25" customHeight="1">
      <c r="A1776" s="46">
        <v>44936.0</v>
      </c>
      <c r="B1776" s="9">
        <v>18121.3</v>
      </c>
      <c r="C1776" s="9">
        <v>18127.6</v>
      </c>
      <c r="D1776" s="9">
        <v>17856.0</v>
      </c>
      <c r="E1776" s="9">
        <v>17914.15</v>
      </c>
      <c r="F1776" s="9">
        <v>2.83277918E8</v>
      </c>
      <c r="G1776" s="47">
        <v>20570.3</v>
      </c>
    </row>
    <row r="1777" ht="14.25" customHeight="1">
      <c r="A1777" s="46">
        <v>44937.0</v>
      </c>
      <c r="B1777" s="9">
        <v>17924.25</v>
      </c>
      <c r="C1777" s="9">
        <v>17976.35</v>
      </c>
      <c r="D1777" s="9">
        <v>17824.35</v>
      </c>
      <c r="E1777" s="9">
        <v>17895.7</v>
      </c>
      <c r="F1777" s="9">
        <v>2.59853294E8</v>
      </c>
      <c r="G1777" s="47">
        <v>20204.33</v>
      </c>
    </row>
    <row r="1778" ht="14.25" customHeight="1">
      <c r="A1778" s="46">
        <v>44938.0</v>
      </c>
      <c r="B1778" s="9">
        <v>17920.85</v>
      </c>
      <c r="C1778" s="9">
        <v>17945.8</v>
      </c>
      <c r="D1778" s="9">
        <v>17761.65</v>
      </c>
      <c r="E1778" s="9">
        <v>17858.2</v>
      </c>
      <c r="F1778" s="9">
        <v>2.2776906E8</v>
      </c>
      <c r="G1778" s="47">
        <v>19762.43</v>
      </c>
    </row>
    <row r="1779" ht="14.25" customHeight="1">
      <c r="A1779" s="46">
        <v>44939.0</v>
      </c>
      <c r="B1779" s="9">
        <v>17867.5</v>
      </c>
      <c r="C1779" s="9">
        <v>17999.35</v>
      </c>
      <c r="D1779" s="9">
        <v>17774.25</v>
      </c>
      <c r="E1779" s="9">
        <v>17956.6</v>
      </c>
      <c r="F1779" s="9">
        <v>2.56700729E8</v>
      </c>
      <c r="G1779" s="47">
        <v>21341.7</v>
      </c>
    </row>
    <row r="1780" ht="14.25" customHeight="1">
      <c r="A1780" s="46">
        <v>44942.0</v>
      </c>
      <c r="B1780" s="9">
        <v>18033.15</v>
      </c>
      <c r="C1780" s="9">
        <v>18049.65</v>
      </c>
      <c r="D1780" s="9">
        <v>17853.65</v>
      </c>
      <c r="E1780" s="9">
        <v>17894.85</v>
      </c>
      <c r="F1780" s="9">
        <v>2.06195816E8</v>
      </c>
      <c r="G1780" s="47">
        <v>16728.37</v>
      </c>
    </row>
    <row r="1781" ht="14.25" customHeight="1">
      <c r="A1781" s="46">
        <v>44943.0</v>
      </c>
      <c r="B1781" s="9">
        <v>17922.8</v>
      </c>
      <c r="C1781" s="9">
        <v>18072.05</v>
      </c>
      <c r="D1781" s="9">
        <v>17886.95</v>
      </c>
      <c r="E1781" s="9">
        <v>18053.3</v>
      </c>
      <c r="F1781" s="9">
        <v>2.19055125E8</v>
      </c>
      <c r="G1781" s="47">
        <v>17461.09</v>
      </c>
    </row>
    <row r="1782" ht="14.25" customHeight="1">
      <c r="A1782" s="46">
        <v>44944.0</v>
      </c>
      <c r="B1782" s="9">
        <v>18074.3</v>
      </c>
      <c r="C1782" s="9">
        <v>18183.75</v>
      </c>
      <c r="D1782" s="9">
        <v>18032.45</v>
      </c>
      <c r="E1782" s="9">
        <v>18165.35</v>
      </c>
      <c r="F1782" s="9">
        <v>2.55840928E8</v>
      </c>
      <c r="G1782" s="47">
        <v>20500.07</v>
      </c>
    </row>
    <row r="1783" ht="14.25" customHeight="1">
      <c r="A1783" s="46">
        <v>44945.0</v>
      </c>
      <c r="B1783" s="9">
        <v>18119.8</v>
      </c>
      <c r="C1783" s="9">
        <v>18155.2</v>
      </c>
      <c r="D1783" s="9">
        <v>18063.75</v>
      </c>
      <c r="E1783" s="9">
        <v>18107.85</v>
      </c>
      <c r="F1783" s="9">
        <v>2.37833991E8</v>
      </c>
      <c r="G1783" s="47">
        <v>18413.13</v>
      </c>
    </row>
    <row r="1784" ht="14.25" customHeight="1">
      <c r="A1784" s="46">
        <v>44946.0</v>
      </c>
      <c r="B1784" s="9">
        <v>18115.6</v>
      </c>
      <c r="C1784" s="9">
        <v>18145.45</v>
      </c>
      <c r="D1784" s="9">
        <v>18016.2</v>
      </c>
      <c r="E1784" s="9">
        <v>18027.65</v>
      </c>
      <c r="F1784" s="9">
        <v>2.37225269E8</v>
      </c>
      <c r="G1784" s="47">
        <v>19519.96</v>
      </c>
    </row>
    <row r="1785" ht="14.25" customHeight="1">
      <c r="A1785" s="46">
        <v>44949.0</v>
      </c>
      <c r="B1785" s="9">
        <v>18118.45</v>
      </c>
      <c r="C1785" s="9">
        <v>18162.6</v>
      </c>
      <c r="D1785" s="9">
        <v>18063.45</v>
      </c>
      <c r="E1785" s="9">
        <v>18118.55</v>
      </c>
      <c r="F1785" s="9">
        <v>2.02460434E8</v>
      </c>
      <c r="G1785" s="47">
        <v>17060.12</v>
      </c>
    </row>
    <row r="1786" ht="14.25" customHeight="1">
      <c r="A1786" s="46">
        <v>44950.0</v>
      </c>
      <c r="B1786" s="9">
        <v>18183.95</v>
      </c>
      <c r="C1786" s="9">
        <v>18201.25</v>
      </c>
      <c r="D1786" s="9">
        <v>18078.65</v>
      </c>
      <c r="E1786" s="9">
        <v>18118.3</v>
      </c>
      <c r="F1786" s="9">
        <v>2.16910302E8</v>
      </c>
      <c r="G1786" s="47">
        <v>19705.91</v>
      </c>
    </row>
    <row r="1787" ht="14.25" customHeight="1">
      <c r="A1787" s="46">
        <v>44951.0</v>
      </c>
      <c r="B1787" s="9">
        <v>18093.35</v>
      </c>
      <c r="C1787" s="9">
        <v>18100.6</v>
      </c>
      <c r="D1787" s="9">
        <v>17846.15</v>
      </c>
      <c r="E1787" s="9">
        <v>17891.95</v>
      </c>
      <c r="F1787" s="9">
        <v>2.57227052E8</v>
      </c>
      <c r="G1787" s="47">
        <v>20890.56</v>
      </c>
    </row>
    <row r="1788" ht="14.25" customHeight="1">
      <c r="A1788" s="46">
        <v>44953.0</v>
      </c>
      <c r="B1788" s="9">
        <v>17877.2</v>
      </c>
      <c r="C1788" s="9">
        <v>17884.75</v>
      </c>
      <c r="D1788" s="9">
        <v>17493.55</v>
      </c>
      <c r="E1788" s="9">
        <v>17604.35</v>
      </c>
      <c r="F1788" s="9">
        <v>4.76342611E8</v>
      </c>
      <c r="G1788" s="47">
        <v>40104.83</v>
      </c>
    </row>
    <row r="1789" ht="14.25" customHeight="1">
      <c r="A1789" s="46">
        <v>44956.0</v>
      </c>
      <c r="B1789" s="9">
        <v>17541.95</v>
      </c>
      <c r="C1789" s="9">
        <v>17709.15</v>
      </c>
      <c r="D1789" s="9">
        <v>17405.55</v>
      </c>
      <c r="E1789" s="9">
        <v>17648.95</v>
      </c>
      <c r="F1789" s="9">
        <v>4.32434028E8</v>
      </c>
      <c r="G1789" s="47">
        <v>38159.88</v>
      </c>
    </row>
    <row r="1790" ht="14.25" customHeight="1">
      <c r="A1790" s="46">
        <v>44957.0</v>
      </c>
      <c r="B1790" s="9">
        <v>17731.45</v>
      </c>
      <c r="C1790" s="9">
        <v>17735.7</v>
      </c>
      <c r="D1790" s="9">
        <v>17537.55</v>
      </c>
      <c r="E1790" s="9">
        <v>17662.15</v>
      </c>
      <c r="F1790" s="9">
        <v>3.98338541E8</v>
      </c>
      <c r="G1790" s="47">
        <v>35023.7</v>
      </c>
    </row>
    <row r="1791" ht="14.25" customHeight="1">
      <c r="A1791" s="46">
        <v>44958.0</v>
      </c>
      <c r="B1791" s="9">
        <v>17811.6</v>
      </c>
      <c r="C1791" s="9">
        <v>17972.2</v>
      </c>
      <c r="D1791" s="9">
        <v>17353.4</v>
      </c>
      <c r="E1791" s="9">
        <v>17616.3</v>
      </c>
      <c r="F1791" s="9">
        <v>5.12870802E8</v>
      </c>
      <c r="G1791" s="47">
        <v>38486.19</v>
      </c>
    </row>
    <row r="1792" ht="14.25" customHeight="1">
      <c r="A1792" s="46">
        <v>44959.0</v>
      </c>
      <c r="B1792" s="9">
        <v>17517.1</v>
      </c>
      <c r="C1792" s="9">
        <v>17653.9</v>
      </c>
      <c r="D1792" s="9">
        <v>17445.95</v>
      </c>
      <c r="E1792" s="9">
        <v>17610.4</v>
      </c>
      <c r="F1792" s="9">
        <v>4.90113567E8</v>
      </c>
      <c r="G1792" s="47">
        <v>37639.96</v>
      </c>
    </row>
    <row r="1793" ht="14.25" customHeight="1">
      <c r="A1793" s="46">
        <v>44960.0</v>
      </c>
      <c r="B1793" s="9">
        <v>17721.75</v>
      </c>
      <c r="C1793" s="9">
        <v>17870.3</v>
      </c>
      <c r="D1793" s="9">
        <v>17584.2</v>
      </c>
      <c r="E1793" s="9">
        <v>17854.05</v>
      </c>
      <c r="F1793" s="9">
        <v>4.24123037E8</v>
      </c>
      <c r="G1793" s="47">
        <v>34503.67</v>
      </c>
    </row>
    <row r="1794" ht="14.25" customHeight="1">
      <c r="A1794" s="46">
        <v>44963.0</v>
      </c>
      <c r="B1794" s="9">
        <v>17818.55</v>
      </c>
      <c r="C1794" s="9">
        <v>17823.7</v>
      </c>
      <c r="D1794" s="9">
        <v>17698.35</v>
      </c>
      <c r="E1794" s="9">
        <v>17764.6</v>
      </c>
      <c r="F1794" s="9">
        <v>2.8254479E8</v>
      </c>
      <c r="G1794" s="47">
        <v>21864.88</v>
      </c>
    </row>
    <row r="1795" ht="14.25" customHeight="1">
      <c r="A1795" s="46">
        <v>44964.0</v>
      </c>
      <c r="B1795" s="9">
        <v>17790.1</v>
      </c>
      <c r="C1795" s="9">
        <v>17811.15</v>
      </c>
      <c r="D1795" s="9">
        <v>17652.55</v>
      </c>
      <c r="E1795" s="9">
        <v>17721.5</v>
      </c>
      <c r="F1795" s="9">
        <v>3.54395693E8</v>
      </c>
      <c r="G1795" s="47">
        <v>23611.08</v>
      </c>
    </row>
    <row r="1796" ht="14.25" customHeight="1">
      <c r="A1796" s="46">
        <v>44965.0</v>
      </c>
      <c r="B1796" s="9">
        <v>17750.3</v>
      </c>
      <c r="C1796" s="9">
        <v>17898.7</v>
      </c>
      <c r="D1796" s="9">
        <v>17744.15</v>
      </c>
      <c r="E1796" s="9">
        <v>17871.7</v>
      </c>
      <c r="F1796" s="9">
        <v>2.90994265E8</v>
      </c>
      <c r="G1796" s="47">
        <v>23733.4</v>
      </c>
    </row>
    <row r="1797" ht="14.25" customHeight="1">
      <c r="A1797" s="46">
        <v>44966.0</v>
      </c>
      <c r="B1797" s="9">
        <v>17885.5</v>
      </c>
      <c r="C1797" s="9">
        <v>17916.9</v>
      </c>
      <c r="D1797" s="9">
        <v>17779.8</v>
      </c>
      <c r="E1797" s="9">
        <v>17893.45</v>
      </c>
      <c r="F1797" s="9">
        <v>2.60854055E8</v>
      </c>
      <c r="G1797" s="47">
        <v>21529.97</v>
      </c>
    </row>
    <row r="1798" ht="14.25" customHeight="1">
      <c r="A1798" s="46">
        <v>44967.0</v>
      </c>
      <c r="B1798" s="9">
        <v>17847.55</v>
      </c>
      <c r="C1798" s="9">
        <v>17876.95</v>
      </c>
      <c r="D1798" s="9">
        <v>17801.0</v>
      </c>
      <c r="E1798" s="9">
        <v>17856.5</v>
      </c>
      <c r="F1798" s="9">
        <v>2.31991834E8</v>
      </c>
      <c r="G1798" s="47">
        <v>17063.99</v>
      </c>
    </row>
    <row r="1799" ht="14.25" customHeight="1">
      <c r="A1799" s="46">
        <v>44970.0</v>
      </c>
      <c r="B1799" s="9">
        <v>17859.1</v>
      </c>
      <c r="C1799" s="9">
        <v>17880.7</v>
      </c>
      <c r="D1799" s="9">
        <v>17719.75</v>
      </c>
      <c r="E1799" s="9">
        <v>17770.9</v>
      </c>
      <c r="F1799" s="9">
        <v>2.31276483E8</v>
      </c>
      <c r="G1799" s="47">
        <v>17406.31</v>
      </c>
    </row>
    <row r="1800" ht="14.25" customHeight="1">
      <c r="A1800" s="46">
        <v>44971.0</v>
      </c>
      <c r="B1800" s="9">
        <v>17840.35</v>
      </c>
      <c r="C1800" s="9">
        <v>17954.55</v>
      </c>
      <c r="D1800" s="9">
        <v>17800.05</v>
      </c>
      <c r="E1800" s="9">
        <v>17929.85</v>
      </c>
      <c r="F1800" s="9">
        <v>2.44512944E8</v>
      </c>
      <c r="G1800" s="47">
        <v>20579.8</v>
      </c>
    </row>
    <row r="1801" ht="14.25" customHeight="1">
      <c r="A1801" s="46">
        <v>44972.0</v>
      </c>
      <c r="B1801" s="9">
        <v>17896.6</v>
      </c>
      <c r="C1801" s="9">
        <v>18034.1</v>
      </c>
      <c r="D1801" s="9">
        <v>17853.8</v>
      </c>
      <c r="E1801" s="9">
        <v>18015.85</v>
      </c>
      <c r="F1801" s="9">
        <v>2.292738E8</v>
      </c>
      <c r="G1801" s="47">
        <v>21457.34</v>
      </c>
    </row>
    <row r="1802" ht="14.25" customHeight="1">
      <c r="A1802" s="46">
        <v>44973.0</v>
      </c>
      <c r="B1802" s="9">
        <v>18094.75</v>
      </c>
      <c r="C1802" s="9">
        <v>18134.75</v>
      </c>
      <c r="D1802" s="9">
        <v>18000.65</v>
      </c>
      <c r="E1802" s="9">
        <v>18035.85</v>
      </c>
      <c r="F1802" s="9">
        <v>2.30246175E8</v>
      </c>
      <c r="G1802" s="47">
        <v>18891.55</v>
      </c>
    </row>
    <row r="1803" ht="14.25" customHeight="1">
      <c r="A1803" s="46">
        <v>44974.0</v>
      </c>
      <c r="B1803" s="9">
        <v>17974.85</v>
      </c>
      <c r="C1803" s="9">
        <v>18034.25</v>
      </c>
      <c r="D1803" s="9">
        <v>17884.6</v>
      </c>
      <c r="E1803" s="9">
        <v>17944.2</v>
      </c>
      <c r="F1803" s="9">
        <v>2.08053929E8</v>
      </c>
      <c r="G1803" s="47">
        <v>16998.33</v>
      </c>
    </row>
    <row r="1804" ht="14.25" customHeight="1">
      <c r="A1804" s="46">
        <v>44977.0</v>
      </c>
      <c r="B1804" s="9">
        <v>17965.55</v>
      </c>
      <c r="C1804" s="9">
        <v>18004.35</v>
      </c>
      <c r="D1804" s="9">
        <v>17818.4</v>
      </c>
      <c r="E1804" s="9">
        <v>17844.6</v>
      </c>
      <c r="F1804" s="9">
        <v>1.74563233E8</v>
      </c>
      <c r="G1804" s="47">
        <v>14729.07</v>
      </c>
    </row>
    <row r="1805" ht="14.25" customHeight="1">
      <c r="A1805" s="46">
        <v>44978.0</v>
      </c>
      <c r="B1805" s="9">
        <v>17905.8</v>
      </c>
      <c r="C1805" s="9">
        <v>17924.9</v>
      </c>
      <c r="D1805" s="9">
        <v>17800.3</v>
      </c>
      <c r="E1805" s="9">
        <v>17826.7</v>
      </c>
      <c r="F1805" s="9">
        <v>1.98248205E8</v>
      </c>
      <c r="G1805" s="47">
        <v>15593.09</v>
      </c>
    </row>
    <row r="1806" ht="14.25" customHeight="1">
      <c r="A1806" s="46">
        <v>44979.0</v>
      </c>
      <c r="B1806" s="9">
        <v>17755.35</v>
      </c>
      <c r="C1806" s="9">
        <v>17772.5</v>
      </c>
      <c r="D1806" s="9">
        <v>17529.45</v>
      </c>
      <c r="E1806" s="9">
        <v>17554.3</v>
      </c>
      <c r="F1806" s="9">
        <v>2.04021979E8</v>
      </c>
      <c r="G1806" s="47">
        <v>17162.09</v>
      </c>
    </row>
    <row r="1807" ht="14.25" customHeight="1">
      <c r="A1807" s="46">
        <v>44980.0</v>
      </c>
      <c r="B1807" s="9">
        <v>17574.65</v>
      </c>
      <c r="C1807" s="9">
        <v>17620.05</v>
      </c>
      <c r="D1807" s="9">
        <v>17455.4</v>
      </c>
      <c r="E1807" s="9">
        <v>17511.25</v>
      </c>
      <c r="F1807" s="9">
        <v>2.40807918E8</v>
      </c>
      <c r="G1807" s="47">
        <v>19313.68</v>
      </c>
    </row>
    <row r="1808" ht="14.25" customHeight="1">
      <c r="A1808" s="46">
        <v>44981.0</v>
      </c>
      <c r="B1808" s="9">
        <v>17591.35</v>
      </c>
      <c r="C1808" s="9">
        <v>17599.75</v>
      </c>
      <c r="D1808" s="9">
        <v>17421.8</v>
      </c>
      <c r="E1808" s="9">
        <v>17465.8</v>
      </c>
      <c r="F1808" s="9">
        <v>2.09406363E8</v>
      </c>
      <c r="G1808" s="47">
        <v>16100.18</v>
      </c>
    </row>
    <row r="1809" ht="14.25" customHeight="1">
      <c r="A1809" s="46">
        <v>44984.0</v>
      </c>
      <c r="B1809" s="9">
        <v>17428.6</v>
      </c>
      <c r="C1809" s="9">
        <v>17451.6</v>
      </c>
      <c r="D1809" s="9">
        <v>17299.0</v>
      </c>
      <c r="E1809" s="9">
        <v>17392.7</v>
      </c>
      <c r="F1809" s="9">
        <v>2.46448847E8</v>
      </c>
      <c r="G1809" s="47">
        <v>16638.41</v>
      </c>
    </row>
    <row r="1810" ht="14.25" customHeight="1">
      <c r="A1810" s="46">
        <v>44985.0</v>
      </c>
      <c r="B1810" s="9">
        <v>17383.25</v>
      </c>
      <c r="C1810" s="9">
        <v>17440.45</v>
      </c>
      <c r="D1810" s="9">
        <v>17255.2</v>
      </c>
      <c r="E1810" s="9">
        <v>17303.95</v>
      </c>
      <c r="F1810" s="9">
        <v>4.20881259E8</v>
      </c>
      <c r="G1810" s="47">
        <v>32959.77</v>
      </c>
    </row>
    <row r="1811" ht="14.25" customHeight="1">
      <c r="A1811" s="46">
        <v>44986.0</v>
      </c>
      <c r="B1811" s="9">
        <v>17360.1</v>
      </c>
      <c r="C1811" s="9">
        <v>17467.75</v>
      </c>
      <c r="D1811" s="9">
        <v>17345.25</v>
      </c>
      <c r="E1811" s="9">
        <v>17450.9</v>
      </c>
      <c r="F1811" s="9">
        <v>2.72881409E8</v>
      </c>
      <c r="G1811" s="47">
        <v>19784.53</v>
      </c>
    </row>
    <row r="1812" ht="14.25" customHeight="1">
      <c r="A1812" s="46">
        <v>44987.0</v>
      </c>
      <c r="B1812" s="9">
        <v>17421.5</v>
      </c>
      <c r="C1812" s="9">
        <v>17445.8</v>
      </c>
      <c r="D1812" s="9">
        <v>17306.0</v>
      </c>
      <c r="E1812" s="9">
        <v>17321.9</v>
      </c>
      <c r="F1812" s="9">
        <v>3.10669094E8</v>
      </c>
      <c r="G1812" s="47">
        <v>22068.68</v>
      </c>
    </row>
    <row r="1813" ht="14.25" customHeight="1">
      <c r="A1813" s="46">
        <v>44988.0</v>
      </c>
      <c r="B1813" s="9">
        <v>17451.25</v>
      </c>
      <c r="C1813" s="9">
        <v>17644.75</v>
      </c>
      <c r="D1813" s="9">
        <v>17427.7</v>
      </c>
      <c r="E1813" s="9">
        <v>17594.35</v>
      </c>
      <c r="F1813" s="9">
        <v>3.56169518E8</v>
      </c>
      <c r="G1813" s="47">
        <v>24143.96</v>
      </c>
    </row>
    <row r="1814" ht="14.25" customHeight="1">
      <c r="A1814" s="46">
        <v>44991.0</v>
      </c>
      <c r="B1814" s="9">
        <v>17680.35</v>
      </c>
      <c r="C1814" s="9">
        <v>17799.95</v>
      </c>
      <c r="D1814" s="9">
        <v>17671.95</v>
      </c>
      <c r="E1814" s="9">
        <v>17711.45</v>
      </c>
      <c r="F1814" s="9">
        <v>3.62801096E8</v>
      </c>
      <c r="G1814" s="47">
        <v>26959.41</v>
      </c>
    </row>
    <row r="1815" ht="14.25" customHeight="1">
      <c r="A1815" s="46">
        <v>44993.0</v>
      </c>
      <c r="B1815" s="9">
        <v>17665.75</v>
      </c>
      <c r="C1815" s="9">
        <v>17766.5</v>
      </c>
      <c r="D1815" s="9">
        <v>17602.25</v>
      </c>
      <c r="E1815" s="9">
        <v>17754.4</v>
      </c>
      <c r="F1815" s="9">
        <v>2.67041402E8</v>
      </c>
      <c r="G1815" s="47">
        <v>23155.56</v>
      </c>
    </row>
    <row r="1816" ht="14.25" customHeight="1">
      <c r="A1816" s="46">
        <v>44994.0</v>
      </c>
      <c r="B1816" s="9">
        <v>17772.05</v>
      </c>
      <c r="C1816" s="9">
        <v>17772.35</v>
      </c>
      <c r="D1816" s="9">
        <v>17573.6</v>
      </c>
      <c r="E1816" s="9">
        <v>17589.6</v>
      </c>
      <c r="F1816" s="9">
        <v>2.62352056E8</v>
      </c>
      <c r="G1816" s="47">
        <v>21964.17</v>
      </c>
    </row>
    <row r="1817" ht="14.25" customHeight="1">
      <c r="A1817" s="46">
        <v>44995.0</v>
      </c>
      <c r="B1817" s="9">
        <v>17443.8</v>
      </c>
      <c r="C1817" s="9">
        <v>17451.5</v>
      </c>
      <c r="D1817" s="9">
        <v>17324.35</v>
      </c>
      <c r="E1817" s="9">
        <v>17412.9</v>
      </c>
      <c r="F1817" s="9">
        <v>2.3592757E8</v>
      </c>
      <c r="G1817" s="47">
        <v>19794.73</v>
      </c>
    </row>
    <row r="1818" ht="14.25" customHeight="1">
      <c r="A1818" s="46">
        <v>44998.0</v>
      </c>
      <c r="B1818" s="9">
        <v>17421.9</v>
      </c>
      <c r="C1818" s="9">
        <v>17529.9</v>
      </c>
      <c r="D1818" s="9">
        <v>17113.45</v>
      </c>
      <c r="E1818" s="9">
        <v>17154.3</v>
      </c>
      <c r="F1818" s="9">
        <v>2.54914657E8</v>
      </c>
      <c r="G1818" s="47">
        <v>22860.67</v>
      </c>
    </row>
    <row r="1819" ht="14.25" customHeight="1">
      <c r="A1819" s="46">
        <v>44999.0</v>
      </c>
      <c r="B1819" s="9">
        <v>17160.55</v>
      </c>
      <c r="C1819" s="9">
        <v>17224.65</v>
      </c>
      <c r="D1819" s="9">
        <v>16987.1</v>
      </c>
      <c r="E1819" s="9">
        <v>17043.3</v>
      </c>
      <c r="F1819" s="9">
        <v>2.906042E8</v>
      </c>
      <c r="G1819" s="47">
        <v>26057.6</v>
      </c>
    </row>
    <row r="1820" ht="14.25" customHeight="1">
      <c r="A1820" s="46">
        <v>45000.0</v>
      </c>
      <c r="B1820" s="9">
        <v>17166.45</v>
      </c>
      <c r="C1820" s="9">
        <v>17211.35</v>
      </c>
      <c r="D1820" s="9">
        <v>16938.9</v>
      </c>
      <c r="E1820" s="9">
        <v>16972.15</v>
      </c>
      <c r="F1820" s="9">
        <v>2.4818897E8</v>
      </c>
      <c r="G1820" s="47">
        <v>22659.09</v>
      </c>
    </row>
    <row r="1821" ht="14.25" customHeight="1">
      <c r="A1821" s="46">
        <v>45001.0</v>
      </c>
      <c r="B1821" s="9">
        <v>16994.65</v>
      </c>
      <c r="C1821" s="9">
        <v>17062.45</v>
      </c>
      <c r="D1821" s="9">
        <v>16850.15</v>
      </c>
      <c r="E1821" s="9">
        <v>16985.6</v>
      </c>
      <c r="F1821" s="9">
        <v>3.49820607E8</v>
      </c>
      <c r="G1821" s="47">
        <v>24198.71</v>
      </c>
    </row>
    <row r="1822" ht="14.25" customHeight="1">
      <c r="A1822" s="46">
        <v>45002.0</v>
      </c>
      <c r="B1822" s="9">
        <v>17111.8</v>
      </c>
      <c r="C1822" s="9">
        <v>17145.8</v>
      </c>
      <c r="D1822" s="9">
        <v>16958.15</v>
      </c>
      <c r="E1822" s="9">
        <v>17100.05</v>
      </c>
      <c r="F1822" s="9">
        <v>4.08121255E8</v>
      </c>
      <c r="G1822" s="47">
        <v>30478.42</v>
      </c>
    </row>
    <row r="1823" ht="14.25" customHeight="1">
      <c r="A1823" s="46">
        <v>45005.0</v>
      </c>
      <c r="B1823" s="9">
        <v>17066.6</v>
      </c>
      <c r="C1823" s="9">
        <v>17066.6</v>
      </c>
      <c r="D1823" s="9">
        <v>16828.35</v>
      </c>
      <c r="E1823" s="9">
        <v>16988.4</v>
      </c>
      <c r="F1823" s="9">
        <v>2.41777405E8</v>
      </c>
      <c r="G1823" s="47">
        <v>21454.09</v>
      </c>
    </row>
    <row r="1824" ht="14.25" customHeight="1">
      <c r="A1824" s="46">
        <v>45006.0</v>
      </c>
      <c r="B1824" s="9">
        <v>17060.4</v>
      </c>
      <c r="C1824" s="9">
        <v>17127.7</v>
      </c>
      <c r="D1824" s="9">
        <v>17016.0</v>
      </c>
      <c r="E1824" s="9">
        <v>17107.5</v>
      </c>
      <c r="F1824" s="9">
        <v>2.46737873E8</v>
      </c>
      <c r="G1824" s="47">
        <v>22039.11</v>
      </c>
    </row>
    <row r="1825" ht="14.25" customHeight="1">
      <c r="A1825" s="46">
        <v>45007.0</v>
      </c>
      <c r="B1825" s="9">
        <v>17177.45</v>
      </c>
      <c r="C1825" s="9">
        <v>17207.25</v>
      </c>
      <c r="D1825" s="9">
        <v>17107.85</v>
      </c>
      <c r="E1825" s="9">
        <v>17151.9</v>
      </c>
      <c r="F1825" s="9">
        <v>1.85700457E8</v>
      </c>
      <c r="G1825" s="47">
        <v>15712.0</v>
      </c>
    </row>
    <row r="1826" ht="14.25" customHeight="1">
      <c r="A1826" s="46">
        <v>45008.0</v>
      </c>
      <c r="B1826" s="9">
        <v>17097.4</v>
      </c>
      <c r="C1826" s="9">
        <v>17205.4</v>
      </c>
      <c r="D1826" s="9">
        <v>17045.3</v>
      </c>
      <c r="E1826" s="9">
        <v>17076.9</v>
      </c>
      <c r="F1826" s="9">
        <v>2.19171517E8</v>
      </c>
      <c r="G1826" s="47">
        <v>19676.97</v>
      </c>
    </row>
    <row r="1827" ht="14.25" customHeight="1">
      <c r="A1827" s="46">
        <v>45009.0</v>
      </c>
      <c r="B1827" s="9">
        <v>17076.2</v>
      </c>
      <c r="C1827" s="9">
        <v>17109.45</v>
      </c>
      <c r="D1827" s="9">
        <v>16917.35</v>
      </c>
      <c r="E1827" s="9">
        <v>16945.05</v>
      </c>
      <c r="F1827" s="9">
        <v>2.28038299E8</v>
      </c>
      <c r="G1827" s="47">
        <v>19019.88</v>
      </c>
    </row>
    <row r="1828" ht="14.25" customHeight="1">
      <c r="A1828" s="46">
        <v>45012.0</v>
      </c>
      <c r="B1828" s="9">
        <v>16984.3</v>
      </c>
      <c r="C1828" s="9">
        <v>17091.0</v>
      </c>
      <c r="D1828" s="9">
        <v>16918.55</v>
      </c>
      <c r="E1828" s="9">
        <v>16985.7</v>
      </c>
      <c r="F1828" s="9">
        <v>2.1841867E8</v>
      </c>
      <c r="G1828" s="47">
        <v>18466.56</v>
      </c>
    </row>
    <row r="1829" ht="14.25" customHeight="1">
      <c r="A1829" s="46">
        <v>45013.0</v>
      </c>
      <c r="B1829" s="9">
        <v>17031.75</v>
      </c>
      <c r="C1829" s="9">
        <v>17061.75</v>
      </c>
      <c r="D1829" s="9">
        <v>16913.75</v>
      </c>
      <c r="E1829" s="9">
        <v>16951.7</v>
      </c>
      <c r="F1829" s="9">
        <v>2.38840919E8</v>
      </c>
      <c r="G1829" s="47">
        <v>20942.5</v>
      </c>
    </row>
    <row r="1830" ht="14.25" customHeight="1">
      <c r="A1830" s="46">
        <v>45014.0</v>
      </c>
      <c r="B1830" s="9">
        <v>16977.3</v>
      </c>
      <c r="C1830" s="9">
        <v>17126.15</v>
      </c>
      <c r="D1830" s="9">
        <v>16940.6</v>
      </c>
      <c r="E1830" s="9">
        <v>17080.7</v>
      </c>
      <c r="F1830" s="9">
        <v>3.45911087E8</v>
      </c>
      <c r="G1830" s="47">
        <v>27261.74</v>
      </c>
    </row>
    <row r="1831" ht="14.25" customHeight="1">
      <c r="A1831" s="46">
        <v>45016.0</v>
      </c>
      <c r="B1831" s="9">
        <v>17210.35</v>
      </c>
      <c r="C1831" s="9">
        <v>17381.6</v>
      </c>
      <c r="D1831" s="9">
        <v>17204.65</v>
      </c>
      <c r="E1831" s="9">
        <v>17359.75</v>
      </c>
      <c r="F1831" s="9">
        <v>2.63889033E8</v>
      </c>
      <c r="G1831" s="47">
        <v>24970.98</v>
      </c>
    </row>
    <row r="1832" ht="14.25" customHeight="1">
      <c r="A1832" s="46">
        <v>45019.0</v>
      </c>
      <c r="B1832" s="9">
        <v>17427.95</v>
      </c>
      <c r="C1832" s="9">
        <v>17428.05</v>
      </c>
      <c r="D1832" s="9">
        <v>17312.75</v>
      </c>
      <c r="E1832" s="9">
        <v>17398.05</v>
      </c>
      <c r="F1832" s="9">
        <v>2.30170687E8</v>
      </c>
      <c r="G1832" s="47">
        <v>20359.58</v>
      </c>
    </row>
    <row r="1833" ht="14.25" customHeight="1">
      <c r="A1833" s="46">
        <v>45021.0</v>
      </c>
      <c r="B1833" s="9">
        <v>17422.3</v>
      </c>
      <c r="C1833" s="9">
        <v>17570.55</v>
      </c>
      <c r="D1833" s="9">
        <v>17402.7</v>
      </c>
      <c r="E1833" s="9">
        <v>17557.05</v>
      </c>
      <c r="F1833" s="9">
        <v>2.48345193E8</v>
      </c>
      <c r="G1833" s="47">
        <v>23911.75</v>
      </c>
    </row>
    <row r="1834" ht="14.25" customHeight="1">
      <c r="A1834" s="46">
        <v>45022.0</v>
      </c>
      <c r="B1834" s="9">
        <v>17533.85</v>
      </c>
      <c r="C1834" s="9">
        <v>17638.7</v>
      </c>
      <c r="D1834" s="9">
        <v>17502.85</v>
      </c>
      <c r="E1834" s="9">
        <v>17599.15</v>
      </c>
      <c r="F1834" s="9">
        <v>2.42708337E8</v>
      </c>
      <c r="G1834" s="47">
        <v>23543.21</v>
      </c>
    </row>
    <row r="1835" ht="14.25" customHeight="1">
      <c r="A1835" s="46">
        <v>45026.0</v>
      </c>
      <c r="B1835" s="9">
        <v>17634.9</v>
      </c>
      <c r="C1835" s="9">
        <v>17694.1</v>
      </c>
      <c r="D1835" s="9">
        <v>17597.95</v>
      </c>
      <c r="E1835" s="9">
        <v>17624.05</v>
      </c>
      <c r="F1835" s="9">
        <v>2.54819382E8</v>
      </c>
      <c r="G1835" s="47">
        <v>21092.06</v>
      </c>
    </row>
    <row r="1836" ht="14.25" customHeight="1">
      <c r="A1836" s="46">
        <v>45027.0</v>
      </c>
      <c r="B1836" s="9">
        <v>17704.8</v>
      </c>
      <c r="C1836" s="9">
        <v>17748.75</v>
      </c>
      <c r="D1836" s="9">
        <v>17655.15</v>
      </c>
      <c r="E1836" s="9">
        <v>17722.3</v>
      </c>
      <c r="F1836" s="9">
        <v>3.04263454E8</v>
      </c>
      <c r="G1836" s="47">
        <v>25841.64</v>
      </c>
    </row>
    <row r="1837" ht="14.25" customHeight="1">
      <c r="A1837" s="46">
        <v>45028.0</v>
      </c>
      <c r="B1837" s="9">
        <v>17759.55</v>
      </c>
      <c r="C1837" s="9">
        <v>17825.75</v>
      </c>
      <c r="D1837" s="9">
        <v>17717.25</v>
      </c>
      <c r="E1837" s="9">
        <v>17812.4</v>
      </c>
      <c r="F1837" s="9">
        <v>2.32816318E8</v>
      </c>
      <c r="G1837" s="47">
        <v>22851.93</v>
      </c>
    </row>
    <row r="1838" ht="14.25" customHeight="1">
      <c r="A1838" s="46">
        <v>45029.0</v>
      </c>
      <c r="B1838" s="9">
        <v>17807.3</v>
      </c>
      <c r="C1838" s="9">
        <v>17842.15</v>
      </c>
      <c r="D1838" s="9">
        <v>17729.65</v>
      </c>
      <c r="E1838" s="9">
        <v>17828.0</v>
      </c>
      <c r="F1838" s="9">
        <v>2.85764798E8</v>
      </c>
      <c r="G1838" s="47">
        <v>26460.2</v>
      </c>
    </row>
    <row r="1839" ht="14.25" customHeight="1">
      <c r="A1839" s="46">
        <v>45033.0</v>
      </c>
      <c r="B1839" s="9">
        <v>17863.0</v>
      </c>
      <c r="C1839" s="9">
        <v>17863.0</v>
      </c>
      <c r="D1839" s="9">
        <v>17574.05</v>
      </c>
      <c r="E1839" s="9">
        <v>17706.85</v>
      </c>
      <c r="F1839" s="9">
        <v>3.57401212E8</v>
      </c>
      <c r="G1839" s="47">
        <v>35118.57</v>
      </c>
    </row>
    <row r="1840" ht="14.25" customHeight="1">
      <c r="A1840" s="46">
        <v>45034.0</v>
      </c>
      <c r="B1840" s="9">
        <v>17766.6</v>
      </c>
      <c r="C1840" s="9">
        <v>17766.6</v>
      </c>
      <c r="D1840" s="9">
        <v>17610.2</v>
      </c>
      <c r="E1840" s="9">
        <v>17660.15</v>
      </c>
      <c r="F1840" s="9">
        <v>2.5885669E8</v>
      </c>
      <c r="G1840" s="47">
        <v>23032.99</v>
      </c>
    </row>
    <row r="1841" ht="14.25" customHeight="1">
      <c r="A1841" s="46">
        <v>45035.0</v>
      </c>
      <c r="B1841" s="9">
        <v>17653.35</v>
      </c>
      <c r="C1841" s="9">
        <v>17666.15</v>
      </c>
      <c r="D1841" s="9">
        <v>17579.85</v>
      </c>
      <c r="E1841" s="9">
        <v>17618.75</v>
      </c>
      <c r="F1841" s="9">
        <v>2.81463379E8</v>
      </c>
      <c r="G1841" s="47">
        <v>21562.08</v>
      </c>
    </row>
    <row r="1842" ht="14.25" customHeight="1">
      <c r="A1842" s="46">
        <v>45036.0</v>
      </c>
      <c r="B1842" s="9">
        <v>17638.6</v>
      </c>
      <c r="C1842" s="9">
        <v>17684.45</v>
      </c>
      <c r="D1842" s="9">
        <v>17584.35</v>
      </c>
      <c r="E1842" s="9">
        <v>17624.45</v>
      </c>
      <c r="F1842" s="9">
        <v>2.15103396E8</v>
      </c>
      <c r="G1842" s="47">
        <v>19457.45</v>
      </c>
    </row>
    <row r="1843" ht="14.25" customHeight="1">
      <c r="A1843" s="46">
        <v>45037.0</v>
      </c>
      <c r="B1843" s="9">
        <v>17639.75</v>
      </c>
      <c r="C1843" s="9">
        <v>17663.2</v>
      </c>
      <c r="D1843" s="9">
        <v>17553.95</v>
      </c>
      <c r="E1843" s="9">
        <v>17624.05</v>
      </c>
      <c r="F1843" s="9">
        <v>2.30156645E8</v>
      </c>
      <c r="G1843" s="47">
        <v>19091.44</v>
      </c>
    </row>
    <row r="1844" ht="14.25" customHeight="1">
      <c r="A1844" s="46">
        <v>45040.0</v>
      </c>
      <c r="B1844" s="9">
        <v>17707.55</v>
      </c>
      <c r="C1844" s="9">
        <v>17754.5</v>
      </c>
      <c r="D1844" s="9">
        <v>17612.5</v>
      </c>
      <c r="E1844" s="9">
        <v>17743.4</v>
      </c>
      <c r="F1844" s="9">
        <v>2.55740393E8</v>
      </c>
      <c r="G1844" s="47">
        <v>23142.94</v>
      </c>
    </row>
    <row r="1845" ht="14.25" customHeight="1">
      <c r="A1845" s="46">
        <v>45041.0</v>
      </c>
      <c r="B1845" s="9">
        <v>17761.55</v>
      </c>
      <c r="C1845" s="9">
        <v>17807.45</v>
      </c>
      <c r="D1845" s="9">
        <v>17716.85</v>
      </c>
      <c r="E1845" s="9">
        <v>17769.25</v>
      </c>
      <c r="F1845" s="9">
        <v>2.97445999E8</v>
      </c>
      <c r="G1845" s="47">
        <v>28819.53</v>
      </c>
    </row>
    <row r="1846" ht="14.25" customHeight="1">
      <c r="A1846" s="46">
        <v>45042.0</v>
      </c>
      <c r="B1846" s="9">
        <v>17767.3</v>
      </c>
      <c r="C1846" s="9">
        <v>17827.75</v>
      </c>
      <c r="D1846" s="9">
        <v>17711.2</v>
      </c>
      <c r="E1846" s="9">
        <v>17813.6</v>
      </c>
      <c r="F1846" s="9">
        <v>2.33008677E8</v>
      </c>
      <c r="G1846" s="47">
        <v>21295.14</v>
      </c>
    </row>
    <row r="1847" ht="14.25" customHeight="1">
      <c r="A1847" s="46">
        <v>45043.0</v>
      </c>
      <c r="B1847" s="9">
        <v>17813.1</v>
      </c>
      <c r="C1847" s="9">
        <v>17931.6</v>
      </c>
      <c r="D1847" s="9">
        <v>17797.9</v>
      </c>
      <c r="E1847" s="9">
        <v>17915.05</v>
      </c>
      <c r="F1847" s="9">
        <v>2.4143466E8</v>
      </c>
      <c r="G1847" s="47">
        <v>24454.15</v>
      </c>
    </row>
    <row r="1848" ht="14.25" customHeight="1">
      <c r="A1848" s="46">
        <v>45044.0</v>
      </c>
      <c r="B1848" s="9">
        <v>17950.4</v>
      </c>
      <c r="C1848" s="9">
        <v>18089.15</v>
      </c>
      <c r="D1848" s="9">
        <v>17885.3</v>
      </c>
      <c r="E1848" s="9">
        <v>18065.0</v>
      </c>
      <c r="F1848" s="9">
        <v>2.90263674E8</v>
      </c>
      <c r="G1848" s="47">
        <v>27026.12</v>
      </c>
    </row>
    <row r="1849" ht="14.25" customHeight="1">
      <c r="A1849" s="46">
        <v>45048.0</v>
      </c>
      <c r="B1849" s="9">
        <v>18124.8</v>
      </c>
      <c r="C1849" s="9">
        <v>18180.25</v>
      </c>
      <c r="D1849" s="9">
        <v>18101.75</v>
      </c>
      <c r="E1849" s="9">
        <v>18147.65</v>
      </c>
      <c r="F1849" s="9">
        <v>2.65216308E8</v>
      </c>
      <c r="G1849" s="47">
        <v>23615.47</v>
      </c>
    </row>
    <row r="1850" ht="14.25" customHeight="1">
      <c r="A1850" s="46">
        <v>45049.0</v>
      </c>
      <c r="B1850" s="9">
        <v>18113.8</v>
      </c>
      <c r="C1850" s="9">
        <v>18116.35</v>
      </c>
      <c r="D1850" s="9">
        <v>18042.4</v>
      </c>
      <c r="E1850" s="9">
        <v>18089.85</v>
      </c>
      <c r="F1850" s="9">
        <v>2.26171254E8</v>
      </c>
      <c r="G1850" s="47">
        <v>19079.79</v>
      </c>
    </row>
    <row r="1851" ht="14.25" customHeight="1">
      <c r="A1851" s="46">
        <v>45050.0</v>
      </c>
      <c r="B1851" s="9">
        <v>18081.0</v>
      </c>
      <c r="C1851" s="9">
        <v>18267.45</v>
      </c>
      <c r="D1851" s="9">
        <v>18066.7</v>
      </c>
      <c r="E1851" s="9">
        <v>18255.8</v>
      </c>
      <c r="F1851" s="9">
        <v>2.26643581E8</v>
      </c>
      <c r="G1851" s="47">
        <v>21889.48</v>
      </c>
    </row>
    <row r="1852" ht="14.25" customHeight="1">
      <c r="A1852" s="46">
        <v>45051.0</v>
      </c>
      <c r="B1852" s="9">
        <v>18117.3</v>
      </c>
      <c r="C1852" s="9">
        <v>18216.95</v>
      </c>
      <c r="D1852" s="9">
        <v>18055.45</v>
      </c>
      <c r="E1852" s="9">
        <v>18069.0</v>
      </c>
      <c r="F1852" s="9">
        <v>2.39702311E8</v>
      </c>
      <c r="G1852" s="47">
        <v>26152.88</v>
      </c>
    </row>
    <row r="1853" ht="14.25" customHeight="1">
      <c r="A1853" s="46">
        <v>45054.0</v>
      </c>
      <c r="B1853" s="9">
        <v>18120.6</v>
      </c>
      <c r="C1853" s="9">
        <v>18286.95</v>
      </c>
      <c r="D1853" s="9">
        <v>18100.3</v>
      </c>
      <c r="E1853" s="9">
        <v>18264.4</v>
      </c>
      <c r="F1853" s="9">
        <v>2.28399379E8</v>
      </c>
      <c r="G1853" s="47">
        <v>22687.94</v>
      </c>
    </row>
    <row r="1854" ht="14.25" customHeight="1">
      <c r="A1854" s="46">
        <v>45055.0</v>
      </c>
      <c r="B1854" s="9">
        <v>18303.4</v>
      </c>
      <c r="C1854" s="9">
        <v>18344.2</v>
      </c>
      <c r="D1854" s="9">
        <v>18229.65</v>
      </c>
      <c r="E1854" s="9">
        <v>18265.95</v>
      </c>
      <c r="F1854" s="9">
        <v>2.45368649E8</v>
      </c>
      <c r="G1854" s="47">
        <v>23478.06</v>
      </c>
    </row>
    <row r="1855" ht="14.25" customHeight="1">
      <c r="A1855" s="46">
        <v>45056.0</v>
      </c>
      <c r="B1855" s="9">
        <v>18313.6</v>
      </c>
      <c r="C1855" s="9">
        <v>18326.75</v>
      </c>
      <c r="D1855" s="9">
        <v>18211.95</v>
      </c>
      <c r="E1855" s="9">
        <v>18315.1</v>
      </c>
      <c r="F1855" s="9">
        <v>2.20450874E8</v>
      </c>
      <c r="G1855" s="47">
        <v>21416.41</v>
      </c>
    </row>
    <row r="1856" ht="14.25" customHeight="1">
      <c r="A1856" s="46">
        <v>45057.0</v>
      </c>
      <c r="B1856" s="9">
        <v>18357.8</v>
      </c>
      <c r="C1856" s="9">
        <v>18389.7</v>
      </c>
      <c r="D1856" s="9">
        <v>18270.4</v>
      </c>
      <c r="E1856" s="9">
        <v>18297.0</v>
      </c>
      <c r="F1856" s="9">
        <v>2.48932544E8</v>
      </c>
      <c r="G1856" s="47">
        <v>26440.1</v>
      </c>
    </row>
    <row r="1857" ht="14.25" customHeight="1">
      <c r="A1857" s="46">
        <v>45058.0</v>
      </c>
      <c r="B1857" s="9">
        <v>18273.75</v>
      </c>
      <c r="C1857" s="9">
        <v>18342.75</v>
      </c>
      <c r="D1857" s="9">
        <v>18194.55</v>
      </c>
      <c r="E1857" s="9">
        <v>18314.8</v>
      </c>
      <c r="F1857" s="9">
        <v>2.41702589E8</v>
      </c>
      <c r="G1857" s="47">
        <v>22046.04</v>
      </c>
    </row>
    <row r="1858" ht="14.25" customHeight="1">
      <c r="A1858" s="46">
        <v>45061.0</v>
      </c>
      <c r="B1858" s="9">
        <v>18339.3</v>
      </c>
      <c r="C1858" s="9">
        <v>18458.9</v>
      </c>
      <c r="D1858" s="9">
        <v>18287.9</v>
      </c>
      <c r="E1858" s="9">
        <v>18398.85</v>
      </c>
      <c r="F1858" s="9">
        <v>2.16088535E8</v>
      </c>
      <c r="G1858" s="47">
        <v>19329.75</v>
      </c>
    </row>
    <row r="1859" ht="14.25" customHeight="1">
      <c r="A1859" s="46">
        <v>45062.0</v>
      </c>
      <c r="B1859" s="9">
        <v>18432.35</v>
      </c>
      <c r="C1859" s="9">
        <v>18432.35</v>
      </c>
      <c r="D1859" s="9">
        <v>18264.35</v>
      </c>
      <c r="E1859" s="9">
        <v>18286.5</v>
      </c>
      <c r="F1859" s="9">
        <v>2.19490491E8</v>
      </c>
      <c r="G1859" s="47">
        <v>21063.78</v>
      </c>
    </row>
    <row r="1860" ht="14.25" customHeight="1">
      <c r="A1860" s="46">
        <v>45063.0</v>
      </c>
      <c r="B1860" s="9">
        <v>18300.45</v>
      </c>
      <c r="C1860" s="9">
        <v>18309.0</v>
      </c>
      <c r="D1860" s="9">
        <v>18115.35</v>
      </c>
      <c r="E1860" s="9">
        <v>18181.75</v>
      </c>
      <c r="F1860" s="9">
        <v>2.2989851E8</v>
      </c>
      <c r="G1860" s="47">
        <v>20903.12</v>
      </c>
    </row>
    <row r="1861" ht="14.25" customHeight="1">
      <c r="A1861" s="46">
        <v>45064.0</v>
      </c>
      <c r="B1861" s="9">
        <v>18287.5</v>
      </c>
      <c r="C1861" s="9">
        <v>18297.2</v>
      </c>
      <c r="D1861" s="9">
        <v>18104.85</v>
      </c>
      <c r="E1861" s="9">
        <v>18129.95</v>
      </c>
      <c r="F1861" s="9">
        <v>2.72103515E8</v>
      </c>
      <c r="G1861" s="47">
        <v>24172.44</v>
      </c>
    </row>
    <row r="1862" ht="14.25" customHeight="1">
      <c r="A1862" s="46">
        <v>45065.0</v>
      </c>
      <c r="B1862" s="9">
        <v>18186.15</v>
      </c>
      <c r="C1862" s="9">
        <v>18218.1</v>
      </c>
      <c r="D1862" s="9">
        <v>18060.4</v>
      </c>
      <c r="E1862" s="9">
        <v>18203.4</v>
      </c>
      <c r="F1862" s="9">
        <v>2.60898407E8</v>
      </c>
      <c r="G1862" s="47">
        <v>22105.67</v>
      </c>
    </row>
    <row r="1863" ht="14.25" customHeight="1">
      <c r="A1863" s="46">
        <v>45068.0</v>
      </c>
      <c r="B1863" s="9">
        <v>18201.1</v>
      </c>
      <c r="C1863" s="9">
        <v>18335.25</v>
      </c>
      <c r="D1863" s="9">
        <v>18178.85</v>
      </c>
      <c r="E1863" s="9">
        <v>18314.4</v>
      </c>
      <c r="F1863" s="9">
        <v>2.62560942E8</v>
      </c>
      <c r="G1863" s="47">
        <v>25147.58</v>
      </c>
    </row>
    <row r="1864" ht="14.25" customHeight="1">
      <c r="A1864" s="46">
        <v>45069.0</v>
      </c>
      <c r="B1864" s="9">
        <v>18362.9</v>
      </c>
      <c r="C1864" s="9">
        <v>18419.75</v>
      </c>
      <c r="D1864" s="9">
        <v>18324.2</v>
      </c>
      <c r="E1864" s="9">
        <v>18348.0</v>
      </c>
      <c r="F1864" s="9">
        <v>2.70354216E8</v>
      </c>
      <c r="G1864" s="47">
        <v>28648.15</v>
      </c>
    </row>
    <row r="1865" ht="14.25" customHeight="1">
      <c r="A1865" s="46">
        <v>45070.0</v>
      </c>
      <c r="B1865" s="9">
        <v>18294.8</v>
      </c>
      <c r="C1865" s="9">
        <v>18392.6</v>
      </c>
      <c r="D1865" s="9">
        <v>18262.95</v>
      </c>
      <c r="E1865" s="9">
        <v>18285.4</v>
      </c>
      <c r="F1865" s="9">
        <v>2.32621507E8</v>
      </c>
      <c r="G1865" s="47">
        <v>24273.17</v>
      </c>
    </row>
    <row r="1866" ht="14.25" customHeight="1">
      <c r="A1866" s="46">
        <v>45071.0</v>
      </c>
      <c r="B1866" s="9">
        <v>18268.9</v>
      </c>
      <c r="C1866" s="9">
        <v>18338.1</v>
      </c>
      <c r="D1866" s="9">
        <v>18202.4</v>
      </c>
      <c r="E1866" s="9">
        <v>18321.15</v>
      </c>
      <c r="F1866" s="9">
        <v>2.35915651E8</v>
      </c>
      <c r="G1866" s="47">
        <v>22411.41</v>
      </c>
    </row>
    <row r="1867" ht="14.25" customHeight="1">
      <c r="A1867" s="46">
        <v>45072.0</v>
      </c>
      <c r="B1867" s="9">
        <v>18368.35</v>
      </c>
      <c r="C1867" s="9">
        <v>18508.55</v>
      </c>
      <c r="D1867" s="9">
        <v>18333.15</v>
      </c>
      <c r="E1867" s="9">
        <v>18499.35</v>
      </c>
      <c r="F1867" s="9">
        <v>1.98668359E8</v>
      </c>
      <c r="G1867" s="47">
        <v>19094.08</v>
      </c>
    </row>
    <row r="1868" ht="14.25" customHeight="1">
      <c r="A1868" s="46">
        <v>45075.0</v>
      </c>
      <c r="B1868" s="9">
        <v>18619.15</v>
      </c>
      <c r="C1868" s="9">
        <v>18641.2</v>
      </c>
      <c r="D1868" s="9">
        <v>18581.25</v>
      </c>
      <c r="E1868" s="9">
        <v>18598.65</v>
      </c>
      <c r="F1868" s="9">
        <v>2.65323978E8</v>
      </c>
      <c r="G1868" s="47">
        <v>19237.57</v>
      </c>
    </row>
    <row r="1869" ht="14.25" customHeight="1">
      <c r="A1869" s="46">
        <v>45076.0</v>
      </c>
      <c r="B1869" s="9">
        <v>18606.65</v>
      </c>
      <c r="C1869" s="9">
        <v>18662.45</v>
      </c>
      <c r="D1869" s="9">
        <v>18575.5</v>
      </c>
      <c r="E1869" s="9">
        <v>18633.85</v>
      </c>
      <c r="F1869" s="9">
        <v>2.34391323E8</v>
      </c>
      <c r="G1869" s="47">
        <v>21660.69</v>
      </c>
    </row>
    <row r="1870" ht="14.25" customHeight="1">
      <c r="A1870" s="46">
        <v>45077.0</v>
      </c>
      <c r="B1870" s="9">
        <v>18594.2</v>
      </c>
      <c r="C1870" s="9">
        <v>18603.9</v>
      </c>
      <c r="D1870" s="9">
        <v>18483.85</v>
      </c>
      <c r="E1870" s="9">
        <v>18534.4</v>
      </c>
      <c r="F1870" s="9">
        <v>6.96495765E8</v>
      </c>
      <c r="G1870" s="47">
        <v>70755.08</v>
      </c>
    </row>
    <row r="1871" ht="14.25" customHeight="1">
      <c r="A1871" s="46">
        <v>45078.0</v>
      </c>
      <c r="B1871" s="9">
        <v>18579.4</v>
      </c>
      <c r="C1871" s="9">
        <v>18580.3</v>
      </c>
      <c r="D1871" s="9">
        <v>18464.55</v>
      </c>
      <c r="E1871" s="9">
        <v>18487.75</v>
      </c>
      <c r="F1871" s="9">
        <v>2.65630759E8</v>
      </c>
      <c r="G1871" s="47">
        <v>24056.99</v>
      </c>
    </row>
    <row r="1872" ht="14.25" customHeight="1">
      <c r="A1872" s="46">
        <v>45079.0</v>
      </c>
      <c r="B1872" s="9">
        <v>18550.85</v>
      </c>
      <c r="C1872" s="9">
        <v>18573.7</v>
      </c>
      <c r="D1872" s="9">
        <v>18478.4</v>
      </c>
      <c r="E1872" s="9">
        <v>18534.1</v>
      </c>
      <c r="F1872" s="9">
        <v>2.70923679E8</v>
      </c>
      <c r="G1872" s="47">
        <v>23171.88</v>
      </c>
    </row>
    <row r="1873" ht="14.25" customHeight="1">
      <c r="A1873" s="46">
        <v>45082.0</v>
      </c>
      <c r="B1873" s="9">
        <v>18612.0</v>
      </c>
      <c r="C1873" s="9">
        <v>18640.15</v>
      </c>
      <c r="D1873" s="9">
        <v>18582.8</v>
      </c>
      <c r="E1873" s="9">
        <v>18593.85</v>
      </c>
      <c r="F1873" s="9">
        <v>2.56111496E8</v>
      </c>
      <c r="G1873" s="47">
        <v>20369.16</v>
      </c>
    </row>
    <row r="1874" ht="14.25" customHeight="1">
      <c r="A1874" s="46">
        <v>45083.0</v>
      </c>
      <c r="B1874" s="9">
        <v>18600.8</v>
      </c>
      <c r="C1874" s="9">
        <v>18622.75</v>
      </c>
      <c r="D1874" s="9">
        <v>18531.6</v>
      </c>
      <c r="E1874" s="9">
        <v>18599.0</v>
      </c>
      <c r="F1874" s="9">
        <v>2.20789926E8</v>
      </c>
      <c r="G1874" s="47">
        <v>21957.47</v>
      </c>
    </row>
    <row r="1875" ht="14.25" customHeight="1">
      <c r="A1875" s="46">
        <v>45084.0</v>
      </c>
      <c r="B1875" s="9">
        <v>18665.6</v>
      </c>
      <c r="C1875" s="9">
        <v>18738.95</v>
      </c>
      <c r="D1875" s="9">
        <v>18636.0</v>
      </c>
      <c r="E1875" s="9">
        <v>18726.4</v>
      </c>
      <c r="F1875" s="9">
        <v>2.60109671E8</v>
      </c>
      <c r="G1875" s="47">
        <v>21482.77</v>
      </c>
    </row>
    <row r="1876" ht="14.25" customHeight="1">
      <c r="A1876" s="46">
        <v>45085.0</v>
      </c>
      <c r="B1876" s="9">
        <v>18725.35</v>
      </c>
      <c r="C1876" s="9">
        <v>18777.9</v>
      </c>
      <c r="D1876" s="9">
        <v>18615.6</v>
      </c>
      <c r="E1876" s="9">
        <v>18634.55</v>
      </c>
      <c r="F1876" s="9">
        <v>2.86468927E8</v>
      </c>
      <c r="G1876" s="47">
        <v>22762.3</v>
      </c>
    </row>
    <row r="1877" ht="14.25" customHeight="1">
      <c r="A1877" s="46">
        <v>45086.0</v>
      </c>
      <c r="B1877" s="9">
        <v>18655.9</v>
      </c>
      <c r="C1877" s="9">
        <v>18676.65</v>
      </c>
      <c r="D1877" s="9">
        <v>18555.4</v>
      </c>
      <c r="E1877" s="9">
        <v>18563.4</v>
      </c>
      <c r="F1877" s="9">
        <v>2.21760885E8</v>
      </c>
      <c r="G1877" s="47">
        <v>20181.42</v>
      </c>
    </row>
    <row r="1878" ht="14.25" customHeight="1">
      <c r="A1878" s="46">
        <v>45089.0</v>
      </c>
      <c r="B1878" s="9">
        <v>18595.05</v>
      </c>
      <c r="C1878" s="9">
        <v>18633.6</v>
      </c>
      <c r="D1878" s="9">
        <v>18559.75</v>
      </c>
      <c r="E1878" s="9">
        <v>18601.5</v>
      </c>
      <c r="F1878" s="9">
        <v>1.79463966E8</v>
      </c>
      <c r="G1878" s="47">
        <v>15386.04</v>
      </c>
    </row>
    <row r="1879" ht="14.25" customHeight="1">
      <c r="A1879" s="46">
        <v>45090.0</v>
      </c>
      <c r="B1879" s="9">
        <v>18631.8</v>
      </c>
      <c r="C1879" s="9">
        <v>18728.9</v>
      </c>
      <c r="D1879" s="9">
        <v>18631.8</v>
      </c>
      <c r="E1879" s="9">
        <v>18716.15</v>
      </c>
      <c r="F1879" s="9">
        <v>2.33167883E8</v>
      </c>
      <c r="G1879" s="47">
        <v>22612.62</v>
      </c>
    </row>
    <row r="1880" ht="14.25" customHeight="1">
      <c r="A1880" s="46">
        <v>45091.0</v>
      </c>
      <c r="B1880" s="9">
        <v>18744.6</v>
      </c>
      <c r="C1880" s="9">
        <v>18769.7</v>
      </c>
      <c r="D1880" s="9">
        <v>18690.0</v>
      </c>
      <c r="E1880" s="9">
        <v>18755.9</v>
      </c>
      <c r="F1880" s="9">
        <v>2.61354575E8</v>
      </c>
      <c r="G1880" s="47">
        <v>19520.08</v>
      </c>
    </row>
    <row r="1881" ht="14.25" customHeight="1">
      <c r="A1881" s="46">
        <v>45092.0</v>
      </c>
      <c r="B1881" s="9">
        <v>18774.45</v>
      </c>
      <c r="C1881" s="9">
        <v>18794.1</v>
      </c>
      <c r="D1881" s="9">
        <v>18669.05</v>
      </c>
      <c r="E1881" s="9">
        <v>18688.1</v>
      </c>
      <c r="F1881" s="9">
        <v>2.63004991E8</v>
      </c>
      <c r="G1881" s="47">
        <v>24820.77</v>
      </c>
    </row>
    <row r="1882" ht="14.25" customHeight="1">
      <c r="A1882" s="46">
        <v>45093.0</v>
      </c>
      <c r="B1882" s="9">
        <v>18723.3</v>
      </c>
      <c r="C1882" s="9">
        <v>18864.7</v>
      </c>
      <c r="D1882" s="9">
        <v>18710.5</v>
      </c>
      <c r="E1882" s="9">
        <v>18826.0</v>
      </c>
      <c r="F1882" s="9">
        <v>2.72771256E8</v>
      </c>
      <c r="G1882" s="47">
        <v>28877.67</v>
      </c>
    </row>
    <row r="1883" ht="14.25" customHeight="1">
      <c r="A1883" s="46">
        <v>45096.0</v>
      </c>
      <c r="B1883" s="9">
        <v>18873.3</v>
      </c>
      <c r="C1883" s="9">
        <v>18881.45</v>
      </c>
      <c r="D1883" s="9">
        <v>18719.15</v>
      </c>
      <c r="E1883" s="9">
        <v>18755.45</v>
      </c>
      <c r="F1883" s="9">
        <v>2.19815214E8</v>
      </c>
      <c r="G1883" s="47">
        <v>22699.84</v>
      </c>
    </row>
    <row r="1884" ht="14.25" customHeight="1">
      <c r="A1884" s="46">
        <v>45097.0</v>
      </c>
      <c r="B1884" s="9">
        <v>18752.35</v>
      </c>
      <c r="C1884" s="9">
        <v>18839.7</v>
      </c>
      <c r="D1884" s="9">
        <v>18660.65</v>
      </c>
      <c r="E1884" s="9">
        <v>18816.7</v>
      </c>
      <c r="F1884" s="9">
        <v>2.11649257E8</v>
      </c>
      <c r="G1884" s="47">
        <v>19687.08</v>
      </c>
    </row>
    <row r="1885" ht="14.25" customHeight="1">
      <c r="A1885" s="46">
        <v>45098.0</v>
      </c>
      <c r="B1885" s="9">
        <v>18849.4</v>
      </c>
      <c r="C1885" s="9">
        <v>18875.9</v>
      </c>
      <c r="D1885" s="9">
        <v>18794.85</v>
      </c>
      <c r="E1885" s="9">
        <v>18856.85</v>
      </c>
      <c r="F1885" s="9">
        <v>2.17481345E8</v>
      </c>
      <c r="G1885" s="47">
        <v>19102.48</v>
      </c>
    </row>
    <row r="1886" ht="14.25" customHeight="1">
      <c r="A1886" s="46">
        <v>45099.0</v>
      </c>
      <c r="B1886" s="9">
        <v>18853.6</v>
      </c>
      <c r="C1886" s="9">
        <v>18886.6</v>
      </c>
      <c r="D1886" s="9">
        <v>18759.5</v>
      </c>
      <c r="E1886" s="9">
        <v>18771.25</v>
      </c>
      <c r="F1886" s="9">
        <v>2.52697871E8</v>
      </c>
      <c r="G1886" s="47">
        <v>24990.87</v>
      </c>
    </row>
    <row r="1887" ht="14.25" customHeight="1">
      <c r="A1887" s="46">
        <v>45100.0</v>
      </c>
      <c r="B1887" s="9">
        <v>18741.85</v>
      </c>
      <c r="C1887" s="9">
        <v>18756.4</v>
      </c>
      <c r="D1887" s="9">
        <v>18647.1</v>
      </c>
      <c r="E1887" s="9">
        <v>18665.5</v>
      </c>
      <c r="F1887" s="9">
        <v>2.10562119E8</v>
      </c>
      <c r="G1887" s="47">
        <v>20619.6</v>
      </c>
    </row>
    <row r="1888" ht="14.25" customHeight="1">
      <c r="A1888" s="46">
        <v>45103.0</v>
      </c>
      <c r="B1888" s="9">
        <v>18682.35</v>
      </c>
      <c r="C1888" s="9">
        <v>18722.05</v>
      </c>
      <c r="D1888" s="9">
        <v>18646.7</v>
      </c>
      <c r="E1888" s="9">
        <v>18691.2</v>
      </c>
      <c r="F1888" s="9">
        <v>1.71271325E8</v>
      </c>
      <c r="G1888" s="47">
        <v>17355.14</v>
      </c>
    </row>
    <row r="1889" ht="14.25" customHeight="1">
      <c r="A1889" s="46">
        <v>45104.0</v>
      </c>
      <c r="B1889" s="9">
        <v>18748.55</v>
      </c>
      <c r="C1889" s="9">
        <v>18829.25</v>
      </c>
      <c r="D1889" s="9">
        <v>18714.25</v>
      </c>
      <c r="E1889" s="9">
        <v>18817.4</v>
      </c>
      <c r="F1889" s="9">
        <v>2.22464605E8</v>
      </c>
      <c r="G1889" s="47">
        <v>21415.89</v>
      </c>
    </row>
    <row r="1890" ht="14.25" customHeight="1">
      <c r="A1890" s="46">
        <v>45105.0</v>
      </c>
      <c r="B1890" s="9">
        <v>18908.15</v>
      </c>
      <c r="C1890" s="9">
        <v>19011.25</v>
      </c>
      <c r="D1890" s="9">
        <v>18861.35</v>
      </c>
      <c r="E1890" s="9">
        <v>18972.1</v>
      </c>
      <c r="F1890" s="9">
        <v>3.98782019E8</v>
      </c>
      <c r="G1890" s="47">
        <v>37356.94</v>
      </c>
    </row>
    <row r="1891" ht="14.25" customHeight="1">
      <c r="A1891" s="46">
        <v>45107.0</v>
      </c>
      <c r="B1891" s="9">
        <v>19076.85</v>
      </c>
      <c r="C1891" s="9">
        <v>19201.7</v>
      </c>
      <c r="D1891" s="9">
        <v>19024.6</v>
      </c>
      <c r="E1891" s="9">
        <v>19189.05</v>
      </c>
      <c r="F1891" s="9">
        <v>2.47906587E8</v>
      </c>
      <c r="G1891" s="47">
        <v>26376.62</v>
      </c>
    </row>
    <row r="1892" ht="14.25" customHeight="1">
      <c r="A1892" s="46">
        <v>45110.0</v>
      </c>
      <c r="B1892" s="9">
        <v>19246.5</v>
      </c>
      <c r="C1892" s="9">
        <v>19345.1</v>
      </c>
      <c r="D1892" s="9">
        <v>19234.4</v>
      </c>
      <c r="E1892" s="9">
        <v>19322.55</v>
      </c>
      <c r="F1892" s="9">
        <v>2.26050219E8</v>
      </c>
      <c r="G1892" s="47">
        <v>22681.54</v>
      </c>
    </row>
    <row r="1893" ht="14.25" customHeight="1">
      <c r="A1893" s="46">
        <v>45111.0</v>
      </c>
      <c r="B1893" s="9">
        <v>19406.6</v>
      </c>
      <c r="C1893" s="9">
        <v>19434.15</v>
      </c>
      <c r="D1893" s="9">
        <v>19300.0</v>
      </c>
      <c r="E1893" s="9">
        <v>19389.0</v>
      </c>
      <c r="F1893" s="9">
        <v>2.26916635E8</v>
      </c>
      <c r="G1893" s="47">
        <v>26634.06</v>
      </c>
    </row>
    <row r="1894" ht="14.25" customHeight="1">
      <c r="A1894" s="46">
        <v>45112.0</v>
      </c>
      <c r="B1894" s="9">
        <v>19405.95</v>
      </c>
      <c r="C1894" s="9">
        <v>19421.6</v>
      </c>
      <c r="D1894" s="9">
        <v>19339.6</v>
      </c>
      <c r="E1894" s="9">
        <v>19398.5</v>
      </c>
      <c r="F1894" s="9">
        <v>2.24418797E8</v>
      </c>
      <c r="G1894" s="47">
        <v>24699.24</v>
      </c>
    </row>
    <row r="1895" ht="14.25" customHeight="1">
      <c r="A1895" s="46">
        <v>45113.0</v>
      </c>
      <c r="B1895" s="9">
        <v>19385.7</v>
      </c>
      <c r="C1895" s="9">
        <v>19512.2</v>
      </c>
      <c r="D1895" s="9">
        <v>19373.0</v>
      </c>
      <c r="E1895" s="9">
        <v>19497.3</v>
      </c>
      <c r="F1895" s="9">
        <v>2.68261285E8</v>
      </c>
      <c r="G1895" s="47">
        <v>28540.18</v>
      </c>
    </row>
    <row r="1896" ht="14.25" customHeight="1">
      <c r="A1896" s="46">
        <v>45114.0</v>
      </c>
      <c r="B1896" s="9">
        <v>19422.8</v>
      </c>
      <c r="C1896" s="9">
        <v>19523.6</v>
      </c>
      <c r="D1896" s="9">
        <v>19303.6</v>
      </c>
      <c r="E1896" s="9">
        <v>19331.8</v>
      </c>
      <c r="F1896" s="9">
        <v>2.37102566E8</v>
      </c>
      <c r="G1896" s="47">
        <v>23089.25</v>
      </c>
    </row>
    <row r="1897" ht="14.25" customHeight="1">
      <c r="A1897" s="46">
        <v>45117.0</v>
      </c>
      <c r="B1897" s="9">
        <v>19400.35</v>
      </c>
      <c r="C1897" s="9">
        <v>19435.85</v>
      </c>
      <c r="D1897" s="9">
        <v>19327.1</v>
      </c>
      <c r="E1897" s="9">
        <v>19355.9</v>
      </c>
      <c r="F1897" s="9">
        <v>2.68246132E8</v>
      </c>
      <c r="G1897" s="47">
        <v>25991.55</v>
      </c>
    </row>
    <row r="1898" ht="14.25" customHeight="1">
      <c r="A1898" s="46">
        <v>45118.0</v>
      </c>
      <c r="B1898" s="9">
        <v>19427.1</v>
      </c>
      <c r="C1898" s="9">
        <v>19515.1</v>
      </c>
      <c r="D1898" s="9">
        <v>19406.45</v>
      </c>
      <c r="E1898" s="9">
        <v>19439.4</v>
      </c>
      <c r="F1898" s="9">
        <v>2.51263638E8</v>
      </c>
      <c r="G1898" s="47">
        <v>26883.78</v>
      </c>
    </row>
    <row r="1899" ht="14.25" customHeight="1">
      <c r="A1899" s="46">
        <v>45119.0</v>
      </c>
      <c r="B1899" s="9">
        <v>19497.45</v>
      </c>
      <c r="C1899" s="9">
        <v>19507.7</v>
      </c>
      <c r="D1899" s="9">
        <v>19361.75</v>
      </c>
      <c r="E1899" s="9">
        <v>19384.3</v>
      </c>
      <c r="F1899" s="9">
        <v>3.27941559E8</v>
      </c>
      <c r="G1899" s="47">
        <v>40163.14</v>
      </c>
    </row>
    <row r="1900" ht="14.25" customHeight="1">
      <c r="A1900" s="46">
        <v>45120.0</v>
      </c>
      <c r="B1900" s="9">
        <v>19495.2</v>
      </c>
      <c r="C1900" s="9">
        <v>19567.0</v>
      </c>
      <c r="D1900" s="9">
        <v>19385.8</v>
      </c>
      <c r="E1900" s="9">
        <v>19413.75</v>
      </c>
      <c r="F1900" s="9">
        <v>3.10442517E8</v>
      </c>
      <c r="G1900" s="47">
        <v>27244.56</v>
      </c>
    </row>
    <row r="1901" ht="14.25" customHeight="1">
      <c r="A1901" s="46">
        <v>45121.0</v>
      </c>
      <c r="B1901" s="9">
        <v>19493.45</v>
      </c>
      <c r="C1901" s="9">
        <v>19595.35</v>
      </c>
      <c r="D1901" s="9">
        <v>19433.5</v>
      </c>
      <c r="E1901" s="9">
        <v>19564.5</v>
      </c>
      <c r="F1901" s="9">
        <v>2.91165841E8</v>
      </c>
      <c r="G1901" s="47">
        <v>25484.44</v>
      </c>
    </row>
    <row r="1902" ht="14.25" customHeight="1">
      <c r="A1902" s="46">
        <v>45124.0</v>
      </c>
      <c r="B1902" s="9">
        <v>19612.15</v>
      </c>
      <c r="C1902" s="9">
        <v>19731.85</v>
      </c>
      <c r="D1902" s="9">
        <v>19562.95</v>
      </c>
      <c r="E1902" s="9">
        <v>19711.45</v>
      </c>
      <c r="F1902" s="9">
        <v>2.68707894E8</v>
      </c>
      <c r="G1902" s="47">
        <v>25975.57</v>
      </c>
    </row>
    <row r="1903" ht="14.25" customHeight="1">
      <c r="A1903" s="46">
        <v>45125.0</v>
      </c>
      <c r="B1903" s="9">
        <v>19787.5</v>
      </c>
      <c r="C1903" s="9">
        <v>19819.45</v>
      </c>
      <c r="D1903" s="9">
        <v>19690.2</v>
      </c>
      <c r="E1903" s="9">
        <v>19749.25</v>
      </c>
      <c r="F1903" s="9">
        <v>2.86353897E8</v>
      </c>
      <c r="G1903" s="47">
        <v>33269.08</v>
      </c>
    </row>
    <row r="1904" ht="14.25" customHeight="1">
      <c r="A1904" s="46">
        <v>45126.0</v>
      </c>
      <c r="B1904" s="9">
        <v>19802.95</v>
      </c>
      <c r="C1904" s="9">
        <v>19851.7</v>
      </c>
      <c r="D1904" s="9">
        <v>19727.45</v>
      </c>
      <c r="E1904" s="9">
        <v>19833.15</v>
      </c>
      <c r="F1904" s="9">
        <v>2.59660464E8</v>
      </c>
      <c r="G1904" s="47">
        <v>26447.9</v>
      </c>
    </row>
    <row r="1905" ht="14.25" customHeight="1">
      <c r="A1905" s="46">
        <v>45127.0</v>
      </c>
      <c r="B1905" s="9">
        <v>19831.7</v>
      </c>
      <c r="C1905" s="9">
        <v>19991.85</v>
      </c>
      <c r="D1905" s="9">
        <v>19758.4</v>
      </c>
      <c r="E1905" s="9">
        <v>19979.15</v>
      </c>
      <c r="F1905" s="9">
        <v>2.74698867E8</v>
      </c>
      <c r="G1905" s="47">
        <v>30622.66</v>
      </c>
    </row>
    <row r="1906" ht="14.25" customHeight="1">
      <c r="A1906" s="46">
        <v>45128.0</v>
      </c>
      <c r="B1906" s="9">
        <v>19800.45</v>
      </c>
      <c r="C1906" s="9">
        <v>19887.4</v>
      </c>
      <c r="D1906" s="9">
        <v>19700.0</v>
      </c>
      <c r="E1906" s="9">
        <v>19745.0</v>
      </c>
      <c r="F1906" s="9">
        <v>3.12461795E8</v>
      </c>
      <c r="G1906" s="47">
        <v>33802.14</v>
      </c>
    </row>
    <row r="1907" ht="14.25" customHeight="1">
      <c r="A1907" s="46">
        <v>45131.0</v>
      </c>
      <c r="B1907" s="9">
        <v>19748.45</v>
      </c>
      <c r="C1907" s="9">
        <v>19782.75</v>
      </c>
      <c r="D1907" s="9">
        <v>19658.3</v>
      </c>
      <c r="E1907" s="9">
        <v>19672.35</v>
      </c>
      <c r="F1907" s="9">
        <v>2.65562151E8</v>
      </c>
      <c r="G1907" s="47">
        <v>24522.29</v>
      </c>
    </row>
    <row r="1908" ht="14.25" customHeight="1">
      <c r="A1908" s="46">
        <v>45132.0</v>
      </c>
      <c r="B1908" s="9">
        <v>19729.35</v>
      </c>
      <c r="C1908" s="9">
        <v>19729.35</v>
      </c>
      <c r="D1908" s="9">
        <v>19615.95</v>
      </c>
      <c r="E1908" s="9">
        <v>19680.6</v>
      </c>
      <c r="F1908" s="9">
        <v>3.69653496E8</v>
      </c>
      <c r="G1908" s="47">
        <v>29665.67</v>
      </c>
    </row>
    <row r="1909" ht="14.25" customHeight="1">
      <c r="A1909" s="46">
        <v>45133.0</v>
      </c>
      <c r="B1909" s="9">
        <v>19733.35</v>
      </c>
      <c r="C1909" s="9">
        <v>19825.6</v>
      </c>
      <c r="D1909" s="9">
        <v>19716.7</v>
      </c>
      <c r="E1909" s="9">
        <v>19778.3</v>
      </c>
      <c r="F1909" s="9">
        <v>2.44747425E8</v>
      </c>
      <c r="G1909" s="47">
        <v>23023.86</v>
      </c>
    </row>
    <row r="1910" ht="14.25" customHeight="1">
      <c r="A1910" s="46">
        <v>45134.0</v>
      </c>
      <c r="B1910" s="9">
        <v>19850.9</v>
      </c>
      <c r="C1910" s="9">
        <v>19867.55</v>
      </c>
      <c r="D1910" s="9">
        <v>19603.55</v>
      </c>
      <c r="E1910" s="9">
        <v>19659.9</v>
      </c>
      <c r="F1910" s="9">
        <v>3.34891351E8</v>
      </c>
      <c r="G1910" s="47">
        <v>35019.13</v>
      </c>
    </row>
    <row r="1911" ht="14.25" customHeight="1">
      <c r="A1911" s="46">
        <v>45135.0</v>
      </c>
      <c r="B1911" s="9">
        <v>19659.75</v>
      </c>
      <c r="C1911" s="9">
        <v>19695.9</v>
      </c>
      <c r="D1911" s="9">
        <v>19563.1</v>
      </c>
      <c r="E1911" s="9">
        <v>19646.05</v>
      </c>
      <c r="F1911" s="9">
        <v>2.58671382E8</v>
      </c>
      <c r="G1911" s="47">
        <v>22995.98</v>
      </c>
    </row>
    <row r="1912" ht="14.25" customHeight="1">
      <c r="A1912" s="46">
        <v>45138.0</v>
      </c>
      <c r="B1912" s="9">
        <v>19666.35</v>
      </c>
      <c r="C1912" s="9">
        <v>19772.75</v>
      </c>
      <c r="D1912" s="9">
        <v>19597.6</v>
      </c>
      <c r="E1912" s="9">
        <v>19753.8</v>
      </c>
      <c r="F1912" s="9">
        <v>2.95053318E8</v>
      </c>
      <c r="G1912" s="47">
        <v>23075.38</v>
      </c>
    </row>
    <row r="1913" ht="14.25" customHeight="1">
      <c r="A1913" s="46">
        <v>45139.0</v>
      </c>
      <c r="B1913" s="9">
        <v>19784.0</v>
      </c>
      <c r="C1913" s="9">
        <v>19795.6</v>
      </c>
      <c r="D1913" s="9">
        <v>19704.6</v>
      </c>
      <c r="E1913" s="9">
        <v>19733.55</v>
      </c>
      <c r="F1913" s="9">
        <v>2.98048161E8</v>
      </c>
      <c r="G1913" s="47">
        <v>24554.71</v>
      </c>
    </row>
    <row r="1914" ht="14.25" customHeight="1">
      <c r="A1914" s="46">
        <v>45140.0</v>
      </c>
      <c r="B1914" s="9">
        <v>19655.4</v>
      </c>
      <c r="C1914" s="9">
        <v>19678.25</v>
      </c>
      <c r="D1914" s="9">
        <v>19423.55</v>
      </c>
      <c r="E1914" s="9">
        <v>19526.55</v>
      </c>
      <c r="F1914" s="9">
        <v>2.90666798E8</v>
      </c>
      <c r="G1914" s="47">
        <v>23997.47</v>
      </c>
    </row>
    <row r="1915" ht="14.25" customHeight="1">
      <c r="A1915" s="46">
        <v>45141.0</v>
      </c>
      <c r="B1915" s="9">
        <v>19463.75</v>
      </c>
      <c r="C1915" s="9">
        <v>19537.65</v>
      </c>
      <c r="D1915" s="9">
        <v>19296.45</v>
      </c>
      <c r="E1915" s="9">
        <v>19381.65</v>
      </c>
      <c r="F1915" s="9">
        <v>3.15688612E8</v>
      </c>
      <c r="G1915" s="47">
        <v>29899.38</v>
      </c>
    </row>
    <row r="1916" ht="14.25" customHeight="1">
      <c r="A1916" s="46">
        <v>45142.0</v>
      </c>
      <c r="B1916" s="9">
        <v>19462.8</v>
      </c>
      <c r="C1916" s="9">
        <v>19538.85</v>
      </c>
      <c r="D1916" s="9">
        <v>19436.45</v>
      </c>
      <c r="E1916" s="9">
        <v>19517.0</v>
      </c>
      <c r="F1916" s="9">
        <v>2.80799561E8</v>
      </c>
      <c r="G1916" s="47">
        <v>28086.15</v>
      </c>
    </row>
    <row r="1917" ht="14.25" customHeight="1">
      <c r="A1917" s="46">
        <v>45145.0</v>
      </c>
      <c r="B1917" s="9">
        <v>19576.85</v>
      </c>
      <c r="C1917" s="9">
        <v>19620.45</v>
      </c>
      <c r="D1917" s="9">
        <v>19524.8</v>
      </c>
      <c r="E1917" s="9">
        <v>19597.3</v>
      </c>
      <c r="F1917" s="9">
        <v>2.16586074E8</v>
      </c>
      <c r="G1917" s="47">
        <v>21655.87</v>
      </c>
    </row>
    <row r="1918" ht="14.25" customHeight="1">
      <c r="A1918" s="46">
        <v>45146.0</v>
      </c>
      <c r="B1918" s="9">
        <v>19627.2</v>
      </c>
      <c r="C1918" s="9">
        <v>19634.4</v>
      </c>
      <c r="D1918" s="9">
        <v>19533.1</v>
      </c>
      <c r="E1918" s="9">
        <v>19570.85</v>
      </c>
      <c r="F1918" s="9">
        <v>2.60294052E8</v>
      </c>
      <c r="G1918" s="47">
        <v>25437.47</v>
      </c>
    </row>
    <row r="1919" ht="14.25" customHeight="1">
      <c r="A1919" s="46">
        <v>45147.0</v>
      </c>
      <c r="B1919" s="9">
        <v>19578.8</v>
      </c>
      <c r="C1919" s="9">
        <v>19645.5</v>
      </c>
      <c r="D1919" s="9">
        <v>19467.5</v>
      </c>
      <c r="E1919" s="9">
        <v>19632.55</v>
      </c>
      <c r="F1919" s="9">
        <v>2.66495074E8</v>
      </c>
      <c r="G1919" s="47">
        <v>23201.75</v>
      </c>
    </row>
    <row r="1920" ht="14.25" customHeight="1">
      <c r="A1920" s="46">
        <v>45148.0</v>
      </c>
      <c r="B1920" s="9">
        <v>19605.55</v>
      </c>
      <c r="C1920" s="9">
        <v>19623.6</v>
      </c>
      <c r="D1920" s="9">
        <v>19495.4</v>
      </c>
      <c r="E1920" s="9">
        <v>19543.1</v>
      </c>
      <c r="F1920" s="9">
        <v>3.12193785E8</v>
      </c>
      <c r="G1920" s="47">
        <v>29430.34</v>
      </c>
    </row>
    <row r="1921" ht="14.25" customHeight="1">
      <c r="A1921" s="46">
        <v>45149.0</v>
      </c>
      <c r="B1921" s="9">
        <v>19554.25</v>
      </c>
      <c r="C1921" s="9">
        <v>19557.75</v>
      </c>
      <c r="D1921" s="9">
        <v>19412.75</v>
      </c>
      <c r="E1921" s="9">
        <v>19428.3</v>
      </c>
      <c r="F1921" s="9">
        <v>2.35524048E8</v>
      </c>
      <c r="G1921" s="47">
        <v>24521.24</v>
      </c>
    </row>
    <row r="1922" ht="14.25" customHeight="1">
      <c r="A1922" s="46">
        <v>45152.0</v>
      </c>
      <c r="B1922" s="9">
        <v>19383.95</v>
      </c>
      <c r="C1922" s="9">
        <v>19465.85</v>
      </c>
      <c r="D1922" s="9">
        <v>19257.9</v>
      </c>
      <c r="E1922" s="9">
        <v>19434.55</v>
      </c>
      <c r="F1922" s="9">
        <v>2.43850815E8</v>
      </c>
      <c r="G1922" s="47">
        <v>22767.43</v>
      </c>
    </row>
    <row r="1923" ht="14.25" customHeight="1">
      <c r="A1923" s="46">
        <v>45154.0</v>
      </c>
      <c r="B1923" s="9">
        <v>19369.0</v>
      </c>
      <c r="C1923" s="9">
        <v>19482.75</v>
      </c>
      <c r="D1923" s="9">
        <v>19317.2</v>
      </c>
      <c r="E1923" s="9">
        <v>19465.0</v>
      </c>
      <c r="F1923" s="9">
        <v>2.2662723E8</v>
      </c>
      <c r="G1923" s="47">
        <v>21484.66</v>
      </c>
    </row>
    <row r="1924" ht="14.25" customHeight="1">
      <c r="A1924" s="46">
        <v>45155.0</v>
      </c>
      <c r="B1924" s="9">
        <v>19450.55</v>
      </c>
      <c r="C1924" s="9">
        <v>19461.55</v>
      </c>
      <c r="D1924" s="9">
        <v>19326.25</v>
      </c>
      <c r="E1924" s="9">
        <v>19365.25</v>
      </c>
      <c r="F1924" s="9">
        <v>2.68663456E8</v>
      </c>
      <c r="G1924" s="47">
        <v>26505.65</v>
      </c>
    </row>
    <row r="1925" ht="14.25" customHeight="1">
      <c r="A1925" s="46">
        <v>45156.0</v>
      </c>
      <c r="B1925" s="9">
        <v>19301.75</v>
      </c>
      <c r="C1925" s="9">
        <v>19373.8</v>
      </c>
      <c r="D1925" s="9">
        <v>19253.6</v>
      </c>
      <c r="E1925" s="9">
        <v>19310.15</v>
      </c>
      <c r="F1925" s="9">
        <v>2.56142364E8</v>
      </c>
      <c r="G1925" s="47">
        <v>25641.41</v>
      </c>
    </row>
    <row r="1926" ht="14.25" customHeight="1">
      <c r="A1926" s="46">
        <v>45159.0</v>
      </c>
      <c r="B1926" s="9">
        <v>19320.65</v>
      </c>
      <c r="C1926" s="9">
        <v>19425.95</v>
      </c>
      <c r="D1926" s="9">
        <v>19296.3</v>
      </c>
      <c r="E1926" s="9">
        <v>19393.6</v>
      </c>
      <c r="F1926" s="9">
        <v>2.62589133E8</v>
      </c>
      <c r="G1926" s="47">
        <v>20738.75</v>
      </c>
    </row>
    <row r="1927" ht="14.25" customHeight="1">
      <c r="A1927" s="46">
        <v>45160.0</v>
      </c>
      <c r="B1927" s="9">
        <v>19417.1</v>
      </c>
      <c r="C1927" s="9">
        <v>19443.5</v>
      </c>
      <c r="D1927" s="9">
        <v>19381.3</v>
      </c>
      <c r="E1927" s="9">
        <v>19396.45</v>
      </c>
      <c r="F1927" s="9">
        <v>2.08704354E8</v>
      </c>
      <c r="G1927" s="47">
        <v>20226.48</v>
      </c>
    </row>
    <row r="1928" ht="14.25" customHeight="1">
      <c r="A1928" s="46">
        <v>45161.0</v>
      </c>
      <c r="B1928" s="9">
        <v>19439.2</v>
      </c>
      <c r="C1928" s="9">
        <v>19472.05</v>
      </c>
      <c r="D1928" s="9">
        <v>19366.6</v>
      </c>
      <c r="E1928" s="9">
        <v>19444.0</v>
      </c>
      <c r="F1928" s="9">
        <v>2.25214991E8</v>
      </c>
      <c r="G1928" s="47">
        <v>20167.16</v>
      </c>
    </row>
    <row r="1929" ht="14.25" customHeight="1">
      <c r="A1929" s="46">
        <v>45162.0</v>
      </c>
      <c r="B1929" s="9">
        <v>19535.15</v>
      </c>
      <c r="C1929" s="9">
        <v>19584.45</v>
      </c>
      <c r="D1929" s="9">
        <v>19369.0</v>
      </c>
      <c r="E1929" s="9">
        <v>19386.7</v>
      </c>
      <c r="F1929" s="9">
        <v>2.68256859E8</v>
      </c>
      <c r="G1929" s="47">
        <v>24338.24</v>
      </c>
    </row>
    <row r="1930" ht="14.25" customHeight="1">
      <c r="A1930" s="46">
        <v>45163.0</v>
      </c>
      <c r="B1930" s="9">
        <v>19297.4</v>
      </c>
      <c r="C1930" s="9">
        <v>19339.55</v>
      </c>
      <c r="D1930" s="9">
        <v>19229.7</v>
      </c>
      <c r="E1930" s="9">
        <v>19265.8</v>
      </c>
      <c r="F1930" s="9">
        <v>4.66518217E8</v>
      </c>
      <c r="G1930" s="47">
        <v>24998.12</v>
      </c>
    </row>
    <row r="1931" ht="14.25" customHeight="1">
      <c r="A1931" s="46">
        <v>45166.0</v>
      </c>
      <c r="B1931" s="9">
        <v>19298.35</v>
      </c>
      <c r="C1931" s="9">
        <v>19366.85</v>
      </c>
      <c r="D1931" s="9">
        <v>19249.7</v>
      </c>
      <c r="E1931" s="9">
        <v>19306.05</v>
      </c>
      <c r="F1931" s="9">
        <v>2.48178769E8</v>
      </c>
      <c r="G1931" s="47">
        <v>18237.22</v>
      </c>
    </row>
    <row r="1932" ht="14.25" customHeight="1">
      <c r="A1932" s="46">
        <v>45167.0</v>
      </c>
      <c r="B1932" s="9">
        <v>19374.85</v>
      </c>
      <c r="C1932" s="9">
        <v>19377.9</v>
      </c>
      <c r="D1932" s="9">
        <v>19309.1</v>
      </c>
      <c r="E1932" s="9">
        <v>19342.65</v>
      </c>
      <c r="F1932" s="9">
        <v>3.07388116E8</v>
      </c>
      <c r="G1932" s="47">
        <v>22501.12</v>
      </c>
    </row>
    <row r="1933" ht="14.25" customHeight="1">
      <c r="A1933" s="46">
        <v>45168.0</v>
      </c>
      <c r="B1933" s="9">
        <v>19433.45</v>
      </c>
      <c r="C1933" s="9">
        <v>19452.8</v>
      </c>
      <c r="D1933" s="9">
        <v>19334.75</v>
      </c>
      <c r="E1933" s="9">
        <v>19347.45</v>
      </c>
      <c r="F1933" s="9">
        <v>2.33004568E8</v>
      </c>
      <c r="G1933" s="47">
        <v>19877.49</v>
      </c>
    </row>
    <row r="1934" ht="14.25" customHeight="1">
      <c r="A1934" s="46">
        <v>45169.0</v>
      </c>
      <c r="B1934" s="9">
        <v>19375.55</v>
      </c>
      <c r="C1934" s="9">
        <v>19388.2</v>
      </c>
      <c r="D1934" s="9">
        <v>19223.65</v>
      </c>
      <c r="E1934" s="9">
        <v>19253.8</v>
      </c>
      <c r="F1934" s="9">
        <v>5.62557215E8</v>
      </c>
      <c r="G1934" s="47">
        <v>45699.54</v>
      </c>
    </row>
    <row r="1935" ht="14.25" customHeight="1">
      <c r="A1935" s="46">
        <v>45170.0</v>
      </c>
      <c r="B1935" s="9">
        <v>19258.15</v>
      </c>
      <c r="C1935" s="9">
        <v>19458.55</v>
      </c>
      <c r="D1935" s="9">
        <v>19255.7</v>
      </c>
      <c r="E1935" s="9">
        <v>19435.3</v>
      </c>
      <c r="F1935" s="9">
        <v>3.72502191E8</v>
      </c>
      <c r="G1935" s="47">
        <v>25962.38</v>
      </c>
    </row>
    <row r="1936" ht="14.25" customHeight="1">
      <c r="A1936" s="46">
        <v>45173.0</v>
      </c>
      <c r="B1936" s="9">
        <v>19525.05</v>
      </c>
      <c r="C1936" s="9">
        <v>19545.15</v>
      </c>
      <c r="D1936" s="9">
        <v>19432.85</v>
      </c>
      <c r="E1936" s="9">
        <v>19528.8</v>
      </c>
      <c r="F1936" s="9">
        <v>3.96071122E8</v>
      </c>
      <c r="G1936" s="47">
        <v>24822.79</v>
      </c>
    </row>
    <row r="1937" ht="14.25" customHeight="1">
      <c r="A1937" s="46">
        <v>45174.0</v>
      </c>
      <c r="B1937" s="9">
        <v>19564.65</v>
      </c>
      <c r="C1937" s="9">
        <v>19587.05</v>
      </c>
      <c r="D1937" s="9">
        <v>19525.75</v>
      </c>
      <c r="E1937" s="9">
        <v>19574.9</v>
      </c>
      <c r="F1937" s="9">
        <v>3.03958622E8</v>
      </c>
      <c r="G1937" s="47">
        <v>24029.89</v>
      </c>
    </row>
    <row r="1938" ht="14.25" customHeight="1">
      <c r="A1938" s="46">
        <v>45175.0</v>
      </c>
      <c r="B1938" s="9">
        <v>19581.2</v>
      </c>
      <c r="C1938" s="9">
        <v>19636.45</v>
      </c>
      <c r="D1938" s="9">
        <v>19491.5</v>
      </c>
      <c r="E1938" s="9">
        <v>19611.05</v>
      </c>
      <c r="F1938" s="9">
        <v>5.12974083E8</v>
      </c>
      <c r="G1938" s="47">
        <v>32500.52</v>
      </c>
    </row>
    <row r="1939" ht="14.25" customHeight="1">
      <c r="A1939" s="46">
        <v>45176.0</v>
      </c>
      <c r="B1939" s="9">
        <v>19598.65</v>
      </c>
      <c r="C1939" s="9">
        <v>19737.0</v>
      </c>
      <c r="D1939" s="9">
        <v>19550.05</v>
      </c>
      <c r="E1939" s="9">
        <v>19727.05</v>
      </c>
      <c r="F1939" s="9">
        <v>3.04929822E8</v>
      </c>
      <c r="G1939" s="47">
        <v>23591.0</v>
      </c>
    </row>
    <row r="1940" ht="14.25" customHeight="1">
      <c r="A1940" s="46">
        <v>45177.0</v>
      </c>
      <c r="B1940" s="9">
        <v>19774.8</v>
      </c>
      <c r="C1940" s="9">
        <v>19867.15</v>
      </c>
      <c r="D1940" s="9">
        <v>19728.05</v>
      </c>
      <c r="E1940" s="9">
        <v>19819.95</v>
      </c>
      <c r="F1940" s="9">
        <v>2.88093693E8</v>
      </c>
      <c r="G1940" s="47">
        <v>23530.84</v>
      </c>
    </row>
    <row r="1941" ht="14.25" customHeight="1">
      <c r="A1941" s="46">
        <v>45180.0</v>
      </c>
      <c r="B1941" s="9">
        <v>19890.0</v>
      </c>
      <c r="C1941" s="9">
        <v>20008.15</v>
      </c>
      <c r="D1941" s="9">
        <v>19865.35</v>
      </c>
      <c r="E1941" s="9">
        <v>19996.35</v>
      </c>
      <c r="F1941" s="9">
        <v>2.4876313E8</v>
      </c>
      <c r="G1941" s="47">
        <v>21924.34</v>
      </c>
    </row>
    <row r="1942" ht="14.25" customHeight="1">
      <c r="A1942" s="46">
        <v>45181.0</v>
      </c>
      <c r="B1942" s="9">
        <v>20110.15</v>
      </c>
      <c r="C1942" s="9">
        <v>20110.35</v>
      </c>
      <c r="D1942" s="9">
        <v>19914.65</v>
      </c>
      <c r="E1942" s="9">
        <v>19993.2</v>
      </c>
      <c r="F1942" s="9">
        <v>3.28064239E8</v>
      </c>
      <c r="G1942" s="47">
        <v>30110.8</v>
      </c>
    </row>
    <row r="1943" ht="14.25" customHeight="1">
      <c r="A1943" s="46">
        <v>45182.0</v>
      </c>
      <c r="B1943" s="9">
        <v>19989.5</v>
      </c>
      <c r="C1943" s="9">
        <v>20096.9</v>
      </c>
      <c r="D1943" s="9">
        <v>19944.1</v>
      </c>
      <c r="E1943" s="9">
        <v>20070.0</v>
      </c>
      <c r="F1943" s="9">
        <v>2.51394599E8</v>
      </c>
      <c r="G1943" s="47">
        <v>24332.36</v>
      </c>
    </row>
    <row r="1944" ht="14.25" customHeight="1">
      <c r="A1944" s="46">
        <v>45183.0</v>
      </c>
      <c r="B1944" s="9">
        <v>20127.95</v>
      </c>
      <c r="C1944" s="9">
        <v>20167.65</v>
      </c>
      <c r="D1944" s="9">
        <v>20043.45</v>
      </c>
      <c r="E1944" s="9">
        <v>20103.1</v>
      </c>
      <c r="F1944" s="9">
        <v>2.75111881E8</v>
      </c>
      <c r="G1944" s="47">
        <v>21902.65</v>
      </c>
    </row>
    <row r="1945" ht="14.25" customHeight="1">
      <c r="A1945" s="46">
        <v>45184.0</v>
      </c>
      <c r="B1945" s="9">
        <v>20156.45</v>
      </c>
      <c r="C1945" s="9">
        <v>20222.45</v>
      </c>
      <c r="D1945" s="9">
        <v>20129.7</v>
      </c>
      <c r="E1945" s="9">
        <v>20192.35</v>
      </c>
      <c r="F1945" s="9">
        <v>4.38185104E8</v>
      </c>
      <c r="G1945" s="47">
        <v>42681.35</v>
      </c>
    </row>
    <row r="1946" ht="14.25" customHeight="1">
      <c r="A1946" s="46">
        <v>45187.0</v>
      </c>
      <c r="B1946" s="9">
        <v>20155.95</v>
      </c>
      <c r="C1946" s="9">
        <v>20195.35</v>
      </c>
      <c r="D1946" s="9">
        <v>20115.7</v>
      </c>
      <c r="E1946" s="9">
        <v>20133.3</v>
      </c>
      <c r="F1946" s="9">
        <v>2.64870758E8</v>
      </c>
      <c r="G1946" s="47">
        <v>21135.95</v>
      </c>
    </row>
    <row r="1947" ht="14.25" customHeight="1">
      <c r="A1947" s="46">
        <v>45189.0</v>
      </c>
      <c r="B1947" s="9">
        <v>19980.75</v>
      </c>
      <c r="C1947" s="9">
        <v>20050.65</v>
      </c>
      <c r="D1947" s="9">
        <v>19878.85</v>
      </c>
      <c r="E1947" s="9">
        <v>19901.4</v>
      </c>
      <c r="F1947" s="9">
        <v>3.78065882E8</v>
      </c>
      <c r="G1947" s="47">
        <v>37351.58</v>
      </c>
    </row>
    <row r="1948" ht="14.25" customHeight="1">
      <c r="A1948" s="46">
        <v>45190.0</v>
      </c>
      <c r="B1948" s="9">
        <v>19840.55</v>
      </c>
      <c r="C1948" s="9">
        <v>19848.75</v>
      </c>
      <c r="D1948" s="9">
        <v>19709.95</v>
      </c>
      <c r="E1948" s="9">
        <v>19742.35</v>
      </c>
      <c r="F1948" s="9">
        <v>2.7513226E8</v>
      </c>
      <c r="G1948" s="47">
        <v>26711.83</v>
      </c>
    </row>
    <row r="1949" ht="14.25" customHeight="1">
      <c r="A1949" s="46">
        <v>45191.0</v>
      </c>
      <c r="B1949" s="9">
        <v>19744.85</v>
      </c>
      <c r="C1949" s="9">
        <v>19798.65</v>
      </c>
      <c r="D1949" s="9">
        <v>19657.5</v>
      </c>
      <c r="E1949" s="9">
        <v>19674.25</v>
      </c>
      <c r="F1949" s="9">
        <v>2.46410075E8</v>
      </c>
      <c r="G1949" s="47">
        <v>24137.57</v>
      </c>
    </row>
    <row r="1950" ht="14.25" customHeight="1">
      <c r="A1950" s="46">
        <v>45194.0</v>
      </c>
      <c r="B1950" s="9">
        <v>19678.2</v>
      </c>
      <c r="C1950" s="9">
        <v>19734.15</v>
      </c>
      <c r="D1950" s="9">
        <v>19601.55</v>
      </c>
      <c r="E1950" s="9">
        <v>19674.55</v>
      </c>
      <c r="F1950" s="9">
        <v>1.88398392E8</v>
      </c>
      <c r="G1950" s="47">
        <v>20194.48</v>
      </c>
    </row>
    <row r="1951" ht="14.25" customHeight="1">
      <c r="A1951" s="46">
        <v>45195.0</v>
      </c>
      <c r="B1951" s="9">
        <v>19682.8</v>
      </c>
      <c r="C1951" s="9">
        <v>19699.35</v>
      </c>
      <c r="D1951" s="9">
        <v>19637.45</v>
      </c>
      <c r="E1951" s="9">
        <v>19664.7</v>
      </c>
      <c r="F1951" s="9">
        <v>2.04869058E8</v>
      </c>
      <c r="G1951" s="47">
        <v>18118.19</v>
      </c>
    </row>
    <row r="1952" ht="14.25" customHeight="1">
      <c r="A1952" s="46">
        <v>45196.0</v>
      </c>
      <c r="B1952" s="9">
        <v>19637.05</v>
      </c>
      <c r="C1952" s="9">
        <v>19730.7</v>
      </c>
      <c r="D1952" s="9">
        <v>19554.0</v>
      </c>
      <c r="E1952" s="9">
        <v>19716.45</v>
      </c>
      <c r="F1952" s="9">
        <v>2.03559874E8</v>
      </c>
      <c r="G1952" s="47">
        <v>19659.17</v>
      </c>
    </row>
    <row r="1953" ht="14.25" customHeight="1">
      <c r="A1953" s="46">
        <v>45197.0</v>
      </c>
      <c r="B1953" s="9">
        <v>19761.8</v>
      </c>
      <c r="C1953" s="9">
        <v>19766.65</v>
      </c>
      <c r="D1953" s="9">
        <v>19492.1</v>
      </c>
      <c r="E1953" s="9">
        <v>19523.55</v>
      </c>
      <c r="F1953" s="9">
        <v>3.52810261E8</v>
      </c>
      <c r="G1953" s="47">
        <v>30069.78</v>
      </c>
    </row>
    <row r="1954" ht="14.25" customHeight="1">
      <c r="A1954" s="46">
        <v>45198.0</v>
      </c>
      <c r="B1954" s="9">
        <v>19581.2</v>
      </c>
      <c r="C1954" s="9">
        <v>19726.25</v>
      </c>
      <c r="D1954" s="9">
        <v>19551.05</v>
      </c>
      <c r="E1954" s="9">
        <v>19638.3</v>
      </c>
      <c r="F1954" s="9">
        <v>2.43508919E8</v>
      </c>
      <c r="G1954" s="47">
        <v>20978.72</v>
      </c>
    </row>
    <row r="1955" ht="14.25" customHeight="1">
      <c r="A1955" s="46">
        <v>45202.0</v>
      </c>
      <c r="B1955" s="9">
        <v>19622.4</v>
      </c>
      <c r="C1955" s="9">
        <v>19623.2</v>
      </c>
      <c r="D1955" s="9">
        <v>19479.65</v>
      </c>
      <c r="E1955" s="9">
        <v>19528.75</v>
      </c>
      <c r="F1955" s="9">
        <v>2.21719625E8</v>
      </c>
      <c r="G1955" s="47">
        <v>21459.58</v>
      </c>
    </row>
    <row r="1956" ht="14.25" customHeight="1">
      <c r="A1956" s="46">
        <v>45203.0</v>
      </c>
      <c r="B1956" s="9">
        <v>19446.3</v>
      </c>
      <c r="C1956" s="9">
        <v>19457.8</v>
      </c>
      <c r="D1956" s="9">
        <v>19333.6</v>
      </c>
      <c r="E1956" s="9">
        <v>19436.1</v>
      </c>
      <c r="F1956" s="9">
        <v>2.7714831E8</v>
      </c>
      <c r="G1956" s="47">
        <v>26017.47</v>
      </c>
    </row>
    <row r="1957" ht="14.25" customHeight="1">
      <c r="A1957" s="46">
        <v>45204.0</v>
      </c>
      <c r="B1957" s="9">
        <v>19521.85</v>
      </c>
      <c r="C1957" s="9">
        <v>19576.95</v>
      </c>
      <c r="D1957" s="9">
        <v>19487.3</v>
      </c>
      <c r="E1957" s="9">
        <v>19545.75</v>
      </c>
      <c r="F1957" s="9">
        <v>2.34865323E8</v>
      </c>
      <c r="G1957" s="47">
        <v>22019.04</v>
      </c>
    </row>
    <row r="1958" ht="14.25" customHeight="1">
      <c r="A1958" s="46">
        <v>45205.0</v>
      </c>
      <c r="B1958" s="9">
        <v>19621.2</v>
      </c>
      <c r="C1958" s="9">
        <v>19675.75</v>
      </c>
      <c r="D1958" s="9">
        <v>19589.4</v>
      </c>
      <c r="E1958" s="9">
        <v>19653.5</v>
      </c>
      <c r="F1958" s="9">
        <v>1.59051277E8</v>
      </c>
      <c r="G1958" s="47">
        <v>16096.52</v>
      </c>
    </row>
    <row r="1959" ht="14.25" customHeight="1">
      <c r="A1959" s="46">
        <v>45208.0</v>
      </c>
      <c r="B1959" s="9">
        <v>19539.45</v>
      </c>
      <c r="C1959" s="9">
        <v>19588.95</v>
      </c>
      <c r="D1959" s="9">
        <v>19480.5</v>
      </c>
      <c r="E1959" s="9">
        <v>19512.35</v>
      </c>
      <c r="F1959" s="9">
        <v>1.650948E8</v>
      </c>
      <c r="G1959" s="47">
        <v>15499.67</v>
      </c>
    </row>
    <row r="1960" ht="14.25" customHeight="1">
      <c r="A1960" s="46">
        <v>45209.0</v>
      </c>
      <c r="B1960" s="9">
        <v>19565.6</v>
      </c>
      <c r="C1960" s="9">
        <v>19717.8</v>
      </c>
      <c r="D1960" s="9">
        <v>19565.45</v>
      </c>
      <c r="E1960" s="9">
        <v>19689.85</v>
      </c>
      <c r="F1960" s="9">
        <v>2.16559447E8</v>
      </c>
      <c r="G1960" s="47">
        <v>18735.62</v>
      </c>
    </row>
    <row r="1961" ht="14.25" customHeight="1">
      <c r="A1961" s="46">
        <v>45210.0</v>
      </c>
      <c r="B1961" s="9">
        <v>19767.0</v>
      </c>
      <c r="C1961" s="9">
        <v>19839.2</v>
      </c>
      <c r="D1961" s="9">
        <v>19756.95</v>
      </c>
      <c r="E1961" s="9">
        <v>19811.35</v>
      </c>
      <c r="F1961" s="9">
        <v>2.1372973E8</v>
      </c>
      <c r="G1961" s="47">
        <v>19900.99</v>
      </c>
    </row>
    <row r="1962" ht="14.25" customHeight="1">
      <c r="A1962" s="46">
        <v>45211.0</v>
      </c>
      <c r="B1962" s="9">
        <v>19822.7</v>
      </c>
      <c r="C1962" s="9">
        <v>19843.3</v>
      </c>
      <c r="D1962" s="9">
        <v>19772.65</v>
      </c>
      <c r="E1962" s="9">
        <v>19794.0</v>
      </c>
      <c r="F1962" s="9">
        <v>2.17904144E8</v>
      </c>
      <c r="G1962" s="47">
        <v>20999.94</v>
      </c>
    </row>
    <row r="1963" ht="14.25" customHeight="1">
      <c r="A1963" s="46">
        <v>45212.0</v>
      </c>
      <c r="B1963" s="9">
        <v>19654.55</v>
      </c>
      <c r="C1963" s="9">
        <v>19805.4</v>
      </c>
      <c r="D1963" s="9">
        <v>19635.3</v>
      </c>
      <c r="E1963" s="9">
        <v>19751.05</v>
      </c>
      <c r="F1963" s="9">
        <v>2.54955979E8</v>
      </c>
      <c r="G1963" s="47">
        <v>24363.02</v>
      </c>
    </row>
    <row r="1964" ht="14.25" customHeight="1">
      <c r="A1964" s="46">
        <v>45215.0</v>
      </c>
      <c r="B1964" s="9">
        <v>19737.25</v>
      </c>
      <c r="C1964" s="9">
        <v>19781.3</v>
      </c>
      <c r="D1964" s="9">
        <v>19691.85</v>
      </c>
      <c r="E1964" s="9">
        <v>19731.75</v>
      </c>
      <c r="F1964" s="9">
        <v>1.80964341E8</v>
      </c>
      <c r="G1964" s="47">
        <v>14746.01</v>
      </c>
    </row>
    <row r="1965" ht="14.25" customHeight="1">
      <c r="A1965" s="46">
        <v>45216.0</v>
      </c>
      <c r="B1965" s="9">
        <v>19843.2</v>
      </c>
      <c r="C1965" s="9">
        <v>19849.75</v>
      </c>
      <c r="D1965" s="9">
        <v>19775.65</v>
      </c>
      <c r="E1965" s="9">
        <v>19811.5</v>
      </c>
      <c r="F1965" s="9">
        <v>1.85846716E8</v>
      </c>
      <c r="G1965" s="47">
        <v>16839.87</v>
      </c>
    </row>
    <row r="1966" ht="14.25" customHeight="1">
      <c r="A1966" s="46">
        <v>45217.0</v>
      </c>
      <c r="B1966" s="9">
        <v>19820.45</v>
      </c>
      <c r="C1966" s="9">
        <v>19840.95</v>
      </c>
      <c r="D1966" s="9">
        <v>19659.95</v>
      </c>
      <c r="E1966" s="9">
        <v>19671.1</v>
      </c>
      <c r="F1966" s="9">
        <v>1.98942937E8</v>
      </c>
      <c r="G1966" s="47">
        <v>18581.64</v>
      </c>
    </row>
    <row r="1967" ht="14.25" customHeight="1">
      <c r="A1967" s="46">
        <v>45218.0</v>
      </c>
      <c r="B1967" s="9">
        <v>19545.2</v>
      </c>
      <c r="C1967" s="9">
        <v>19681.8</v>
      </c>
      <c r="D1967" s="9">
        <v>19512.35</v>
      </c>
      <c r="E1967" s="9">
        <v>19624.7</v>
      </c>
      <c r="F1967" s="9">
        <v>2.30312163E8</v>
      </c>
      <c r="G1967" s="47">
        <v>23582.01</v>
      </c>
    </row>
    <row r="1968" ht="14.25" customHeight="1">
      <c r="A1968" s="46">
        <v>45219.0</v>
      </c>
      <c r="B1968" s="9">
        <v>19542.15</v>
      </c>
      <c r="C1968" s="9">
        <v>19593.8</v>
      </c>
      <c r="D1968" s="9">
        <v>19518.7</v>
      </c>
      <c r="E1968" s="9">
        <v>19542.65</v>
      </c>
      <c r="F1968" s="9">
        <v>1.98341255E8</v>
      </c>
      <c r="G1968" s="47">
        <v>17944.31</v>
      </c>
    </row>
    <row r="1969" ht="14.25" customHeight="1">
      <c r="A1969" s="46">
        <v>45222.0</v>
      </c>
      <c r="B1969" s="9">
        <v>19521.6</v>
      </c>
      <c r="C1969" s="9">
        <v>19556.85</v>
      </c>
      <c r="D1969" s="9">
        <v>19257.85</v>
      </c>
      <c r="E1969" s="9">
        <v>19281.75</v>
      </c>
      <c r="F1969" s="9">
        <v>1.76044288E8</v>
      </c>
      <c r="G1969" s="47">
        <v>16212.9</v>
      </c>
    </row>
    <row r="1970" ht="14.25" customHeight="1">
      <c r="A1970" s="46">
        <v>45224.0</v>
      </c>
      <c r="B1970" s="9">
        <v>19286.45</v>
      </c>
      <c r="C1970" s="9">
        <v>19347.3</v>
      </c>
      <c r="D1970" s="9">
        <v>19074.15</v>
      </c>
      <c r="E1970" s="9">
        <v>19122.15</v>
      </c>
      <c r="F1970" s="9">
        <v>2.25291741E8</v>
      </c>
      <c r="G1970" s="47">
        <v>19818.32</v>
      </c>
    </row>
    <row r="1971" ht="14.25" customHeight="1">
      <c r="A1971" s="46">
        <v>45225.0</v>
      </c>
      <c r="B1971" s="9">
        <v>19027.25</v>
      </c>
      <c r="C1971" s="9">
        <v>19041.7</v>
      </c>
      <c r="D1971" s="9">
        <v>18837.85</v>
      </c>
      <c r="E1971" s="9">
        <v>18857.25</v>
      </c>
      <c r="F1971" s="9">
        <v>3.00356469E8</v>
      </c>
      <c r="G1971" s="47">
        <v>28939.64</v>
      </c>
    </row>
    <row r="1972" ht="14.25" customHeight="1">
      <c r="A1972" s="46">
        <v>45226.0</v>
      </c>
      <c r="B1972" s="9">
        <v>18928.75</v>
      </c>
      <c r="C1972" s="9">
        <v>19076.15</v>
      </c>
      <c r="D1972" s="9">
        <v>18926.65</v>
      </c>
      <c r="E1972" s="9">
        <v>19047.25</v>
      </c>
      <c r="F1972" s="9">
        <v>2.05201044E8</v>
      </c>
      <c r="G1972" s="47">
        <v>19947.48</v>
      </c>
    </row>
    <row r="1973" ht="14.25" customHeight="1">
      <c r="A1973" s="46">
        <v>45229.0</v>
      </c>
      <c r="B1973" s="9">
        <v>19053.4</v>
      </c>
      <c r="C1973" s="9">
        <v>19158.5</v>
      </c>
      <c r="D1973" s="9">
        <v>18940.0</v>
      </c>
      <c r="E1973" s="9">
        <v>19140.9</v>
      </c>
      <c r="F1973" s="9">
        <v>1.80132492E8</v>
      </c>
      <c r="G1973" s="47">
        <v>17095.73</v>
      </c>
    </row>
    <row r="1974" ht="14.25" customHeight="1">
      <c r="A1974" s="46">
        <v>45230.0</v>
      </c>
      <c r="B1974" s="9">
        <v>19232.95</v>
      </c>
      <c r="C1974" s="9">
        <v>19233.7</v>
      </c>
      <c r="D1974" s="9">
        <v>19056.45</v>
      </c>
      <c r="E1974" s="9">
        <v>19079.6</v>
      </c>
      <c r="F1974" s="9">
        <v>2.06049341E8</v>
      </c>
      <c r="G1974" s="47">
        <v>19397.36</v>
      </c>
    </row>
    <row r="1975" ht="14.25" customHeight="1">
      <c r="A1975" s="46">
        <v>45231.0</v>
      </c>
      <c r="B1975" s="9">
        <v>19064.05</v>
      </c>
      <c r="C1975" s="9">
        <v>19096.05</v>
      </c>
      <c r="D1975" s="9">
        <v>18973.7</v>
      </c>
      <c r="E1975" s="9">
        <v>18989.15</v>
      </c>
      <c r="F1975" s="9">
        <v>1.94103279E8</v>
      </c>
      <c r="G1975" s="47">
        <v>18452.51</v>
      </c>
    </row>
    <row r="1976" ht="14.25" customHeight="1">
      <c r="A1976" s="46">
        <v>45232.0</v>
      </c>
      <c r="B1976" s="9">
        <v>19120.0</v>
      </c>
      <c r="C1976" s="9">
        <v>19175.25</v>
      </c>
      <c r="D1976" s="9">
        <v>19064.15</v>
      </c>
      <c r="E1976" s="9">
        <v>19133.25</v>
      </c>
      <c r="F1976" s="9">
        <v>2.45595109E8</v>
      </c>
      <c r="G1976" s="47">
        <v>19771.49</v>
      </c>
    </row>
    <row r="1977" ht="14.25" customHeight="1">
      <c r="A1977" s="46">
        <v>45233.0</v>
      </c>
      <c r="B1977" s="9">
        <v>19241.0</v>
      </c>
      <c r="C1977" s="9">
        <v>19276.25</v>
      </c>
      <c r="D1977" s="9">
        <v>19210.9</v>
      </c>
      <c r="E1977" s="9">
        <v>19230.6</v>
      </c>
      <c r="F1977" s="9">
        <v>1.89516123E8</v>
      </c>
      <c r="G1977" s="47">
        <v>17304.87</v>
      </c>
    </row>
    <row r="1978" ht="14.25" customHeight="1">
      <c r="A1978" s="46">
        <v>45236.0</v>
      </c>
      <c r="B1978" s="9">
        <v>19345.85</v>
      </c>
      <c r="C1978" s="9">
        <v>19423.0</v>
      </c>
      <c r="D1978" s="9">
        <v>19309.7</v>
      </c>
      <c r="E1978" s="9">
        <v>19411.75</v>
      </c>
      <c r="F1978" s="9">
        <v>1.80690631E8</v>
      </c>
      <c r="G1978" s="47">
        <v>16296.56</v>
      </c>
    </row>
    <row r="1979" ht="14.25" customHeight="1">
      <c r="A1979" s="46">
        <v>45237.0</v>
      </c>
      <c r="B1979" s="9">
        <v>19404.05</v>
      </c>
      <c r="C1979" s="9">
        <v>19423.5</v>
      </c>
      <c r="D1979" s="9">
        <v>19329.1</v>
      </c>
      <c r="E1979" s="9">
        <v>19406.7</v>
      </c>
      <c r="F1979" s="9">
        <v>1.98660124E8</v>
      </c>
      <c r="G1979" s="47">
        <v>18288.06</v>
      </c>
    </row>
    <row r="1980" ht="14.25" customHeight="1">
      <c r="A1980" s="46">
        <v>45238.0</v>
      </c>
      <c r="B1980" s="9">
        <v>19449.6</v>
      </c>
      <c r="C1980" s="9">
        <v>19464.4</v>
      </c>
      <c r="D1980" s="9">
        <v>19401.5</v>
      </c>
      <c r="E1980" s="9">
        <v>19443.5</v>
      </c>
      <c r="F1980" s="9">
        <v>1.94967997E8</v>
      </c>
      <c r="G1980" s="47">
        <v>17060.45</v>
      </c>
    </row>
    <row r="1981" ht="14.25" customHeight="1">
      <c r="A1981" s="46">
        <v>45239.0</v>
      </c>
      <c r="B1981" s="9">
        <v>19457.4</v>
      </c>
      <c r="C1981" s="9">
        <v>19463.9</v>
      </c>
      <c r="D1981" s="9">
        <v>19378.35</v>
      </c>
      <c r="E1981" s="9">
        <v>19395.3</v>
      </c>
      <c r="F1981" s="9">
        <v>2.08418472E8</v>
      </c>
      <c r="G1981" s="47">
        <v>19087.29</v>
      </c>
    </row>
    <row r="1982" ht="14.25" customHeight="1">
      <c r="A1982" s="46">
        <v>45240.0</v>
      </c>
      <c r="B1982" s="9">
        <v>19351.85</v>
      </c>
      <c r="C1982" s="9">
        <v>19451.3</v>
      </c>
      <c r="D1982" s="9">
        <v>19329.45</v>
      </c>
      <c r="E1982" s="9">
        <v>19425.35</v>
      </c>
      <c r="F1982" s="9">
        <v>1.52215785E8</v>
      </c>
      <c r="G1982" s="47">
        <v>12916.21</v>
      </c>
    </row>
    <row r="1983" ht="14.25" customHeight="1">
      <c r="A1983" s="46">
        <v>45242.0</v>
      </c>
      <c r="B1983" s="9">
        <v>19547.25</v>
      </c>
      <c r="C1983" s="9">
        <v>19547.25</v>
      </c>
      <c r="D1983" s="9">
        <v>19510.25</v>
      </c>
      <c r="E1983" s="9">
        <v>19525.55</v>
      </c>
      <c r="F1983" s="9">
        <v>3.7311902E7</v>
      </c>
      <c r="G1983" s="47">
        <v>2482.27</v>
      </c>
    </row>
    <row r="1984" ht="14.25" customHeight="1">
      <c r="A1984" s="46">
        <v>45243.0</v>
      </c>
      <c r="B1984" s="9">
        <v>19486.75</v>
      </c>
      <c r="C1984" s="9">
        <v>19494.4</v>
      </c>
      <c r="D1984" s="9">
        <v>19414.75</v>
      </c>
      <c r="E1984" s="9">
        <v>19443.55</v>
      </c>
      <c r="F1984" s="9">
        <v>1.89275733E8</v>
      </c>
      <c r="G1984" s="47">
        <v>13527.22</v>
      </c>
    </row>
    <row r="1985" ht="14.25" customHeight="1">
      <c r="A1985" s="46">
        <v>45245.0</v>
      </c>
      <c r="B1985" s="9">
        <v>19651.4</v>
      </c>
      <c r="C1985" s="9">
        <v>19693.2</v>
      </c>
      <c r="D1985" s="9">
        <v>19579.65</v>
      </c>
      <c r="E1985" s="9">
        <v>19675.45</v>
      </c>
      <c r="F1985" s="9">
        <v>2.91464988E8</v>
      </c>
      <c r="G1985" s="47">
        <v>24957.24</v>
      </c>
    </row>
    <row r="1986" ht="14.25" customHeight="1">
      <c r="A1986" s="46">
        <v>45246.0</v>
      </c>
      <c r="B1986" s="9">
        <v>19674.7</v>
      </c>
      <c r="C1986" s="9">
        <v>19875.25</v>
      </c>
      <c r="D1986" s="9">
        <v>19627.0</v>
      </c>
      <c r="E1986" s="9">
        <v>19765.2</v>
      </c>
      <c r="F1986" s="9">
        <v>2.82686669E8</v>
      </c>
      <c r="G1986" s="47">
        <v>26041.45</v>
      </c>
    </row>
    <row r="1987" ht="14.25" customHeight="1">
      <c r="A1987" s="46">
        <v>45247.0</v>
      </c>
      <c r="B1987" s="9">
        <v>19674.75</v>
      </c>
      <c r="C1987" s="9">
        <v>19806.0</v>
      </c>
      <c r="D1987" s="9">
        <v>19667.45</v>
      </c>
      <c r="E1987" s="9">
        <v>19731.8</v>
      </c>
      <c r="F1987" s="9">
        <v>2.36827462E8</v>
      </c>
      <c r="G1987" s="47">
        <v>21681.28</v>
      </c>
    </row>
    <row r="1988" ht="14.25" customHeight="1">
      <c r="A1988" s="46">
        <v>45250.0</v>
      </c>
      <c r="B1988" s="9">
        <v>19731.15</v>
      </c>
      <c r="C1988" s="9">
        <v>19756.45</v>
      </c>
      <c r="D1988" s="9">
        <v>19670.5</v>
      </c>
      <c r="E1988" s="9">
        <v>19694.0</v>
      </c>
      <c r="F1988" s="9">
        <v>1.73780543E8</v>
      </c>
      <c r="G1988" s="47">
        <v>16737.05</v>
      </c>
    </row>
    <row r="1989" ht="14.25" customHeight="1">
      <c r="A1989" s="46">
        <v>45251.0</v>
      </c>
      <c r="B1989" s="9">
        <v>19770.9</v>
      </c>
      <c r="C1989" s="9">
        <v>19829.1</v>
      </c>
      <c r="D1989" s="9">
        <v>19754.05</v>
      </c>
      <c r="E1989" s="9">
        <v>19783.4</v>
      </c>
      <c r="F1989" s="9">
        <v>1.94969012E8</v>
      </c>
      <c r="G1989" s="47">
        <v>17947.2</v>
      </c>
    </row>
    <row r="1990" ht="14.25" customHeight="1">
      <c r="A1990" s="46">
        <v>45252.0</v>
      </c>
      <c r="B1990" s="9">
        <v>19784.0</v>
      </c>
      <c r="C1990" s="9">
        <v>19825.55</v>
      </c>
      <c r="D1990" s="9">
        <v>19703.85</v>
      </c>
      <c r="E1990" s="9">
        <v>19811.85</v>
      </c>
      <c r="F1990" s="9">
        <v>1.84497984E8</v>
      </c>
      <c r="G1990" s="47">
        <v>17405.48</v>
      </c>
    </row>
    <row r="1991" ht="14.25" customHeight="1">
      <c r="A1991" s="46">
        <v>45253.0</v>
      </c>
      <c r="B1991" s="9">
        <v>19828.45</v>
      </c>
      <c r="C1991" s="9">
        <v>19875.15</v>
      </c>
      <c r="D1991" s="9">
        <v>19786.75</v>
      </c>
      <c r="E1991" s="9">
        <v>19802.0</v>
      </c>
      <c r="F1991" s="9">
        <v>1.70024085E8</v>
      </c>
      <c r="G1991" s="47">
        <v>15906.94</v>
      </c>
    </row>
    <row r="1992" ht="14.25" customHeight="1">
      <c r="A1992" s="46">
        <v>45254.0</v>
      </c>
      <c r="B1992" s="9">
        <v>19809.6</v>
      </c>
      <c r="C1992" s="9">
        <v>19832.85</v>
      </c>
      <c r="D1992" s="9">
        <v>19768.85</v>
      </c>
      <c r="E1992" s="9">
        <v>19794.7</v>
      </c>
      <c r="F1992" s="9">
        <v>1.45895044E8</v>
      </c>
      <c r="G1992" s="47">
        <v>14389.29</v>
      </c>
    </row>
    <row r="1993" ht="14.25" customHeight="1">
      <c r="A1993" s="46">
        <v>45258.0</v>
      </c>
      <c r="B1993" s="9">
        <v>19844.65</v>
      </c>
      <c r="C1993" s="9">
        <v>19916.85</v>
      </c>
      <c r="D1993" s="9">
        <v>19800.0</v>
      </c>
      <c r="E1993" s="9">
        <v>19889.7</v>
      </c>
      <c r="F1993" s="9">
        <v>2.29595031E8</v>
      </c>
      <c r="G1993" s="47">
        <v>23043.25</v>
      </c>
    </row>
    <row r="1994" ht="14.25" customHeight="1">
      <c r="A1994" s="46">
        <v>45259.0</v>
      </c>
      <c r="B1994" s="9">
        <v>19976.55</v>
      </c>
      <c r="C1994" s="9">
        <v>20104.65</v>
      </c>
      <c r="D1994" s="9">
        <v>19956.3</v>
      </c>
      <c r="E1994" s="9">
        <v>20096.6</v>
      </c>
      <c r="F1994" s="9">
        <v>2.36241768E8</v>
      </c>
      <c r="G1994" s="47">
        <v>22367.64</v>
      </c>
    </row>
    <row r="1995" ht="14.25" customHeight="1">
      <c r="A1995" s="46">
        <v>45260.0</v>
      </c>
      <c r="B1995" s="9">
        <v>20108.5</v>
      </c>
      <c r="C1995" s="9">
        <v>20158.7</v>
      </c>
      <c r="D1995" s="9">
        <v>20015.85</v>
      </c>
      <c r="E1995" s="9">
        <v>20133.15</v>
      </c>
      <c r="F1995" s="9">
        <v>4.86585349E8</v>
      </c>
      <c r="G1995" s="47">
        <v>48877.95</v>
      </c>
    </row>
    <row r="1996" ht="14.25" customHeight="1">
      <c r="A1996" s="46">
        <v>45261.0</v>
      </c>
      <c r="B1996" s="9">
        <v>20194.1</v>
      </c>
      <c r="C1996" s="9">
        <v>20291.55</v>
      </c>
      <c r="D1996" s="9">
        <v>20183.7</v>
      </c>
      <c r="E1996" s="9">
        <v>20267.9</v>
      </c>
      <c r="F1996" s="9">
        <v>2.65812566E8</v>
      </c>
      <c r="G1996" s="47">
        <v>22461.53</v>
      </c>
    </row>
    <row r="1997" ht="14.25" customHeight="1">
      <c r="A1997" s="46">
        <v>45264.0</v>
      </c>
      <c r="B1997" s="9">
        <v>20601.95</v>
      </c>
      <c r="C1997" s="9">
        <v>20702.65</v>
      </c>
      <c r="D1997" s="9">
        <v>20507.75</v>
      </c>
      <c r="E1997" s="9">
        <v>20686.8</v>
      </c>
      <c r="F1997" s="9">
        <v>3.81107418E8</v>
      </c>
      <c r="G1997" s="47">
        <v>33917.52</v>
      </c>
    </row>
    <row r="1998" ht="14.25" customHeight="1">
      <c r="A1998" s="46">
        <v>45265.0</v>
      </c>
      <c r="B1998" s="9">
        <v>20808.9</v>
      </c>
      <c r="C1998" s="9">
        <v>20864.05</v>
      </c>
      <c r="D1998" s="9">
        <v>20711.15</v>
      </c>
      <c r="E1998" s="9">
        <v>20855.1</v>
      </c>
      <c r="F1998" s="9">
        <v>4.2100835E8</v>
      </c>
      <c r="G1998" s="47">
        <v>41763.52</v>
      </c>
    </row>
    <row r="1999" ht="14.25" customHeight="1">
      <c r="A1999" s="46">
        <v>45266.0</v>
      </c>
      <c r="B1999" s="9">
        <v>20950.75</v>
      </c>
      <c r="C1999" s="9">
        <v>20961.95</v>
      </c>
      <c r="D1999" s="9">
        <v>20852.15</v>
      </c>
      <c r="E1999" s="9">
        <v>20937.7</v>
      </c>
      <c r="F1999" s="9">
        <v>3.59212958E8</v>
      </c>
      <c r="G1999" s="47">
        <v>35654.76</v>
      </c>
    </row>
    <row r="2000" ht="14.25" customHeight="1">
      <c r="A2000" s="46">
        <v>45267.0</v>
      </c>
      <c r="B2000" s="9">
        <v>20932.4</v>
      </c>
      <c r="C2000" s="9">
        <v>20941.25</v>
      </c>
      <c r="D2000" s="9">
        <v>20850.8</v>
      </c>
      <c r="E2000" s="9">
        <v>20901.15</v>
      </c>
      <c r="F2000" s="9">
        <v>2.74985308E8</v>
      </c>
      <c r="G2000" s="47">
        <v>24862.43</v>
      </c>
    </row>
    <row r="2001" ht="14.25" customHeight="1">
      <c r="A2001" s="46">
        <v>45268.0</v>
      </c>
      <c r="B2001" s="9">
        <v>20934.1</v>
      </c>
      <c r="C2001" s="9">
        <v>21006.1</v>
      </c>
      <c r="D2001" s="9">
        <v>20862.7</v>
      </c>
      <c r="E2001" s="9">
        <v>20969.4</v>
      </c>
      <c r="F2001" s="9">
        <v>2.92440768E8</v>
      </c>
      <c r="G2001" s="47">
        <v>27449.96</v>
      </c>
    </row>
    <row r="2002" ht="14.25" customHeight="1">
      <c r="A2002" s="46">
        <v>45271.0</v>
      </c>
      <c r="B2002" s="9">
        <v>20965.3</v>
      </c>
      <c r="C2002" s="9">
        <v>21026.1</v>
      </c>
      <c r="D2002" s="9">
        <v>20923.7</v>
      </c>
      <c r="E2002" s="9">
        <v>20997.1</v>
      </c>
      <c r="F2002" s="9">
        <v>2.12921451E8</v>
      </c>
      <c r="G2002" s="47">
        <v>21150.17</v>
      </c>
    </row>
    <row r="2003" ht="14.25" customHeight="1">
      <c r="A2003" s="46">
        <v>45272.0</v>
      </c>
      <c r="B2003" s="9">
        <v>21018.55</v>
      </c>
      <c r="C2003" s="9">
        <v>21037.9</v>
      </c>
      <c r="D2003" s="9">
        <v>20867.15</v>
      </c>
      <c r="E2003" s="9">
        <v>20906.4</v>
      </c>
      <c r="F2003" s="9">
        <v>2.44867128E8</v>
      </c>
      <c r="G2003" s="47">
        <v>25404.64</v>
      </c>
    </row>
    <row r="2004" ht="14.25" customHeight="1">
      <c r="A2004" s="46">
        <v>45273.0</v>
      </c>
      <c r="B2004" s="9">
        <v>20929.75</v>
      </c>
      <c r="C2004" s="9">
        <v>20950.0</v>
      </c>
      <c r="D2004" s="9">
        <v>20769.5</v>
      </c>
      <c r="E2004" s="9">
        <v>20926.35</v>
      </c>
      <c r="F2004" s="9">
        <v>2.60269318E8</v>
      </c>
      <c r="G2004" s="47">
        <v>25918.44</v>
      </c>
    </row>
    <row r="2005" ht="14.25" customHeight="1">
      <c r="A2005" s="46">
        <v>45274.0</v>
      </c>
      <c r="B2005" s="9">
        <v>21110.4</v>
      </c>
      <c r="C2005" s="9">
        <v>21210.9</v>
      </c>
      <c r="D2005" s="9">
        <v>21074.45</v>
      </c>
      <c r="E2005" s="9">
        <v>21182.7</v>
      </c>
      <c r="F2005" s="9">
        <v>3.34410589E8</v>
      </c>
      <c r="G2005" s="47">
        <v>32593.42</v>
      </c>
    </row>
    <row r="2006" ht="14.25" customHeight="1">
      <c r="A2006" s="46">
        <v>45275.0</v>
      </c>
      <c r="B2006" s="9">
        <v>21287.45</v>
      </c>
      <c r="C2006" s="9">
        <v>21492.3</v>
      </c>
      <c r="D2006" s="9">
        <v>21235.3</v>
      </c>
      <c r="E2006" s="9">
        <v>21456.65</v>
      </c>
      <c r="F2006" s="9">
        <v>5.08761756E8</v>
      </c>
      <c r="G2006" s="47">
        <v>50114.46</v>
      </c>
    </row>
    <row r="2007" ht="14.25" customHeight="1">
      <c r="A2007" s="46">
        <v>45278.0</v>
      </c>
      <c r="B2007" s="9">
        <v>21434.8</v>
      </c>
      <c r="C2007" s="9">
        <v>21482.8</v>
      </c>
      <c r="D2007" s="9">
        <v>21365.35</v>
      </c>
      <c r="E2007" s="9">
        <v>21418.65</v>
      </c>
      <c r="F2007" s="9">
        <v>2.49668965E8</v>
      </c>
      <c r="G2007" s="47">
        <v>23615.28</v>
      </c>
    </row>
    <row r="2008" ht="14.25" customHeight="1">
      <c r="A2008" s="46">
        <v>45279.0</v>
      </c>
      <c r="B2008" s="9">
        <v>21477.65</v>
      </c>
      <c r="C2008" s="9">
        <v>21505.05</v>
      </c>
      <c r="D2008" s="9">
        <v>21337.75</v>
      </c>
      <c r="E2008" s="9">
        <v>21453.1</v>
      </c>
      <c r="F2008" s="9">
        <v>2.49750062E8</v>
      </c>
      <c r="G2008" s="47">
        <v>23750.61</v>
      </c>
    </row>
    <row r="2009" ht="14.25" customHeight="1">
      <c r="A2009" s="46">
        <v>45280.0</v>
      </c>
      <c r="B2009" s="9">
        <v>21543.5</v>
      </c>
      <c r="C2009" s="9">
        <v>21593.0</v>
      </c>
      <c r="D2009" s="9">
        <v>21087.35</v>
      </c>
      <c r="E2009" s="9">
        <v>21150.15</v>
      </c>
      <c r="F2009" s="9">
        <v>3.63886229E8</v>
      </c>
      <c r="G2009" s="47">
        <v>30993.12</v>
      </c>
    </row>
    <row r="2010" ht="14.25" customHeight="1">
      <c r="A2010" s="46">
        <v>45281.0</v>
      </c>
      <c r="B2010" s="9">
        <v>21033.95</v>
      </c>
      <c r="C2010" s="9">
        <v>21288.35</v>
      </c>
      <c r="D2010" s="9">
        <v>20976.8</v>
      </c>
      <c r="E2010" s="9">
        <v>21255.05</v>
      </c>
      <c r="F2010" s="9">
        <v>2.77548079E8</v>
      </c>
      <c r="G2010" s="47">
        <v>26001.02</v>
      </c>
    </row>
    <row r="2011" ht="14.25" customHeight="1">
      <c r="A2011" s="46">
        <v>45282.0</v>
      </c>
      <c r="B2011" s="9">
        <v>21295.85</v>
      </c>
      <c r="C2011" s="9">
        <v>21390.5</v>
      </c>
      <c r="D2011" s="9">
        <v>21232.45</v>
      </c>
      <c r="E2011" s="9">
        <v>21349.4</v>
      </c>
      <c r="F2011" s="9">
        <v>2.84708918E8</v>
      </c>
      <c r="G2011" s="47">
        <v>27709.29</v>
      </c>
    </row>
    <row r="2012" ht="14.25" customHeight="1">
      <c r="A2012" s="46">
        <v>45286.0</v>
      </c>
      <c r="B2012" s="9">
        <v>21365.2</v>
      </c>
      <c r="C2012" s="9">
        <v>21477.15</v>
      </c>
      <c r="D2012" s="9">
        <v>21329.45</v>
      </c>
      <c r="E2012" s="9">
        <v>21441.35</v>
      </c>
      <c r="F2012" s="9">
        <v>2.19467748E8</v>
      </c>
      <c r="G2012" s="47">
        <v>20081.33</v>
      </c>
    </row>
    <row r="2013" ht="14.25" customHeight="1">
      <c r="A2013" s="46">
        <v>45287.0</v>
      </c>
      <c r="B2013" s="9">
        <v>21497.65</v>
      </c>
      <c r="C2013" s="9">
        <v>21675.75</v>
      </c>
      <c r="D2013" s="9">
        <v>21495.8</v>
      </c>
      <c r="E2013" s="9">
        <v>21654.75</v>
      </c>
      <c r="F2013" s="9">
        <v>2.56542963E8</v>
      </c>
      <c r="G2013" s="47">
        <v>23059.25</v>
      </c>
    </row>
    <row r="2014" ht="14.25" customHeight="1">
      <c r="A2014" s="46">
        <v>45288.0</v>
      </c>
      <c r="B2014" s="9">
        <v>21715.0</v>
      </c>
      <c r="C2014" s="9">
        <v>21801.45</v>
      </c>
      <c r="D2014" s="9">
        <v>21678.0</v>
      </c>
      <c r="E2014" s="9">
        <v>21778.7</v>
      </c>
      <c r="F2014" s="9">
        <v>3.93080755E8</v>
      </c>
      <c r="G2014" s="47">
        <v>35031.0</v>
      </c>
    </row>
    <row r="2015" ht="14.25" customHeight="1">
      <c r="A2015" s="46">
        <v>45289.0</v>
      </c>
      <c r="B2015" s="9">
        <v>21737.65</v>
      </c>
      <c r="C2015" s="9">
        <v>21770.3</v>
      </c>
      <c r="D2015" s="9">
        <v>21676.9</v>
      </c>
      <c r="E2015" s="9">
        <v>21731.4</v>
      </c>
      <c r="F2015" s="9">
        <v>2.70922276E8</v>
      </c>
      <c r="G2015" s="47">
        <v>23697.88</v>
      </c>
    </row>
    <row r="2016" ht="14.25" customHeight="1">
      <c r="A2016" s="46">
        <v>45292.0</v>
      </c>
      <c r="B2016" s="9">
        <v>21727.75</v>
      </c>
      <c r="C2016" s="9">
        <v>21834.35</v>
      </c>
      <c r="D2016" s="9">
        <v>21680.85</v>
      </c>
      <c r="E2016" s="9">
        <v>21741.9</v>
      </c>
      <c r="F2016" s="9">
        <v>1.53995217E8</v>
      </c>
      <c r="G2016" s="47">
        <v>14184.09</v>
      </c>
    </row>
    <row r="2017" ht="14.25" customHeight="1">
      <c r="A2017" s="46">
        <v>45293.0</v>
      </c>
      <c r="B2017" s="9">
        <v>21751.35</v>
      </c>
      <c r="C2017" s="9">
        <v>21755.6</v>
      </c>
      <c r="D2017" s="9">
        <v>21555.65</v>
      </c>
      <c r="E2017" s="9">
        <v>21665.8</v>
      </c>
      <c r="F2017" s="9">
        <v>2.63711568E8</v>
      </c>
      <c r="G2017" s="47">
        <v>25316.13</v>
      </c>
    </row>
    <row r="2018" ht="14.25" customHeight="1">
      <c r="A2018" s="46">
        <v>45294.0</v>
      </c>
      <c r="B2018" s="9">
        <v>21661.1</v>
      </c>
      <c r="C2018" s="9">
        <v>21677.0</v>
      </c>
      <c r="D2018" s="9">
        <v>21500.35</v>
      </c>
      <c r="E2018" s="9">
        <v>21517.35</v>
      </c>
      <c r="F2018" s="9">
        <v>3.11933117E8</v>
      </c>
      <c r="G2018" s="47">
        <v>32329.23</v>
      </c>
    </row>
    <row r="2019" ht="14.25" customHeight="1">
      <c r="A2019" s="46">
        <v>45295.0</v>
      </c>
      <c r="B2019" s="9">
        <v>21605.8</v>
      </c>
      <c r="C2019" s="9">
        <v>21685.65</v>
      </c>
      <c r="D2019" s="9">
        <v>21564.55</v>
      </c>
      <c r="E2019" s="9">
        <v>21658.6</v>
      </c>
      <c r="F2019" s="9">
        <v>3.39172697E8</v>
      </c>
      <c r="G2019" s="47">
        <v>30868.15</v>
      </c>
    </row>
    <row r="2020" ht="14.25" customHeight="1">
      <c r="A2020" s="46">
        <v>45296.0</v>
      </c>
      <c r="B2020" s="9">
        <v>21705.75</v>
      </c>
      <c r="C2020" s="9">
        <v>21749.6</v>
      </c>
      <c r="D2020" s="9">
        <v>21629.2</v>
      </c>
      <c r="E2020" s="9">
        <v>21710.8</v>
      </c>
      <c r="F2020" s="9">
        <v>3.09303266E8</v>
      </c>
      <c r="G2020" s="47">
        <v>26554.49</v>
      </c>
    </row>
    <row r="2021" ht="14.25" customHeight="1">
      <c r="A2021" s="46">
        <v>45299.0</v>
      </c>
      <c r="B2021" s="9">
        <v>21747.6</v>
      </c>
      <c r="C2021" s="9">
        <v>21763.95</v>
      </c>
      <c r="D2021" s="9">
        <v>21492.9</v>
      </c>
      <c r="E2021" s="9">
        <v>21513.0</v>
      </c>
      <c r="F2021" s="9">
        <v>2.31452935E8</v>
      </c>
      <c r="G2021" s="47">
        <v>21140.94</v>
      </c>
    </row>
    <row r="2022" ht="14.25" customHeight="1">
      <c r="A2022" s="46">
        <v>45300.0</v>
      </c>
      <c r="B2022" s="9">
        <v>21653.6</v>
      </c>
      <c r="C2022" s="9">
        <v>21724.45</v>
      </c>
      <c r="D2022" s="9">
        <v>21517.85</v>
      </c>
      <c r="E2022" s="9">
        <v>21544.85</v>
      </c>
      <c r="F2022" s="9">
        <v>2.28568589E8</v>
      </c>
      <c r="G2022" s="47">
        <v>24055.74</v>
      </c>
    </row>
    <row r="2023" ht="14.25" customHeight="1">
      <c r="A2023" s="46">
        <v>45301.0</v>
      </c>
      <c r="B2023" s="9">
        <v>21529.3</v>
      </c>
      <c r="C2023" s="9">
        <v>21641.85</v>
      </c>
      <c r="D2023" s="9">
        <v>21448.65</v>
      </c>
      <c r="E2023" s="9">
        <v>21618.7</v>
      </c>
      <c r="F2023" s="9">
        <v>2.16991926E8</v>
      </c>
      <c r="G2023" s="47">
        <v>20958.96</v>
      </c>
    </row>
    <row r="2024" ht="14.25" customHeight="1">
      <c r="A2024" s="46">
        <v>45302.0</v>
      </c>
      <c r="B2024" s="9">
        <v>21688.0</v>
      </c>
      <c r="C2024" s="9">
        <v>21726.5</v>
      </c>
      <c r="D2024" s="9">
        <v>21593.75</v>
      </c>
      <c r="E2024" s="9">
        <v>21647.2</v>
      </c>
      <c r="F2024" s="9">
        <v>2.12453866E8</v>
      </c>
      <c r="G2024" s="47">
        <v>23492.12</v>
      </c>
    </row>
    <row r="2025" ht="14.25" customHeight="1">
      <c r="A2025" s="46">
        <v>45303.0</v>
      </c>
      <c r="B2025" s="9">
        <v>21773.55</v>
      </c>
      <c r="C2025" s="9">
        <v>21928.25</v>
      </c>
      <c r="D2025" s="9">
        <v>21715.15</v>
      </c>
      <c r="E2025" s="9">
        <v>21894.55</v>
      </c>
      <c r="F2025" s="9">
        <v>2.94678459E8</v>
      </c>
      <c r="G2025" s="47">
        <v>30565.5</v>
      </c>
    </row>
    <row r="2026" ht="14.25" customHeight="1">
      <c r="A2026" s="46">
        <v>45306.0</v>
      </c>
      <c r="B2026" s="9">
        <v>22053.15</v>
      </c>
      <c r="C2026" s="9">
        <v>22115.55</v>
      </c>
      <c r="D2026" s="9">
        <v>21963.55</v>
      </c>
      <c r="E2026" s="9">
        <v>22097.45</v>
      </c>
      <c r="F2026" s="9">
        <v>3.45543523E8</v>
      </c>
      <c r="G2026" s="47">
        <v>29523.15</v>
      </c>
    </row>
    <row r="2027" ht="14.25" customHeight="1">
      <c r="A2027" s="46">
        <v>45307.0</v>
      </c>
      <c r="B2027" s="9">
        <v>22080.5</v>
      </c>
      <c r="C2027" s="9">
        <v>22124.15</v>
      </c>
      <c r="D2027" s="9">
        <v>21969.8</v>
      </c>
      <c r="E2027" s="9">
        <v>22032.3</v>
      </c>
      <c r="F2027" s="9">
        <v>2.92433764E8</v>
      </c>
      <c r="G2027" s="47">
        <v>24435.94</v>
      </c>
    </row>
    <row r="2028" ht="14.25" customHeight="1">
      <c r="A2028" s="46">
        <v>45308.0</v>
      </c>
      <c r="B2028" s="9">
        <v>21647.25</v>
      </c>
      <c r="C2028" s="9">
        <v>21851.5</v>
      </c>
      <c r="D2028" s="9">
        <v>21550.45</v>
      </c>
      <c r="E2028" s="9">
        <v>21571.95</v>
      </c>
      <c r="F2028" s="9">
        <v>4.55999867E8</v>
      </c>
      <c r="G2028" s="47">
        <v>47533.44</v>
      </c>
    </row>
    <row r="2029" ht="14.25" customHeight="1">
      <c r="A2029" s="46">
        <v>45309.0</v>
      </c>
      <c r="B2029" s="9">
        <v>21414.2</v>
      </c>
      <c r="C2029" s="9">
        <v>21539.4</v>
      </c>
      <c r="D2029" s="9">
        <v>21285.55</v>
      </c>
      <c r="E2029" s="9">
        <v>21462.25</v>
      </c>
      <c r="F2029" s="9">
        <v>3.87341268E8</v>
      </c>
      <c r="G2029" s="47">
        <v>39718.84</v>
      </c>
    </row>
    <row r="2030" ht="14.25" customHeight="1">
      <c r="A2030" s="46">
        <v>45310.0</v>
      </c>
      <c r="B2030" s="9">
        <v>21615.2</v>
      </c>
      <c r="C2030" s="9">
        <v>21670.6</v>
      </c>
      <c r="D2030" s="9">
        <v>21575.0</v>
      </c>
      <c r="E2030" s="9">
        <v>21622.4</v>
      </c>
      <c r="F2030" s="9">
        <v>3.43055124E8</v>
      </c>
      <c r="G2030" s="47">
        <v>34429.24</v>
      </c>
    </row>
    <row r="2031" ht="14.25" customHeight="1">
      <c r="A2031" s="46">
        <v>45311.0</v>
      </c>
      <c r="B2031" s="9">
        <v>21706.15</v>
      </c>
      <c r="C2031" s="9">
        <v>21720.3</v>
      </c>
      <c r="D2031" s="9">
        <v>21541.8</v>
      </c>
      <c r="E2031" s="9">
        <v>21571.8</v>
      </c>
      <c r="F2031" s="9">
        <v>1.6207374E8</v>
      </c>
      <c r="G2031" s="47">
        <v>13917.46</v>
      </c>
    </row>
    <row r="2032" ht="14.25" customHeight="1">
      <c r="A2032" s="46">
        <v>45314.0</v>
      </c>
      <c r="B2032" s="9">
        <v>21716.7</v>
      </c>
      <c r="C2032" s="9">
        <v>21750.25</v>
      </c>
      <c r="D2032" s="9">
        <v>21192.6</v>
      </c>
      <c r="E2032" s="9">
        <v>21238.8</v>
      </c>
      <c r="F2032" s="9">
        <v>4.49718534E8</v>
      </c>
      <c r="G2032" s="47">
        <v>48813.68</v>
      </c>
    </row>
    <row r="2033" ht="14.25" customHeight="1">
      <c r="A2033" s="46">
        <v>45315.0</v>
      </c>
      <c r="B2033" s="9">
        <v>21185.25</v>
      </c>
      <c r="C2033" s="9">
        <v>21482.35</v>
      </c>
      <c r="D2033" s="9">
        <v>21137.2</v>
      </c>
      <c r="E2033" s="9">
        <v>21453.95</v>
      </c>
      <c r="F2033" s="9">
        <v>4.07460664E8</v>
      </c>
      <c r="G2033" s="47">
        <v>41718.64</v>
      </c>
    </row>
    <row r="2034" ht="14.25" customHeight="1">
      <c r="A2034" s="46">
        <v>45316.0</v>
      </c>
      <c r="B2034" s="9">
        <v>21454.6</v>
      </c>
      <c r="C2034" s="9">
        <v>21459.0</v>
      </c>
      <c r="D2034" s="9">
        <v>21247.05</v>
      </c>
      <c r="E2034" s="9">
        <v>21352.6</v>
      </c>
      <c r="F2034" s="9">
        <v>4.18143077E8</v>
      </c>
      <c r="G2034" s="47">
        <v>40088.5</v>
      </c>
    </row>
    <row r="2035" ht="14.25" customHeight="1">
      <c r="A2035" s="46">
        <v>45320.0</v>
      </c>
      <c r="B2035" s="9">
        <v>21433.1</v>
      </c>
      <c r="C2035" s="9">
        <v>21763.25</v>
      </c>
      <c r="D2035" s="9">
        <v>21429.6</v>
      </c>
      <c r="E2035" s="9">
        <v>21737.6</v>
      </c>
      <c r="F2035" s="9">
        <v>3.76702289E8</v>
      </c>
      <c r="G2035" s="47">
        <v>34516.42</v>
      </c>
    </row>
    <row r="2036" ht="14.25" customHeight="1">
      <c r="A2036" s="46">
        <v>45321.0</v>
      </c>
      <c r="B2036" s="9">
        <v>21775.75</v>
      </c>
      <c r="C2036" s="9">
        <v>21813.05</v>
      </c>
      <c r="D2036" s="9">
        <v>21501.8</v>
      </c>
      <c r="E2036" s="9">
        <v>21522.1</v>
      </c>
      <c r="F2036" s="9">
        <v>3.75137333E8</v>
      </c>
      <c r="G2036" s="47">
        <v>32916.3</v>
      </c>
    </row>
    <row r="2037" ht="14.25" customHeight="1">
      <c r="A2037" s="46">
        <v>45322.0</v>
      </c>
      <c r="B2037" s="9">
        <v>21487.25</v>
      </c>
      <c r="C2037" s="9">
        <v>21741.35</v>
      </c>
      <c r="D2037" s="9">
        <v>21448.85</v>
      </c>
      <c r="E2037" s="9">
        <v>21725.7</v>
      </c>
      <c r="F2037" s="9">
        <v>4.10583065E8</v>
      </c>
      <c r="G2037" s="47">
        <v>41587.85</v>
      </c>
    </row>
    <row r="2038" ht="14.25" customHeight="1">
      <c r="A2038" s="46">
        <v>45323.0</v>
      </c>
      <c r="B2038" s="9">
        <v>21780.65</v>
      </c>
      <c r="C2038" s="9">
        <v>21832.95</v>
      </c>
      <c r="D2038" s="9">
        <v>21658.75</v>
      </c>
      <c r="E2038" s="9">
        <v>21697.45</v>
      </c>
      <c r="F2038" s="9">
        <v>3.32541208E8</v>
      </c>
      <c r="G2038" s="47">
        <v>34042.15</v>
      </c>
    </row>
    <row r="2039" ht="14.25" customHeight="1">
      <c r="A2039" s="46">
        <v>45324.0</v>
      </c>
      <c r="B2039" s="9">
        <v>21812.75</v>
      </c>
      <c r="C2039" s="9">
        <v>22126.8</v>
      </c>
      <c r="D2039" s="9">
        <v>21805.55</v>
      </c>
      <c r="E2039" s="9">
        <v>21853.8</v>
      </c>
      <c r="F2039" s="9">
        <v>4.42794738E8</v>
      </c>
      <c r="G2039" s="47">
        <v>38395.9</v>
      </c>
    </row>
    <row r="2040" ht="14.25" customHeight="1">
      <c r="A2040" s="46">
        <v>45327.0</v>
      </c>
      <c r="B2040" s="9">
        <v>21921.05</v>
      </c>
      <c r="C2040" s="9">
        <v>21964.3</v>
      </c>
      <c r="D2040" s="9">
        <v>21726.95</v>
      </c>
      <c r="E2040" s="9">
        <v>21771.7</v>
      </c>
      <c r="F2040" s="9">
        <v>4.40849699E8</v>
      </c>
      <c r="G2040" s="47">
        <v>33807.94</v>
      </c>
    </row>
    <row r="2041" ht="14.25" customHeight="1">
      <c r="A2041" s="46">
        <v>45328.0</v>
      </c>
      <c r="B2041" s="9">
        <v>21825.2</v>
      </c>
      <c r="C2041" s="9">
        <v>21951.4</v>
      </c>
      <c r="D2041" s="9">
        <v>21737.55</v>
      </c>
      <c r="E2041" s="9">
        <v>21929.4</v>
      </c>
      <c r="F2041" s="9">
        <v>3.70968111E8</v>
      </c>
      <c r="G2041" s="47">
        <v>32910.82</v>
      </c>
    </row>
    <row r="2042" ht="14.25" customHeight="1">
      <c r="A2042" s="46">
        <v>45329.0</v>
      </c>
      <c r="B2042" s="9">
        <v>22045.05</v>
      </c>
      <c r="C2042" s="9">
        <v>22053.3</v>
      </c>
      <c r="D2042" s="9">
        <v>21860.15</v>
      </c>
      <c r="E2042" s="9">
        <v>21930.5</v>
      </c>
      <c r="F2042" s="9">
        <v>3.46263704E8</v>
      </c>
      <c r="G2042" s="47">
        <v>30088.76</v>
      </c>
    </row>
    <row r="2043" ht="14.25" customHeight="1">
      <c r="A2043" s="46">
        <v>45330.0</v>
      </c>
      <c r="B2043" s="9">
        <v>22009.65</v>
      </c>
      <c r="C2043" s="9">
        <v>22011.05</v>
      </c>
      <c r="D2043" s="9">
        <v>21665.3</v>
      </c>
      <c r="E2043" s="9">
        <v>21717.95</v>
      </c>
      <c r="F2043" s="9">
        <v>4.91069786E8</v>
      </c>
      <c r="G2043" s="47">
        <v>41082.02</v>
      </c>
    </row>
    <row r="2044" ht="14.25" customHeight="1">
      <c r="A2044" s="46">
        <v>45331.0</v>
      </c>
      <c r="B2044" s="9">
        <v>21727.0</v>
      </c>
      <c r="C2044" s="9">
        <v>21804.45</v>
      </c>
      <c r="D2044" s="9">
        <v>21629.9</v>
      </c>
      <c r="E2044" s="9">
        <v>21782.5</v>
      </c>
      <c r="F2044" s="9">
        <v>3.4922285E8</v>
      </c>
      <c r="G2044" s="47">
        <v>31176.16</v>
      </c>
    </row>
    <row r="2045" ht="14.25" customHeight="1">
      <c r="A2045" s="46">
        <v>45334.0</v>
      </c>
      <c r="B2045" s="9">
        <v>21800.8</v>
      </c>
      <c r="C2045" s="9">
        <v>21831.7</v>
      </c>
      <c r="D2045" s="9">
        <v>21574.75</v>
      </c>
      <c r="E2045" s="9">
        <v>21616.05</v>
      </c>
      <c r="F2045" s="9">
        <v>2.87436165E8</v>
      </c>
      <c r="G2045" s="47">
        <v>23921.14</v>
      </c>
    </row>
    <row r="2046" ht="14.25" customHeight="1">
      <c r="A2046" s="46">
        <v>45335.0</v>
      </c>
      <c r="B2046" s="9">
        <v>21664.3</v>
      </c>
      <c r="C2046" s="9">
        <v>21766.8</v>
      </c>
      <c r="D2046" s="9">
        <v>21543.35</v>
      </c>
      <c r="E2046" s="9">
        <v>21743.25</v>
      </c>
      <c r="F2046" s="9">
        <v>3.65785766E8</v>
      </c>
      <c r="G2046" s="47">
        <v>29896.62</v>
      </c>
    </row>
    <row r="2047" ht="14.25" customHeight="1">
      <c r="A2047" s="46">
        <v>45336.0</v>
      </c>
      <c r="B2047" s="9">
        <v>21578.15</v>
      </c>
      <c r="C2047" s="9">
        <v>21870.85</v>
      </c>
      <c r="D2047" s="9">
        <v>21530.2</v>
      </c>
      <c r="E2047" s="9">
        <v>21840.05</v>
      </c>
      <c r="F2047" s="9">
        <v>3.59120861E8</v>
      </c>
      <c r="G2047" s="47">
        <v>32535.0</v>
      </c>
    </row>
    <row r="2048" ht="14.25" customHeight="1">
      <c r="A2048" s="46">
        <v>45337.0</v>
      </c>
      <c r="B2048" s="9">
        <v>21906.55</v>
      </c>
      <c r="C2048" s="9">
        <v>21953.85</v>
      </c>
      <c r="D2048" s="9">
        <v>21794.8</v>
      </c>
      <c r="E2048" s="9">
        <v>21910.75</v>
      </c>
      <c r="F2048" s="9">
        <v>3.45394395E8</v>
      </c>
      <c r="G2048" s="47">
        <v>29559.69</v>
      </c>
    </row>
    <row r="2049" ht="14.25" customHeight="1">
      <c r="A2049" s="46">
        <v>45338.0</v>
      </c>
      <c r="B2049" s="9">
        <v>22020.3</v>
      </c>
      <c r="C2049" s="9">
        <v>22068.65</v>
      </c>
      <c r="D2049" s="9">
        <v>21968.95</v>
      </c>
      <c r="E2049" s="9">
        <v>22040.7</v>
      </c>
      <c r="F2049" s="9"/>
      <c r="G2049" s="47"/>
    </row>
    <row r="2050" ht="14.25" customHeight="1">
      <c r="A2050" s="46">
        <v>45341.0</v>
      </c>
      <c r="B2050" s="9">
        <v>22103.45</v>
      </c>
      <c r="C2050" s="9">
        <v>22186.65</v>
      </c>
      <c r="D2050" s="9">
        <v>22021.05</v>
      </c>
      <c r="E2050" s="9">
        <v>22122.25</v>
      </c>
      <c r="F2050" s="9">
        <v>2.18252325E8</v>
      </c>
      <c r="G2050" s="47">
        <v>21375.71</v>
      </c>
    </row>
    <row r="2051" ht="14.25" customHeight="1">
      <c r="A2051" s="46">
        <v>45342.0</v>
      </c>
      <c r="B2051" s="9">
        <v>22099.2</v>
      </c>
      <c r="C2051" s="9">
        <v>22215.6</v>
      </c>
      <c r="D2051" s="9">
        <v>22045.85</v>
      </c>
      <c r="E2051" s="9">
        <v>22196.95</v>
      </c>
      <c r="F2051" s="9">
        <v>2.95705319E8</v>
      </c>
      <c r="G2051" s="47">
        <v>26872.32</v>
      </c>
    </row>
    <row r="2052" ht="14.25" customHeight="1">
      <c r="A2052" s="46">
        <v>45343.0</v>
      </c>
      <c r="B2052" s="9">
        <v>22248.85</v>
      </c>
      <c r="C2052" s="9">
        <v>22249.4</v>
      </c>
      <c r="D2052" s="9">
        <v>21997.95</v>
      </c>
      <c r="E2052" s="9">
        <v>22055.05</v>
      </c>
      <c r="F2052" s="9">
        <v>3.64545679E8</v>
      </c>
      <c r="G2052" s="47">
        <v>29741.39</v>
      </c>
    </row>
    <row r="2053" ht="14.25" customHeight="1">
      <c r="A2053" s="46">
        <v>45344.0</v>
      </c>
      <c r="B2053" s="9">
        <v>22081.55</v>
      </c>
      <c r="C2053" s="9">
        <v>22252.5</v>
      </c>
      <c r="D2053" s="9">
        <v>21875.25</v>
      </c>
      <c r="E2053" s="9">
        <v>22217.45</v>
      </c>
      <c r="F2053" s="9">
        <v>3.43495136E8</v>
      </c>
      <c r="G2053" s="47">
        <v>33985.94</v>
      </c>
    </row>
    <row r="2054" ht="14.25" customHeight="1">
      <c r="A2054" s="46">
        <v>45345.0</v>
      </c>
      <c r="B2054" s="9">
        <v>22290.0</v>
      </c>
      <c r="C2054" s="9">
        <v>22297.5</v>
      </c>
      <c r="D2054" s="9">
        <v>22186.1</v>
      </c>
      <c r="E2054" s="9">
        <v>22212.7</v>
      </c>
      <c r="F2054" s="9">
        <v>2.25983194E8</v>
      </c>
      <c r="G2054" s="47">
        <v>24617.01</v>
      </c>
    </row>
    <row r="2055" ht="14.25" customHeight="1">
      <c r="A2055" s="46">
        <v>45348.0</v>
      </c>
      <c r="B2055" s="9">
        <v>22169.2</v>
      </c>
      <c r="C2055" s="9">
        <v>22202.15</v>
      </c>
      <c r="D2055" s="9">
        <v>22075.15</v>
      </c>
      <c r="E2055" s="9">
        <v>22122.05</v>
      </c>
      <c r="F2055" s="9">
        <v>2.07775504E8</v>
      </c>
      <c r="G2055" s="47">
        <v>20850.26</v>
      </c>
    </row>
    <row r="2056" ht="14.25" customHeight="1">
      <c r="A2056" s="46">
        <v>45349.0</v>
      </c>
      <c r="B2056" s="9">
        <v>22090.2</v>
      </c>
      <c r="C2056" s="9">
        <v>22218.25</v>
      </c>
      <c r="D2056" s="9">
        <v>22085.65</v>
      </c>
      <c r="E2056" s="9">
        <v>22198.35</v>
      </c>
      <c r="F2056" s="9">
        <v>2.52199186E8</v>
      </c>
      <c r="G2056" s="47">
        <v>24620.71</v>
      </c>
    </row>
    <row r="2057" ht="14.25" customHeight="1">
      <c r="A2057" s="46">
        <v>45350.0</v>
      </c>
      <c r="B2057" s="9">
        <v>22214.1</v>
      </c>
      <c r="C2057" s="9">
        <v>22229.15</v>
      </c>
      <c r="D2057" s="9">
        <v>21915.85</v>
      </c>
      <c r="E2057" s="9">
        <v>21951.15</v>
      </c>
      <c r="F2057" s="9">
        <v>2.02952371E8</v>
      </c>
      <c r="G2057" s="47">
        <v>20579.8</v>
      </c>
    </row>
    <row r="2058" ht="14.25" customHeight="1">
      <c r="A2058" s="46">
        <v>45351.0</v>
      </c>
      <c r="B2058" s="9">
        <v>21935.2</v>
      </c>
      <c r="C2058" s="9">
        <v>22060.55</v>
      </c>
      <c r="D2058" s="9">
        <v>21860.65</v>
      </c>
      <c r="E2058" s="9">
        <v>21982.8</v>
      </c>
      <c r="F2058" s="9">
        <v>3.60165824E8</v>
      </c>
      <c r="G2058" s="47">
        <v>40196.12</v>
      </c>
    </row>
    <row r="2059" ht="14.25" customHeight="1">
      <c r="A2059" s="46">
        <v>45352.0</v>
      </c>
      <c r="B2059" s="9">
        <v>22048.3</v>
      </c>
      <c r="C2059" s="9">
        <v>22353.3</v>
      </c>
      <c r="D2059" s="9">
        <v>22047.75</v>
      </c>
      <c r="E2059" s="9">
        <v>22338.75</v>
      </c>
      <c r="F2059" s="9">
        <v>3.51503075E8</v>
      </c>
      <c r="G2059" s="47">
        <v>29646.47</v>
      </c>
    </row>
    <row r="2060" ht="14.25" customHeight="1">
      <c r="A2060" s="46">
        <v>45353.0</v>
      </c>
      <c r="B2060" s="9">
        <v>22406.95</v>
      </c>
      <c r="C2060" s="9">
        <v>22419.55</v>
      </c>
      <c r="D2060" s="9">
        <v>22367.05</v>
      </c>
      <c r="E2060" s="9">
        <v>22378.4</v>
      </c>
      <c r="F2060" s="9">
        <v>3.5763814E7</v>
      </c>
      <c r="G2060" s="47">
        <v>1918.77</v>
      </c>
    </row>
    <row r="2061" ht="14.25" customHeight="1">
      <c r="A2061" s="46">
        <v>45355.0</v>
      </c>
      <c r="B2061" s="9">
        <v>22403.5</v>
      </c>
      <c r="C2061" s="9">
        <v>22440.9</v>
      </c>
      <c r="D2061" s="9">
        <v>22358.3</v>
      </c>
      <c r="E2061" s="9">
        <v>22405.6</v>
      </c>
      <c r="F2061" s="9">
        <v>2.98794435E8</v>
      </c>
      <c r="G2061" s="47">
        <v>23771.71</v>
      </c>
    </row>
    <row r="2062" ht="14.25" customHeight="1">
      <c r="A2062" s="46">
        <v>45356.0</v>
      </c>
      <c r="B2062" s="9">
        <v>22371.25</v>
      </c>
      <c r="C2062" s="9">
        <v>22416.9</v>
      </c>
      <c r="D2062" s="9">
        <v>22269.15</v>
      </c>
      <c r="E2062" s="9">
        <v>22356.3</v>
      </c>
      <c r="F2062" s="9">
        <v>2.96153036E8</v>
      </c>
      <c r="G2062" s="47">
        <v>29165.37</v>
      </c>
    </row>
    <row r="2063" ht="14.25" customHeight="1">
      <c r="A2063" s="46">
        <v>45357.0</v>
      </c>
      <c r="B2063" s="9">
        <v>22327.5</v>
      </c>
      <c r="C2063" s="9">
        <v>22497.2</v>
      </c>
      <c r="D2063" s="9">
        <v>22224.35</v>
      </c>
      <c r="E2063" s="9">
        <v>22474.05</v>
      </c>
      <c r="F2063" s="9">
        <v>3.1226256E8</v>
      </c>
      <c r="G2063" s="47">
        <v>31029.01</v>
      </c>
    </row>
    <row r="2064" ht="14.25" customHeight="1">
      <c r="A2064" s="46">
        <v>45358.0</v>
      </c>
      <c r="B2064" s="9">
        <v>22505.3</v>
      </c>
      <c r="C2064" s="9">
        <v>22525.65</v>
      </c>
      <c r="D2064" s="9">
        <v>22430.0</v>
      </c>
      <c r="E2064" s="9">
        <v>22493.55</v>
      </c>
      <c r="F2064" s="9">
        <v>3.79865142E8</v>
      </c>
      <c r="G2064" s="47">
        <v>33558.46</v>
      </c>
    </row>
    <row r="2065" ht="14.25" customHeight="1">
      <c r="A2065" s="46">
        <v>45362.0</v>
      </c>
      <c r="B2065" s="9">
        <v>22517.5</v>
      </c>
      <c r="C2065" s="9">
        <v>22526.6</v>
      </c>
      <c r="D2065" s="9">
        <v>22307.25</v>
      </c>
      <c r="E2065" s="9">
        <v>22332.65</v>
      </c>
      <c r="F2065" s="9">
        <v>2.77897373E8</v>
      </c>
      <c r="G2065" s="47">
        <v>27222.37</v>
      </c>
    </row>
    <row r="2066" ht="14.25" customHeight="1">
      <c r="A2066" s="46">
        <v>45363.0</v>
      </c>
      <c r="B2066" s="9">
        <v>22334.45</v>
      </c>
      <c r="C2066" s="9">
        <v>22452.55</v>
      </c>
      <c r="D2066" s="9">
        <v>22256.0</v>
      </c>
      <c r="E2066" s="9">
        <v>22335.7</v>
      </c>
      <c r="F2066" s="9">
        <v>2.99201167E8</v>
      </c>
      <c r="G2066" s="47">
        <v>29781.12</v>
      </c>
    </row>
    <row r="2067" ht="14.25" customHeight="1">
      <c r="A2067" s="46">
        <v>45364.0</v>
      </c>
      <c r="B2067" s="9">
        <v>22432.2</v>
      </c>
      <c r="C2067" s="9">
        <v>22446.75</v>
      </c>
      <c r="D2067" s="9">
        <v>21905.65</v>
      </c>
      <c r="E2067" s="9">
        <v>21997.7</v>
      </c>
      <c r="F2067" s="9">
        <v>4.93341697E8</v>
      </c>
      <c r="G2067" s="47">
        <v>40109.23</v>
      </c>
    </row>
    <row r="2068" ht="14.25" customHeight="1">
      <c r="A2068" s="46">
        <v>45365.0</v>
      </c>
      <c r="B2068" s="9">
        <v>21982.55</v>
      </c>
      <c r="C2068" s="9">
        <v>22204.6</v>
      </c>
      <c r="D2068" s="9">
        <v>21917.5</v>
      </c>
      <c r="E2068" s="9">
        <v>22146.65</v>
      </c>
      <c r="F2068" s="9">
        <v>4.2674246E8</v>
      </c>
      <c r="G2068" s="47">
        <v>37348.3</v>
      </c>
    </row>
    <row r="2069" ht="14.25" customHeight="1">
      <c r="A2069" s="46">
        <v>45366.0</v>
      </c>
      <c r="B2069" s="9">
        <v>22064.85</v>
      </c>
      <c r="C2069" s="9">
        <v>22120.9</v>
      </c>
      <c r="D2069" s="9">
        <v>21931.7</v>
      </c>
      <c r="E2069" s="9">
        <v>22023.35</v>
      </c>
      <c r="F2069" s="9">
        <v>6.61460455E8</v>
      </c>
      <c r="G2069" s="47">
        <v>60260.88</v>
      </c>
    </row>
    <row r="2070" ht="14.25" customHeight="1">
      <c r="A2070" s="46">
        <v>45369.0</v>
      </c>
      <c r="B2070" s="9">
        <v>21990.1</v>
      </c>
      <c r="C2070" s="9">
        <v>22123.7</v>
      </c>
      <c r="D2070" s="9">
        <v>21916.55</v>
      </c>
      <c r="E2070" s="9">
        <v>22055.7</v>
      </c>
      <c r="F2070" s="9">
        <v>3.56321519E8</v>
      </c>
      <c r="G2070" s="47">
        <v>23015.51</v>
      </c>
    </row>
    <row r="2071" ht="14.25" customHeight="1">
      <c r="A2071" s="46">
        <v>45370.0</v>
      </c>
      <c r="B2071" s="9">
        <v>21946.45</v>
      </c>
      <c r="C2071" s="9">
        <v>21978.3</v>
      </c>
      <c r="D2071" s="9">
        <v>21793.1</v>
      </c>
      <c r="E2071" s="9">
        <v>21817.45</v>
      </c>
      <c r="F2071" s="9">
        <v>3.44157465E8</v>
      </c>
      <c r="G2071" s="47">
        <v>30291.6</v>
      </c>
    </row>
    <row r="2072" ht="14.25" customHeight="1">
      <c r="A2072" s="46">
        <v>45371.0</v>
      </c>
      <c r="B2072" s="9">
        <v>21843.9</v>
      </c>
      <c r="C2072" s="9">
        <v>21930.9</v>
      </c>
      <c r="D2072" s="9">
        <v>21710.2</v>
      </c>
      <c r="E2072" s="9">
        <v>21839.1</v>
      </c>
      <c r="F2072" s="9">
        <v>3.12414696E8</v>
      </c>
      <c r="G2072" s="47">
        <v>28939.85</v>
      </c>
    </row>
    <row r="2073" ht="14.25" customHeight="1">
      <c r="A2073" s="46">
        <v>45372.0</v>
      </c>
      <c r="B2073" s="9">
        <v>21989.9</v>
      </c>
      <c r="C2073" s="9">
        <v>22080.95</v>
      </c>
      <c r="D2073" s="9">
        <v>21941.3</v>
      </c>
      <c r="E2073" s="9">
        <v>22011.95</v>
      </c>
      <c r="F2073" s="9">
        <v>3.53172434E8</v>
      </c>
      <c r="G2073" s="47">
        <v>31258.4</v>
      </c>
    </row>
    <row r="2074" ht="14.25" customHeight="1">
      <c r="A2074" s="46">
        <v>45373.0</v>
      </c>
      <c r="B2074" s="9">
        <v>21932.2</v>
      </c>
      <c r="C2074" s="9">
        <v>22180.7</v>
      </c>
      <c r="D2074" s="9">
        <v>21883.3</v>
      </c>
      <c r="E2074" s="9">
        <v>22096.75</v>
      </c>
      <c r="F2074" s="9">
        <v>3.88656439E8</v>
      </c>
      <c r="G2074" s="47">
        <v>39023.19</v>
      </c>
    </row>
    <row r="2075" ht="14.25" customHeight="1">
      <c r="A2075" s="46">
        <v>45377.0</v>
      </c>
      <c r="B2075" s="9">
        <v>21947.9</v>
      </c>
      <c r="C2075" s="9">
        <v>22073.2</v>
      </c>
      <c r="D2075" s="9">
        <v>21947.55</v>
      </c>
      <c r="E2075" s="9">
        <v>22004.7</v>
      </c>
      <c r="F2075" s="9">
        <v>3.28403719E8</v>
      </c>
      <c r="G2075" s="47">
        <v>33382.08</v>
      </c>
    </row>
    <row r="2076" ht="14.25" customHeight="1">
      <c r="A2076" s="46">
        <v>45378.0</v>
      </c>
      <c r="B2076" s="9">
        <v>22053.95</v>
      </c>
      <c r="C2076" s="9">
        <v>22193.6</v>
      </c>
      <c r="D2076" s="9">
        <v>22052.85</v>
      </c>
      <c r="E2076" s="9">
        <v>22123.65</v>
      </c>
      <c r="F2076" s="9">
        <v>4.09136866E8</v>
      </c>
      <c r="G2076" s="47">
        <v>38830.73</v>
      </c>
    </row>
    <row r="2077" ht="14.25" customHeight="1">
      <c r="A2077" s="46">
        <v>45379.0</v>
      </c>
      <c r="B2077" s="9">
        <v>22163.6</v>
      </c>
      <c r="C2077" s="9">
        <v>22516.0</v>
      </c>
      <c r="D2077" s="9">
        <v>22163.6</v>
      </c>
      <c r="E2077" s="9">
        <v>22326.9</v>
      </c>
      <c r="F2077" s="9">
        <v>4.07422815E8</v>
      </c>
      <c r="G2077" s="47">
        <v>45656.57</v>
      </c>
    </row>
    <row r="2078" ht="14.25" customHeight="1">
      <c r="A2078" s="46">
        <v>45383.0</v>
      </c>
      <c r="B2078" s="9">
        <v>22455.0</v>
      </c>
      <c r="C2078" s="9">
        <v>22529.95</v>
      </c>
      <c r="D2078" s="9">
        <v>22427.75</v>
      </c>
      <c r="E2078" s="9">
        <v>22462.0</v>
      </c>
      <c r="F2078" s="9">
        <v>2.43637071E8</v>
      </c>
      <c r="G2078" s="47">
        <v>21420.69</v>
      </c>
    </row>
    <row r="2079" ht="14.25" customHeight="1">
      <c r="A2079" s="46">
        <v>45384.0</v>
      </c>
      <c r="B2079" s="9">
        <v>22458.8</v>
      </c>
      <c r="C2079" s="9">
        <v>22497.6</v>
      </c>
      <c r="D2079" s="9">
        <v>22388.15</v>
      </c>
      <c r="E2079" s="9">
        <v>22453.3</v>
      </c>
      <c r="F2079" s="9">
        <v>2.89524237E8</v>
      </c>
      <c r="G2079" s="47">
        <v>27940.93</v>
      </c>
    </row>
    <row r="2080" ht="14.25" customHeight="1">
      <c r="A2080" s="46">
        <v>45385.0</v>
      </c>
      <c r="B2080" s="9">
        <v>22385.7</v>
      </c>
      <c r="C2080" s="9">
        <v>22521.1</v>
      </c>
      <c r="D2080" s="9">
        <v>22346.5</v>
      </c>
      <c r="E2080" s="9">
        <v>22434.65</v>
      </c>
      <c r="F2080" s="9">
        <v>3.09647491E8</v>
      </c>
      <c r="G2080" s="47">
        <v>30793.28</v>
      </c>
    </row>
    <row r="2081" ht="14.25" customHeight="1">
      <c r="A2081" s="46">
        <v>45386.0</v>
      </c>
      <c r="B2081" s="9">
        <v>22592.1</v>
      </c>
      <c r="C2081" s="9">
        <v>22619.0</v>
      </c>
      <c r="D2081" s="9">
        <v>22303.8</v>
      </c>
      <c r="E2081" s="9">
        <v>22514.65</v>
      </c>
      <c r="F2081" s="9">
        <v>4.00986156E8</v>
      </c>
      <c r="G2081" s="47">
        <v>40705.56</v>
      </c>
    </row>
    <row r="2082" ht="14.25" customHeight="1">
      <c r="A2082" s="46">
        <v>45387.0</v>
      </c>
      <c r="B2082" s="9">
        <v>22486.4</v>
      </c>
      <c r="C2082" s="9">
        <v>22537.6</v>
      </c>
      <c r="D2082" s="9">
        <v>22427.6</v>
      </c>
      <c r="E2082" s="9">
        <v>22513.7</v>
      </c>
      <c r="F2082" s="9">
        <v>2.42244731E8</v>
      </c>
      <c r="G2082" s="47">
        <v>24797.82</v>
      </c>
    </row>
    <row r="2083" ht="14.25" customHeight="1">
      <c r="A2083" s="46">
        <v>45390.0</v>
      </c>
      <c r="B2083" s="9">
        <v>22578.35</v>
      </c>
      <c r="C2083" s="9">
        <v>22697.3</v>
      </c>
      <c r="D2083" s="9">
        <v>22550.35</v>
      </c>
      <c r="E2083" s="9">
        <v>22666.3</v>
      </c>
      <c r="F2083" s="9">
        <v>2.27633561E8</v>
      </c>
      <c r="G2083" s="47">
        <v>22480.2</v>
      </c>
    </row>
    <row r="2084" ht="14.25" customHeight="1">
      <c r="A2084" s="48">
        <v>45391.0</v>
      </c>
      <c r="B2084" s="30">
        <v>22765.1</v>
      </c>
      <c r="C2084" s="30">
        <v>22768.4</v>
      </c>
      <c r="D2084" s="30">
        <v>22612.25</v>
      </c>
      <c r="E2084" s="30">
        <v>22642.75</v>
      </c>
      <c r="F2084" s="30">
        <v>2.32356772E8</v>
      </c>
      <c r="G2084" s="49">
        <v>21651.69</v>
      </c>
    </row>
  </sheetData>
  <mergeCells count="2">
    <mergeCell ref="A1:G1"/>
    <mergeCell ref="N1:P1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1.29"/>
    <col customWidth="1" min="3" max="3" width="8.0"/>
    <col customWidth="1" min="4" max="4" width="10.71"/>
    <col customWidth="1" min="5" max="5" width="19.29"/>
    <col customWidth="1" min="6" max="6" width="11.71"/>
    <col customWidth="1" min="7" max="7" width="8.0"/>
    <col customWidth="1" min="8" max="8" width="15.0"/>
    <col customWidth="1" min="9" max="9" width="15.86"/>
    <col customWidth="1" min="10" max="10" width="15.14"/>
    <col customWidth="1" min="11" max="11" width="10.71"/>
    <col customWidth="1" min="12" max="12" width="15.86"/>
    <col customWidth="1" min="13" max="13" width="16.57"/>
    <col customWidth="1" min="14" max="14" width="25.57"/>
    <col customWidth="1" min="15" max="15" width="7.0"/>
    <col customWidth="1" min="16" max="16" width="9.86"/>
    <col customWidth="1" min="17" max="17" width="16.71"/>
    <col customWidth="1" min="18" max="18" width="14.0"/>
    <col customWidth="1" min="19" max="19" width="16.57"/>
    <col customWidth="1" min="20" max="20" width="12.0"/>
    <col customWidth="1" min="21" max="21" width="14.71"/>
  </cols>
  <sheetData>
    <row r="1" ht="14.25" customHeight="1">
      <c r="A1" s="27"/>
      <c r="B1" s="50">
        <v>45019.0</v>
      </c>
    </row>
    <row r="2" ht="14.25" customHeight="1"/>
    <row r="3" ht="14.25" customHeight="1">
      <c r="D3" s="3" t="s">
        <v>1</v>
      </c>
      <c r="E3" s="4" t="s">
        <v>2</v>
      </c>
      <c r="F3" s="5" t="s">
        <v>3</v>
      </c>
      <c r="H3" s="6" t="s">
        <v>6</v>
      </c>
      <c r="I3" s="6" t="s">
        <v>7</v>
      </c>
    </row>
    <row r="4" ht="14.25" customHeight="1">
      <c r="A4" s="27" t="e">
        <v>#REF!</v>
      </c>
      <c r="D4" s="7" t="s">
        <v>16</v>
      </c>
      <c r="E4" s="8">
        <v>42429.0</v>
      </c>
      <c r="F4" s="9" t="str">
        <f>K7</f>
        <v>-0.4470991323</v>
      </c>
      <c r="H4" s="15" t="s">
        <v>16</v>
      </c>
      <c r="I4" s="16">
        <v>42429.0</v>
      </c>
      <c r="M4" s="15" t="s">
        <v>24</v>
      </c>
      <c r="N4" s="16">
        <v>43651.0</v>
      </c>
      <c r="R4" s="15" t="s">
        <v>28</v>
      </c>
      <c r="S4" s="16">
        <v>44593.0</v>
      </c>
    </row>
    <row r="5" ht="14.25" customHeight="1">
      <c r="D5" s="7" t="s">
        <v>18</v>
      </c>
      <c r="E5" s="8">
        <v>42767.0</v>
      </c>
      <c r="F5" s="9" t="str">
        <f>K16</f>
        <v>0.9801297604</v>
      </c>
    </row>
    <row r="6" ht="14.25" customHeight="1">
      <c r="D6" s="7" t="s">
        <v>22</v>
      </c>
      <c r="E6" s="8">
        <v>43132.0</v>
      </c>
      <c r="F6" s="9" t="str">
        <f>K25</f>
        <v>-0.4555769033</v>
      </c>
      <c r="H6" s="25" t="s">
        <v>52</v>
      </c>
      <c r="I6" s="26" t="s">
        <v>13</v>
      </c>
      <c r="J6" s="15" t="s">
        <v>3</v>
      </c>
      <c r="K6" s="15" t="s">
        <v>21</v>
      </c>
      <c r="M6" s="25" t="s">
        <v>52</v>
      </c>
      <c r="N6" s="26" t="s">
        <v>13</v>
      </c>
      <c r="O6" s="15" t="s">
        <v>3</v>
      </c>
      <c r="P6" s="15" t="s">
        <v>21</v>
      </c>
      <c r="R6" s="25" t="s">
        <v>52</v>
      </c>
      <c r="S6" s="26" t="s">
        <v>13</v>
      </c>
      <c r="T6" s="15" t="s">
        <v>3</v>
      </c>
      <c r="U6" s="15" t="s">
        <v>21</v>
      </c>
    </row>
    <row r="7" ht="14.25" customHeight="1">
      <c r="D7" s="7" t="s">
        <v>24</v>
      </c>
      <c r="E7" s="8">
        <v>43651.0</v>
      </c>
      <c r="F7" s="9" t="str">
        <f>P7</f>
        <v>0.7483420712</v>
      </c>
      <c r="H7" s="46">
        <v>42370.0</v>
      </c>
      <c r="I7" s="47">
        <v>7963.2</v>
      </c>
      <c r="J7" s="15" t="str">
        <f>CORREL(H7:H10,I7:I10)</f>
        <v>-0.4470991323</v>
      </c>
      <c r="K7" s="15" t="str">
        <f>J7</f>
        <v>-0.4470991323</v>
      </c>
      <c r="M7" s="46">
        <v>43466.0</v>
      </c>
      <c r="N7" s="47">
        <v>10910.1</v>
      </c>
      <c r="O7" s="39" t="str">
        <f>CORREL(M7:M10,N7:N10)</f>
        <v>0.7483420712</v>
      </c>
      <c r="P7" s="15" t="str">
        <f>O7</f>
        <v>0.7483420712</v>
      </c>
      <c r="R7" s="46">
        <v>44564.0</v>
      </c>
      <c r="S7" s="47">
        <v>17625.7</v>
      </c>
      <c r="T7" s="39" t="str">
        <f>CORREL(R7:R10,S7:S10)</f>
        <v>-0.2041648325</v>
      </c>
      <c r="U7" s="15" t="str">
        <f>T7</f>
        <v>-0.2041648325</v>
      </c>
    </row>
    <row r="8" ht="14.25" customHeight="1">
      <c r="D8" s="7" t="s">
        <v>26</v>
      </c>
      <c r="E8" s="8">
        <v>43862.0</v>
      </c>
      <c r="F8" s="9" t="str">
        <f>P16</f>
        <v>-0.9032207934</v>
      </c>
      <c r="H8" s="46">
        <v>42401.0</v>
      </c>
      <c r="I8" s="47">
        <v>7555.95</v>
      </c>
      <c r="J8" s="27"/>
      <c r="M8" s="46">
        <v>43497.0</v>
      </c>
      <c r="N8" s="47">
        <v>10893.65</v>
      </c>
      <c r="O8" s="27"/>
      <c r="R8" s="46">
        <v>44593.0</v>
      </c>
      <c r="S8" s="47">
        <v>17576.85</v>
      </c>
      <c r="T8" s="27"/>
    </row>
    <row r="9" ht="14.25" customHeight="1">
      <c r="D9" s="7" t="s">
        <v>27</v>
      </c>
      <c r="E9" s="8">
        <v>44228.0</v>
      </c>
      <c r="F9" s="9" t="str">
        <f>P25</f>
        <v>0.9710676764</v>
      </c>
      <c r="H9" s="46">
        <v>42430.0</v>
      </c>
      <c r="I9" s="47">
        <v>7222.3</v>
      </c>
      <c r="J9" s="27"/>
      <c r="M9" s="46">
        <v>43525.0</v>
      </c>
      <c r="N9" s="47">
        <v>10863.5</v>
      </c>
      <c r="O9" s="27"/>
      <c r="R9" s="46">
        <v>44622.0</v>
      </c>
      <c r="S9" s="47">
        <v>16605.95</v>
      </c>
      <c r="T9" s="27"/>
    </row>
    <row r="10" ht="14.25" customHeight="1">
      <c r="D10" s="7" t="s">
        <v>28</v>
      </c>
      <c r="E10" s="8">
        <v>44593.0</v>
      </c>
      <c r="F10" s="9" t="str">
        <f>U7</f>
        <v>-0.2041648325</v>
      </c>
      <c r="H10" s="48">
        <v>42461.0</v>
      </c>
      <c r="I10" s="49">
        <v>7713.05</v>
      </c>
      <c r="J10" s="27"/>
      <c r="M10" s="48">
        <v>43556.0</v>
      </c>
      <c r="N10" s="49">
        <v>11669.15</v>
      </c>
      <c r="O10" s="27"/>
      <c r="R10" s="48">
        <v>44652.0</v>
      </c>
      <c r="S10" s="49">
        <v>17670.45</v>
      </c>
      <c r="T10" s="27"/>
    </row>
    <row r="11" ht="14.25" customHeight="1">
      <c r="D11" s="33" t="s">
        <v>29</v>
      </c>
      <c r="E11" s="34">
        <v>44958.0</v>
      </c>
      <c r="F11" s="9" t="str">
        <f>T16</f>
        <v>-0.8957642432</v>
      </c>
    </row>
    <row r="12" ht="14.25" customHeight="1">
      <c r="D12" s="33"/>
      <c r="E12" s="49" t="str">
        <f>SUBTOTAL(103,'NSE CORRELATION WITH PIVOTTABLE'!$E$4:$E$11)</f>
        <v>8</v>
      </c>
      <c r="F12" s="51" t="str">
        <f>SUBTOTAL(101,'NSE CORRELATION WITH PIVOTTABLE'!$F$4:$F$11)</f>
        <v>-0.02578579959</v>
      </c>
    </row>
    <row r="13" ht="14.25" customHeight="1">
      <c r="D13" s="27"/>
      <c r="E13" s="38"/>
      <c r="F13" s="27"/>
      <c r="H13" s="15" t="s">
        <v>18</v>
      </c>
      <c r="I13" s="16">
        <v>42767.0</v>
      </c>
      <c r="M13" s="15" t="s">
        <v>26</v>
      </c>
      <c r="N13" s="16">
        <v>43862.0</v>
      </c>
      <c r="R13" s="15" t="s">
        <v>29</v>
      </c>
      <c r="S13" s="16">
        <v>44958.0</v>
      </c>
    </row>
    <row r="14" ht="14.25" customHeight="1">
      <c r="D14" s="27"/>
      <c r="E14" s="38"/>
      <c r="F14" s="27"/>
    </row>
    <row r="15" ht="14.25" customHeight="1">
      <c r="D15" s="27"/>
      <c r="E15" s="38"/>
      <c r="F15" s="27"/>
      <c r="H15" s="25" t="s">
        <v>52</v>
      </c>
      <c r="I15" s="26" t="s">
        <v>13</v>
      </c>
      <c r="J15" s="15" t="s">
        <v>3</v>
      </c>
      <c r="K15" s="15" t="s">
        <v>21</v>
      </c>
      <c r="M15" s="25" t="s">
        <v>52</v>
      </c>
      <c r="N15" s="26" t="s">
        <v>13</v>
      </c>
      <c r="O15" s="15" t="s">
        <v>3</v>
      </c>
      <c r="P15" s="15" t="s">
        <v>21</v>
      </c>
      <c r="R15" s="25" t="s">
        <v>52</v>
      </c>
      <c r="S15" s="26" t="s">
        <v>13</v>
      </c>
      <c r="T15" s="15" t="s">
        <v>3</v>
      </c>
      <c r="U15" s="15" t="s">
        <v>21</v>
      </c>
    </row>
    <row r="16" ht="14.25" customHeight="1">
      <c r="D16" s="27"/>
      <c r="E16" s="38"/>
      <c r="F16" s="27"/>
      <c r="H16" s="46">
        <v>42737.0</v>
      </c>
      <c r="I16" s="47">
        <v>8179.5</v>
      </c>
      <c r="J16" s="15" t="str">
        <f>CORREL(H16:H19,I16:I19)</f>
        <v>0.9801297604</v>
      </c>
      <c r="K16" s="15" t="str">
        <f>J16</f>
        <v>0.9801297604</v>
      </c>
      <c r="M16" s="46">
        <v>43831.0</v>
      </c>
      <c r="N16" s="47">
        <v>12182.5</v>
      </c>
      <c r="O16" s="39" t="str">
        <f>CORREL(M16:M19,N16:N19)</f>
        <v>-0.9032207934</v>
      </c>
      <c r="P16" s="15" t="str">
        <f>O16</f>
        <v>-0.9032207934</v>
      </c>
      <c r="R16" s="46">
        <v>44928.0</v>
      </c>
      <c r="S16" s="47">
        <v>18197.45</v>
      </c>
      <c r="T16" s="39" t="str">
        <f>CORREL(R16:R19,S16:S19)</f>
        <v>-0.8957642432</v>
      </c>
      <c r="U16" s="15" t="str">
        <f>T16</f>
        <v>-0.8957642432</v>
      </c>
    </row>
    <row r="17" ht="14.25" customHeight="1">
      <c r="D17" s="27"/>
      <c r="E17" s="38"/>
      <c r="F17" s="27"/>
      <c r="H17" s="46">
        <v>42767.0</v>
      </c>
      <c r="I17" s="47">
        <v>8716.4</v>
      </c>
      <c r="J17" s="27"/>
      <c r="M17" s="46">
        <v>43862.0</v>
      </c>
      <c r="N17" s="47">
        <v>11661.85</v>
      </c>
      <c r="O17" s="27"/>
      <c r="R17" s="46">
        <v>44958.0</v>
      </c>
      <c r="S17" s="47">
        <v>17616.3</v>
      </c>
      <c r="T17" s="27"/>
    </row>
    <row r="18" ht="14.25" customHeight="1">
      <c r="H18" s="46">
        <v>42795.0</v>
      </c>
      <c r="I18" s="47">
        <v>8945.8</v>
      </c>
      <c r="J18" s="27"/>
      <c r="M18" s="46">
        <v>43892.0</v>
      </c>
      <c r="N18" s="47">
        <v>11132.75</v>
      </c>
      <c r="O18" s="27"/>
      <c r="R18" s="46">
        <v>44986.0</v>
      </c>
      <c r="S18" s="47">
        <v>17450.9</v>
      </c>
      <c r="T18" s="27"/>
    </row>
    <row r="19" ht="14.25" customHeight="1">
      <c r="H19" s="48">
        <v>42828.0</v>
      </c>
      <c r="I19" s="49">
        <v>9237.85</v>
      </c>
      <c r="J19" s="27"/>
      <c r="M19" s="48">
        <v>43922.0</v>
      </c>
      <c r="N19" s="49">
        <v>8253.8</v>
      </c>
      <c r="O19" s="27"/>
      <c r="R19" s="48">
        <v>45019.0</v>
      </c>
      <c r="S19" s="49">
        <v>17398.05</v>
      </c>
      <c r="T19" s="27"/>
    </row>
    <row r="20" ht="14.25" customHeight="1">
      <c r="D20" s="15"/>
      <c r="E20" s="16"/>
    </row>
    <row r="21" ht="14.25" customHeight="1"/>
    <row r="22" ht="14.25" customHeight="1">
      <c r="D22" s="25" t="s">
        <v>52</v>
      </c>
      <c r="E22" s="26" t="s">
        <v>13</v>
      </c>
      <c r="F22" s="15" t="s">
        <v>3</v>
      </c>
      <c r="H22" s="15" t="s">
        <v>22</v>
      </c>
      <c r="I22" s="16">
        <v>42767.0</v>
      </c>
      <c r="M22" s="15" t="s">
        <v>27</v>
      </c>
      <c r="N22" s="16">
        <v>44228.0</v>
      </c>
    </row>
    <row r="23" ht="14.25" customHeight="1">
      <c r="D23" s="46"/>
      <c r="E23" s="47"/>
      <c r="F23" s="15" t="str">
        <f>CORREL(D23:D26,E23:E26)</f>
        <v>#DIV/0!</v>
      </c>
    </row>
    <row r="24" ht="14.25" customHeight="1">
      <c r="D24" s="46"/>
      <c r="E24" s="47"/>
      <c r="F24" s="27"/>
      <c r="H24" s="25" t="s">
        <v>52</v>
      </c>
      <c r="I24" s="26" t="s">
        <v>13</v>
      </c>
      <c r="J24" s="39" t="s">
        <v>3</v>
      </c>
      <c r="K24" s="15" t="s">
        <v>21</v>
      </c>
      <c r="M24" s="25" t="s">
        <v>52</v>
      </c>
      <c r="N24" s="26" t="s">
        <v>13</v>
      </c>
      <c r="O24" s="39" t="s">
        <v>3</v>
      </c>
      <c r="P24" s="15" t="s">
        <v>21</v>
      </c>
    </row>
    <row r="25" ht="14.25" customHeight="1">
      <c r="D25" s="46"/>
      <c r="E25" s="47"/>
      <c r="F25" s="27"/>
      <c r="H25" s="46">
        <v>43101.0</v>
      </c>
      <c r="I25" s="47">
        <v>10435.55</v>
      </c>
      <c r="J25" s="39" t="str">
        <f>CORREL(H25:H28,I25:I28)</f>
        <v>-0.4555769033</v>
      </c>
      <c r="K25" s="15" t="str">
        <f>J25</f>
        <v>-0.4555769033</v>
      </c>
      <c r="M25" s="46">
        <v>44197.0</v>
      </c>
      <c r="N25" s="47">
        <v>14018.5</v>
      </c>
      <c r="O25" s="39" t="str">
        <f>CORREL(M25:M28,N25:N28)</f>
        <v>0.9710676764</v>
      </c>
      <c r="P25" s="15" t="str">
        <f>O25</f>
        <v>0.9710676764</v>
      </c>
    </row>
    <row r="26" ht="14.25" customHeight="1">
      <c r="D26" s="48"/>
      <c r="E26" s="49"/>
      <c r="F26" s="27"/>
      <c r="H26" s="46">
        <v>43132.0</v>
      </c>
      <c r="I26" s="47">
        <v>11016.9</v>
      </c>
      <c r="J26" s="27"/>
      <c r="M26" s="46">
        <v>44228.0</v>
      </c>
      <c r="N26" s="47">
        <v>14281.2</v>
      </c>
      <c r="O26" s="27"/>
    </row>
    <row r="27" ht="14.25" customHeight="1">
      <c r="H27" s="46">
        <v>43160.0</v>
      </c>
      <c r="I27" s="47">
        <v>10458.35</v>
      </c>
      <c r="J27" s="27"/>
      <c r="M27" s="46">
        <v>44256.0</v>
      </c>
      <c r="N27" s="47">
        <v>14761.55</v>
      </c>
      <c r="O27" s="27"/>
    </row>
    <row r="28" ht="14.25" customHeight="1">
      <c r="H28" s="48">
        <v>43192.0</v>
      </c>
      <c r="I28" s="49">
        <v>10211.8</v>
      </c>
      <c r="J28" s="27"/>
      <c r="M28" s="48">
        <v>44287.0</v>
      </c>
      <c r="N28" s="49">
        <v>14867.35</v>
      </c>
      <c r="O28" s="27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0.0"/>
    <col customWidth="1" min="9" max="9" width="8.71"/>
    <col customWidth="1" min="10" max="10" width="12.71"/>
    <col customWidth="1" min="11" max="11" width="14.71"/>
    <col customWidth="1" min="12" max="12" width="17.71"/>
  </cols>
  <sheetData>
    <row r="1" ht="14.25" customHeight="1">
      <c r="A1" s="52" t="s">
        <v>7</v>
      </c>
      <c r="B1" s="53" t="s">
        <v>10</v>
      </c>
      <c r="C1" s="53" t="s">
        <v>11</v>
      </c>
      <c r="D1" s="53" t="s">
        <v>12</v>
      </c>
      <c r="E1" s="54" t="s">
        <v>13</v>
      </c>
      <c r="G1" s="3" t="s">
        <v>1</v>
      </c>
      <c r="H1" s="4" t="s">
        <v>2</v>
      </c>
    </row>
    <row r="2" ht="14.25" customHeight="1">
      <c r="A2" s="55">
        <v>45383.0</v>
      </c>
      <c r="B2" s="56">
        <v>22455.0</v>
      </c>
      <c r="C2" s="57">
        <v>22768.4</v>
      </c>
      <c r="D2" s="56">
        <v>22303.8</v>
      </c>
      <c r="E2" s="58">
        <v>22642.75</v>
      </c>
      <c r="G2" s="7" t="s">
        <v>5</v>
      </c>
      <c r="H2" s="8">
        <v>40235.0</v>
      </c>
      <c r="J2" s="6" t="s">
        <v>6</v>
      </c>
      <c r="K2" s="6" t="s">
        <v>7</v>
      </c>
      <c r="L2" s="6"/>
    </row>
    <row r="3" ht="14.25" customHeight="1">
      <c r="A3" s="55">
        <v>45352.0</v>
      </c>
      <c r="B3" s="56">
        <v>22048.3</v>
      </c>
      <c r="C3" s="57">
        <v>22526.6</v>
      </c>
      <c r="D3" s="56">
        <v>21710.2</v>
      </c>
      <c r="E3" s="58">
        <v>22326.9</v>
      </c>
      <c r="G3" s="7" t="s">
        <v>14</v>
      </c>
      <c r="H3" s="8">
        <v>40602.0</v>
      </c>
      <c r="J3" s="15" t="s">
        <v>5</v>
      </c>
      <c r="K3" s="16">
        <v>40235.0</v>
      </c>
    </row>
    <row r="4" ht="14.25" customHeight="1">
      <c r="A4" s="55">
        <v>45323.0</v>
      </c>
      <c r="B4" s="56">
        <v>21780.65</v>
      </c>
      <c r="C4" s="57">
        <v>22297.5</v>
      </c>
      <c r="D4" s="56">
        <v>21530.2</v>
      </c>
      <c r="E4" s="58">
        <v>21982.8</v>
      </c>
      <c r="G4" s="7" t="s">
        <v>17</v>
      </c>
      <c r="H4" s="8">
        <v>40984.0</v>
      </c>
    </row>
    <row r="5" ht="14.25" customHeight="1">
      <c r="A5" s="55">
        <v>45292.0</v>
      </c>
      <c r="B5" s="56">
        <v>21727.75</v>
      </c>
      <c r="C5" s="57">
        <v>22124.15</v>
      </c>
      <c r="D5" s="56">
        <v>21137.2</v>
      </c>
      <c r="E5" s="58">
        <v>21725.7</v>
      </c>
      <c r="G5" s="7" t="s">
        <v>19</v>
      </c>
      <c r="H5" s="8">
        <v>41333.0</v>
      </c>
      <c r="J5" s="25" t="s">
        <v>20</v>
      </c>
      <c r="K5" s="26" t="s">
        <v>13</v>
      </c>
      <c r="L5" s="15" t="s">
        <v>3</v>
      </c>
    </row>
    <row r="6" ht="14.25" customHeight="1">
      <c r="A6" s="55">
        <v>45261.0</v>
      </c>
      <c r="B6" s="56">
        <v>20194.1</v>
      </c>
      <c r="C6" s="57">
        <v>21801.45</v>
      </c>
      <c r="D6" s="56">
        <v>20183.7</v>
      </c>
      <c r="E6" s="58">
        <v>21731.4</v>
      </c>
      <c r="G6" s="7" t="s">
        <v>23</v>
      </c>
      <c r="H6" s="8">
        <v>41830.0</v>
      </c>
      <c r="J6" s="20" t="s">
        <v>53</v>
      </c>
      <c r="K6" s="22"/>
      <c r="L6" s="15" t="str">
        <f>CORREL(J6:J9,K6:K9)</f>
        <v>#DIV/0!</v>
      </c>
    </row>
    <row r="7" ht="14.25" customHeight="1">
      <c r="A7" s="55">
        <v>45231.0</v>
      </c>
      <c r="B7" s="56">
        <v>19064.05</v>
      </c>
      <c r="C7" s="57">
        <v>20158.7</v>
      </c>
      <c r="D7" s="56">
        <v>18973.7</v>
      </c>
      <c r="E7" s="58">
        <v>20133.15</v>
      </c>
      <c r="G7" s="7" t="s">
        <v>25</v>
      </c>
      <c r="H7" s="8">
        <v>42063.0</v>
      </c>
      <c r="J7" s="20">
        <v>45323.0</v>
      </c>
      <c r="K7" s="22"/>
      <c r="L7" s="27"/>
    </row>
    <row r="8" ht="14.25" customHeight="1">
      <c r="A8" s="55">
        <v>45200.0</v>
      </c>
      <c r="B8" s="56">
        <v>19622.4</v>
      </c>
      <c r="C8" s="57">
        <v>19849.75</v>
      </c>
      <c r="D8" s="56">
        <v>18837.85</v>
      </c>
      <c r="E8" s="58">
        <v>19079.6</v>
      </c>
      <c r="G8" s="7" t="s">
        <v>16</v>
      </c>
      <c r="H8" s="8">
        <v>42429.0</v>
      </c>
      <c r="J8" s="20">
        <v>45352.0</v>
      </c>
      <c r="K8" s="22"/>
      <c r="L8" s="27"/>
    </row>
    <row r="9" ht="14.25" customHeight="1">
      <c r="A9" s="55">
        <v>45170.0</v>
      </c>
      <c r="B9" s="56">
        <v>19258.15</v>
      </c>
      <c r="C9" s="57">
        <v>20222.45</v>
      </c>
      <c r="D9" s="56">
        <v>19255.7</v>
      </c>
      <c r="E9" s="58">
        <v>19638.3</v>
      </c>
      <c r="G9" s="7" t="s">
        <v>18</v>
      </c>
      <c r="H9" s="8">
        <v>42767.0</v>
      </c>
      <c r="J9" s="28">
        <v>45383.0</v>
      </c>
      <c r="K9" s="29"/>
      <c r="L9" s="27"/>
    </row>
    <row r="10" ht="14.25" customHeight="1">
      <c r="A10" s="55">
        <v>45139.0</v>
      </c>
      <c r="B10" s="56">
        <v>19784.0</v>
      </c>
      <c r="C10" s="57">
        <v>19795.6</v>
      </c>
      <c r="D10" s="56">
        <v>19223.65</v>
      </c>
      <c r="E10" s="58">
        <v>19253.8</v>
      </c>
      <c r="G10" s="7" t="s">
        <v>22</v>
      </c>
      <c r="H10" s="8">
        <v>43132.0</v>
      </c>
    </row>
    <row r="11" ht="14.25" customHeight="1">
      <c r="A11" s="55">
        <v>45108.0</v>
      </c>
      <c r="B11" s="56">
        <v>19246.5</v>
      </c>
      <c r="C11" s="57">
        <v>19991.85</v>
      </c>
      <c r="D11" s="56">
        <v>19234.4</v>
      </c>
      <c r="E11" s="58">
        <v>19753.8</v>
      </c>
      <c r="G11" s="7" t="s">
        <v>24</v>
      </c>
      <c r="H11" s="8">
        <v>43651.0</v>
      </c>
    </row>
    <row r="12" ht="14.25" customHeight="1">
      <c r="A12" s="55">
        <v>45078.0</v>
      </c>
      <c r="B12" s="56">
        <v>18579.4</v>
      </c>
      <c r="C12" s="57">
        <v>19201.7</v>
      </c>
      <c r="D12" s="56">
        <v>18464.55</v>
      </c>
      <c r="E12" s="58">
        <v>19189.05</v>
      </c>
      <c r="G12" s="7" t="s">
        <v>26</v>
      </c>
      <c r="H12" s="8">
        <v>43862.0</v>
      </c>
    </row>
    <row r="13" ht="14.25" customHeight="1">
      <c r="A13" s="55">
        <v>45047.0</v>
      </c>
      <c r="B13" s="56">
        <v>18124.8</v>
      </c>
      <c r="C13" s="57">
        <v>18662.45</v>
      </c>
      <c r="D13" s="56">
        <v>18042.4</v>
      </c>
      <c r="E13" s="58">
        <v>18534.4</v>
      </c>
      <c r="G13" s="7" t="s">
        <v>27</v>
      </c>
      <c r="H13" s="8">
        <v>44228.0</v>
      </c>
    </row>
    <row r="14" ht="14.25" customHeight="1">
      <c r="A14" s="55">
        <v>45017.0</v>
      </c>
      <c r="B14" s="56">
        <v>17427.95</v>
      </c>
      <c r="C14" s="57">
        <v>18089.15</v>
      </c>
      <c r="D14" s="56">
        <v>17312.75</v>
      </c>
      <c r="E14" s="58">
        <v>18065.0</v>
      </c>
      <c r="G14" s="7" t="s">
        <v>28</v>
      </c>
      <c r="H14" s="8">
        <v>44593.0</v>
      </c>
    </row>
    <row r="15" ht="14.25" customHeight="1">
      <c r="A15" s="55">
        <v>44986.0</v>
      </c>
      <c r="B15" s="56">
        <v>17360.1</v>
      </c>
      <c r="C15" s="57">
        <v>17799.95</v>
      </c>
      <c r="D15" s="56">
        <v>16828.35</v>
      </c>
      <c r="E15" s="58">
        <v>17359.75</v>
      </c>
      <c r="G15" s="33" t="s">
        <v>29</v>
      </c>
      <c r="H15" s="34">
        <v>44958.0</v>
      </c>
    </row>
    <row r="16" ht="14.25" customHeight="1">
      <c r="A16" s="55">
        <v>44958.0</v>
      </c>
      <c r="B16" s="56">
        <v>17811.6</v>
      </c>
      <c r="C16" s="57">
        <v>18134.75</v>
      </c>
      <c r="D16" s="56">
        <v>17255.2</v>
      </c>
      <c r="E16" s="58">
        <v>17303.95</v>
      </c>
    </row>
    <row r="17" ht="14.25" customHeight="1">
      <c r="A17" s="55">
        <v>44927.0</v>
      </c>
      <c r="B17" s="56">
        <v>18131.7</v>
      </c>
      <c r="C17" s="57">
        <v>18251.95</v>
      </c>
      <c r="D17" s="56">
        <v>17405.55</v>
      </c>
      <c r="E17" s="58">
        <v>17662.15</v>
      </c>
    </row>
    <row r="18" ht="14.25" customHeight="1">
      <c r="A18" s="55">
        <v>44896.0</v>
      </c>
      <c r="B18" s="56">
        <v>18871.95</v>
      </c>
      <c r="C18" s="57">
        <v>18887.6</v>
      </c>
      <c r="D18" s="56">
        <v>17774.25</v>
      </c>
      <c r="E18" s="58">
        <v>18105.3</v>
      </c>
    </row>
    <row r="19" ht="14.25" customHeight="1">
      <c r="A19" s="55">
        <v>44866.0</v>
      </c>
      <c r="B19" s="56">
        <v>18130.7</v>
      </c>
      <c r="C19" s="57">
        <v>18816.05</v>
      </c>
      <c r="D19" s="56">
        <v>17959.2</v>
      </c>
      <c r="E19" s="58">
        <v>18758.35</v>
      </c>
    </row>
    <row r="20" ht="14.25" customHeight="1">
      <c r="A20" s="55">
        <v>44835.0</v>
      </c>
      <c r="B20" s="56">
        <v>17102.1</v>
      </c>
      <c r="C20" s="57">
        <v>18022.8</v>
      </c>
      <c r="D20" s="56">
        <v>16855.55</v>
      </c>
      <c r="E20" s="58">
        <v>18012.2</v>
      </c>
    </row>
    <row r="21" ht="14.25" customHeight="1">
      <c r="A21" s="55">
        <v>44805.0</v>
      </c>
      <c r="B21" s="56">
        <v>17485.7</v>
      </c>
      <c r="C21" s="57">
        <v>18096.15</v>
      </c>
      <c r="D21" s="56">
        <v>16747.7</v>
      </c>
      <c r="E21" s="58">
        <v>17094.35</v>
      </c>
    </row>
    <row r="22" ht="14.25" customHeight="1">
      <c r="A22" s="55">
        <v>44774.0</v>
      </c>
      <c r="B22" s="56">
        <v>17243.2</v>
      </c>
      <c r="C22" s="57">
        <v>17992.2</v>
      </c>
      <c r="D22" s="56">
        <v>17154.8</v>
      </c>
      <c r="E22" s="58">
        <v>17759.3</v>
      </c>
    </row>
    <row r="23" ht="14.25" customHeight="1">
      <c r="A23" s="55">
        <v>44743.0</v>
      </c>
      <c r="B23" s="56">
        <v>15703.7</v>
      </c>
      <c r="C23" s="57">
        <v>17172.8</v>
      </c>
      <c r="D23" s="56">
        <v>15511.05</v>
      </c>
      <c r="E23" s="58">
        <v>17158.25</v>
      </c>
    </row>
    <row r="24" ht="14.25" customHeight="1">
      <c r="A24" s="55">
        <v>44713.0</v>
      </c>
      <c r="B24" s="56">
        <v>16594.4</v>
      </c>
      <c r="C24" s="57">
        <v>16793.85</v>
      </c>
      <c r="D24" s="56">
        <v>15183.4</v>
      </c>
      <c r="E24" s="58">
        <v>15780.25</v>
      </c>
    </row>
    <row r="25" ht="14.25" customHeight="1">
      <c r="A25" s="55">
        <v>44682.0</v>
      </c>
      <c r="B25" s="56">
        <v>16924.45</v>
      </c>
      <c r="C25" s="57">
        <v>17132.85</v>
      </c>
      <c r="D25" s="56">
        <v>15735.75</v>
      </c>
      <c r="E25" s="58">
        <v>16584.55</v>
      </c>
    </row>
    <row r="26" ht="14.25" customHeight="1">
      <c r="A26" s="55">
        <v>44652.0</v>
      </c>
      <c r="B26" s="56">
        <v>17436.9</v>
      </c>
      <c r="C26" s="57">
        <v>18114.65</v>
      </c>
      <c r="D26" s="56">
        <v>16824.7</v>
      </c>
      <c r="E26" s="58">
        <v>17102.55</v>
      </c>
    </row>
    <row r="27" ht="14.25" customHeight="1">
      <c r="A27" s="55">
        <v>44621.0</v>
      </c>
      <c r="B27" s="56">
        <v>16593.1</v>
      </c>
      <c r="C27" s="57">
        <v>17559.8</v>
      </c>
      <c r="D27" s="56">
        <v>15671.45</v>
      </c>
      <c r="E27" s="58">
        <v>17464.75</v>
      </c>
    </row>
    <row r="28" ht="14.25" customHeight="1">
      <c r="A28" s="55">
        <v>44593.0</v>
      </c>
      <c r="B28" s="56">
        <v>17529.45</v>
      </c>
      <c r="C28" s="57">
        <v>17794.6</v>
      </c>
      <c r="D28" s="56">
        <v>16203.25</v>
      </c>
      <c r="E28" s="58">
        <v>16793.9</v>
      </c>
    </row>
    <row r="29" ht="14.25" customHeight="1">
      <c r="A29" s="55">
        <v>44562.0</v>
      </c>
      <c r="B29" s="56">
        <v>17387.15</v>
      </c>
      <c r="C29" s="57">
        <v>18350.95</v>
      </c>
      <c r="D29" s="56">
        <v>16836.8</v>
      </c>
      <c r="E29" s="58">
        <v>17339.85</v>
      </c>
    </row>
    <row r="30" ht="14.25" customHeight="1">
      <c r="A30" s="55">
        <v>44531.0</v>
      </c>
      <c r="B30" s="56">
        <v>17104.4</v>
      </c>
      <c r="C30" s="57">
        <v>17639.5</v>
      </c>
      <c r="D30" s="56">
        <v>16410.2</v>
      </c>
      <c r="E30" s="58">
        <v>17354.05</v>
      </c>
    </row>
    <row r="31" ht="14.25" customHeight="1">
      <c r="A31" s="55">
        <v>44501.0</v>
      </c>
      <c r="B31" s="56">
        <v>17783.15</v>
      </c>
      <c r="C31" s="57">
        <v>18210.15</v>
      </c>
      <c r="D31" s="56">
        <v>16782.4</v>
      </c>
      <c r="E31" s="58">
        <v>16983.2</v>
      </c>
    </row>
    <row r="32" ht="14.25" customHeight="1">
      <c r="A32" s="55">
        <v>44470.0</v>
      </c>
      <c r="B32" s="56">
        <v>17531.9</v>
      </c>
      <c r="C32" s="57">
        <v>18604.45</v>
      </c>
      <c r="D32" s="56">
        <v>17452.9</v>
      </c>
      <c r="E32" s="58">
        <v>17671.65</v>
      </c>
    </row>
    <row r="33" ht="14.25" customHeight="1">
      <c r="A33" s="55">
        <v>44440.0</v>
      </c>
      <c r="B33" s="56">
        <v>17185.6</v>
      </c>
      <c r="C33" s="57">
        <v>17947.65</v>
      </c>
      <c r="D33" s="56">
        <v>17055.05</v>
      </c>
      <c r="E33" s="58">
        <v>17618.15</v>
      </c>
    </row>
    <row r="34" ht="14.25" customHeight="1">
      <c r="A34" s="55">
        <v>44409.0</v>
      </c>
      <c r="B34" s="56">
        <v>15874.9</v>
      </c>
      <c r="C34" s="57">
        <v>17153.5</v>
      </c>
      <c r="D34" s="56">
        <v>15834.65</v>
      </c>
      <c r="E34" s="58">
        <v>17132.2</v>
      </c>
    </row>
    <row r="35" ht="14.25" customHeight="1">
      <c r="A35" s="55">
        <v>44378.0</v>
      </c>
      <c r="B35" s="56">
        <v>15755.05</v>
      </c>
      <c r="C35" s="57">
        <v>15962.25</v>
      </c>
      <c r="D35" s="56">
        <v>15513.45</v>
      </c>
      <c r="E35" s="58">
        <v>15763.05</v>
      </c>
    </row>
    <row r="36" ht="14.25" customHeight="1">
      <c r="A36" s="55">
        <v>44348.0</v>
      </c>
      <c r="B36" s="56">
        <v>15629.65</v>
      </c>
      <c r="C36" s="57">
        <v>15915.65</v>
      </c>
      <c r="D36" s="56">
        <v>15450.9</v>
      </c>
      <c r="E36" s="58">
        <v>15721.5</v>
      </c>
    </row>
    <row r="37" ht="14.25" customHeight="1">
      <c r="A37" s="55">
        <v>44317.0</v>
      </c>
      <c r="B37" s="56">
        <v>14481.05</v>
      </c>
      <c r="C37" s="57">
        <v>15606.35</v>
      </c>
      <c r="D37" s="56">
        <v>14416.25</v>
      </c>
      <c r="E37" s="58">
        <v>15582.8</v>
      </c>
    </row>
    <row r="38" ht="14.25" customHeight="1">
      <c r="A38" s="55">
        <v>44287.0</v>
      </c>
      <c r="B38" s="56">
        <v>14798.4</v>
      </c>
      <c r="C38" s="57">
        <v>15044.35</v>
      </c>
      <c r="D38" s="56">
        <v>14151.4</v>
      </c>
      <c r="E38" s="58">
        <v>14631.1</v>
      </c>
    </row>
    <row r="39" ht="14.25" customHeight="1">
      <c r="A39" s="55">
        <v>44256.0</v>
      </c>
      <c r="B39" s="56">
        <v>14702.5</v>
      </c>
      <c r="C39" s="57">
        <v>15336.3</v>
      </c>
      <c r="D39" s="56">
        <v>14264.4</v>
      </c>
      <c r="E39" s="58">
        <v>14690.7</v>
      </c>
    </row>
    <row r="40" ht="14.25" customHeight="1">
      <c r="A40" s="55">
        <v>44228.0</v>
      </c>
      <c r="B40" s="56">
        <v>13758.6</v>
      </c>
      <c r="C40" s="57">
        <v>15431.75</v>
      </c>
      <c r="D40" s="56">
        <v>13661.75</v>
      </c>
      <c r="E40" s="58">
        <v>14529.15</v>
      </c>
    </row>
    <row r="41" ht="14.25" customHeight="1">
      <c r="A41" s="55">
        <v>44197.0</v>
      </c>
      <c r="B41" s="56">
        <v>13996.1</v>
      </c>
      <c r="C41" s="57">
        <v>14753.55</v>
      </c>
      <c r="D41" s="56">
        <v>13596.75</v>
      </c>
      <c r="E41" s="58">
        <v>13634.6</v>
      </c>
    </row>
    <row r="42" ht="14.25" customHeight="1">
      <c r="A42" s="55">
        <v>44166.0</v>
      </c>
      <c r="B42" s="56">
        <v>13062.2</v>
      </c>
      <c r="C42" s="57">
        <v>14024.85</v>
      </c>
      <c r="D42" s="56">
        <v>12962.8</v>
      </c>
      <c r="E42" s="58">
        <v>13981.75</v>
      </c>
    </row>
    <row r="43" ht="14.25" customHeight="1">
      <c r="A43" s="55">
        <v>44136.0</v>
      </c>
      <c r="B43" s="56">
        <v>11697.35</v>
      </c>
      <c r="C43" s="57">
        <v>13145.85</v>
      </c>
      <c r="D43" s="56">
        <v>11557.4</v>
      </c>
      <c r="E43" s="58">
        <v>12968.95</v>
      </c>
    </row>
    <row r="44" ht="14.25" customHeight="1">
      <c r="A44" s="55">
        <v>44105.0</v>
      </c>
      <c r="B44" s="56">
        <v>11364.45</v>
      </c>
      <c r="C44" s="57">
        <v>12025.45</v>
      </c>
      <c r="D44" s="56">
        <v>11347.05</v>
      </c>
      <c r="E44" s="58">
        <v>11642.4</v>
      </c>
    </row>
    <row r="45" ht="14.25" customHeight="1">
      <c r="A45" s="55">
        <v>44075.0</v>
      </c>
      <c r="B45" s="56">
        <v>11464.3</v>
      </c>
      <c r="C45" s="57">
        <v>11618.1</v>
      </c>
      <c r="D45" s="56">
        <v>10790.2</v>
      </c>
      <c r="E45" s="58">
        <v>11247.55</v>
      </c>
    </row>
    <row r="46" ht="14.25" customHeight="1">
      <c r="A46" s="55">
        <v>44044.0</v>
      </c>
      <c r="B46" s="56">
        <v>11057.55</v>
      </c>
      <c r="C46" s="57">
        <v>11794.25</v>
      </c>
      <c r="D46" s="56">
        <v>10882.25</v>
      </c>
      <c r="E46" s="58">
        <v>11387.5</v>
      </c>
    </row>
    <row r="47" ht="14.25" customHeight="1">
      <c r="A47" s="55">
        <v>44013.0</v>
      </c>
      <c r="B47" s="56">
        <v>10323.8</v>
      </c>
      <c r="C47" s="57">
        <v>11341.4</v>
      </c>
      <c r="D47" s="56">
        <v>10299.6</v>
      </c>
      <c r="E47" s="58">
        <v>11073.45</v>
      </c>
    </row>
    <row r="48" ht="14.25" customHeight="1">
      <c r="A48" s="55">
        <v>43983.0</v>
      </c>
      <c r="B48" s="56">
        <v>9726.85</v>
      </c>
      <c r="C48" s="57">
        <v>10553.15</v>
      </c>
      <c r="D48" s="56">
        <v>9544.35</v>
      </c>
      <c r="E48" s="58">
        <v>10302.1</v>
      </c>
    </row>
    <row r="49" ht="14.25" customHeight="1">
      <c r="A49" s="55">
        <v>43952.0</v>
      </c>
      <c r="B49" s="56">
        <v>9533.5</v>
      </c>
      <c r="C49" s="57">
        <v>9598.85</v>
      </c>
      <c r="D49" s="56">
        <v>8806.75</v>
      </c>
      <c r="E49" s="58">
        <v>9580.3</v>
      </c>
    </row>
    <row r="50" ht="14.25" customHeight="1">
      <c r="A50" s="55">
        <v>43922.0</v>
      </c>
      <c r="B50" s="56">
        <v>8584.1</v>
      </c>
      <c r="C50" s="57">
        <v>9889.05</v>
      </c>
      <c r="D50" s="56">
        <v>8055.8</v>
      </c>
      <c r="E50" s="58">
        <v>9859.9</v>
      </c>
    </row>
    <row r="51" ht="14.25" customHeight="1">
      <c r="A51" s="55">
        <v>43891.0</v>
      </c>
      <c r="B51" s="56">
        <v>11387.35</v>
      </c>
      <c r="C51" s="57">
        <v>11433.0</v>
      </c>
      <c r="D51" s="56">
        <v>7511.1</v>
      </c>
      <c r="E51" s="58">
        <v>8597.75</v>
      </c>
    </row>
    <row r="52" ht="14.25" customHeight="1">
      <c r="A52" s="55">
        <v>43862.0</v>
      </c>
      <c r="B52" s="56">
        <v>11939.0</v>
      </c>
      <c r="C52" s="57">
        <v>12246.7</v>
      </c>
      <c r="D52" s="56">
        <v>11175.05</v>
      </c>
      <c r="E52" s="58">
        <v>11201.75</v>
      </c>
    </row>
    <row r="53" ht="14.25" customHeight="1">
      <c r="A53" s="55">
        <v>43831.0</v>
      </c>
      <c r="B53" s="56">
        <v>12202.15</v>
      </c>
      <c r="C53" s="57">
        <v>12430.5</v>
      </c>
      <c r="D53" s="56">
        <v>11929.6</v>
      </c>
      <c r="E53" s="58">
        <v>11962.1</v>
      </c>
    </row>
    <row r="54" ht="14.25" customHeight="1">
      <c r="A54" s="55">
        <v>43800.0</v>
      </c>
      <c r="B54" s="56">
        <v>12137.05</v>
      </c>
      <c r="C54" s="57">
        <v>12293.9</v>
      </c>
      <c r="D54" s="56">
        <v>11832.3</v>
      </c>
      <c r="E54" s="58">
        <v>12168.45</v>
      </c>
    </row>
    <row r="55" ht="14.25" customHeight="1">
      <c r="A55" s="55">
        <v>43770.0</v>
      </c>
      <c r="B55" s="56">
        <v>11886.6</v>
      </c>
      <c r="C55" s="57">
        <v>12158.8</v>
      </c>
      <c r="D55" s="56">
        <v>11802.65</v>
      </c>
      <c r="E55" s="58">
        <v>12056.05</v>
      </c>
    </row>
    <row r="56" ht="14.25" customHeight="1">
      <c r="A56" s="55">
        <v>43739.0</v>
      </c>
      <c r="B56" s="56">
        <v>11515.4</v>
      </c>
      <c r="C56" s="57">
        <v>11945.0</v>
      </c>
      <c r="D56" s="56">
        <v>11090.15</v>
      </c>
      <c r="E56" s="58">
        <v>11877.45</v>
      </c>
    </row>
    <row r="57" ht="14.25" customHeight="1">
      <c r="A57" s="55">
        <v>43709.0</v>
      </c>
      <c r="B57" s="56">
        <v>10960.95</v>
      </c>
      <c r="C57" s="57">
        <v>11694.85</v>
      </c>
      <c r="D57" s="56">
        <v>10670.25</v>
      </c>
      <c r="E57" s="58">
        <v>11474.45</v>
      </c>
    </row>
    <row r="58" ht="14.25" customHeight="1">
      <c r="A58" s="55">
        <v>43678.0</v>
      </c>
      <c r="B58" s="56">
        <v>11060.2</v>
      </c>
      <c r="C58" s="57">
        <v>11181.45</v>
      </c>
      <c r="D58" s="56">
        <v>10637.15</v>
      </c>
      <c r="E58" s="58">
        <v>11023.25</v>
      </c>
    </row>
    <row r="59" ht="14.25" customHeight="1">
      <c r="A59" s="55">
        <v>43647.0</v>
      </c>
      <c r="B59" s="56">
        <v>11839.9</v>
      </c>
      <c r="C59" s="57">
        <v>11981.75</v>
      </c>
      <c r="D59" s="56">
        <v>10999.4</v>
      </c>
      <c r="E59" s="58">
        <v>11118.0</v>
      </c>
    </row>
    <row r="60" ht="14.25" customHeight="1">
      <c r="A60" s="55">
        <v>43617.0</v>
      </c>
      <c r="B60" s="56">
        <v>11953.75</v>
      </c>
      <c r="C60" s="57">
        <v>12103.05</v>
      </c>
      <c r="D60" s="56">
        <v>11625.1</v>
      </c>
      <c r="E60" s="58">
        <v>11788.85</v>
      </c>
    </row>
    <row r="61" ht="14.25" customHeight="1">
      <c r="A61" s="55">
        <v>43586.0</v>
      </c>
      <c r="B61" s="56">
        <v>11725.55</v>
      </c>
      <c r="C61" s="57">
        <v>12041.15</v>
      </c>
      <c r="D61" s="56">
        <v>11108.3</v>
      </c>
      <c r="E61" s="58">
        <v>11922.8</v>
      </c>
    </row>
    <row r="62" ht="14.25" customHeight="1">
      <c r="A62" s="55">
        <v>43556.0</v>
      </c>
      <c r="B62" s="56">
        <v>11665.2</v>
      </c>
      <c r="C62" s="57">
        <v>11856.15</v>
      </c>
      <c r="D62" s="56">
        <v>11549.1</v>
      </c>
      <c r="E62" s="58">
        <v>11748.15</v>
      </c>
    </row>
    <row r="63" ht="14.25" customHeight="1">
      <c r="A63" s="55">
        <v>43525.0</v>
      </c>
      <c r="B63" s="56">
        <v>10842.65</v>
      </c>
      <c r="C63" s="57">
        <v>11630.35</v>
      </c>
      <c r="D63" s="56">
        <v>10817.0</v>
      </c>
      <c r="E63" s="58">
        <v>11623.9</v>
      </c>
    </row>
    <row r="64" ht="14.25" customHeight="1">
      <c r="A64" s="55">
        <v>43497.0</v>
      </c>
      <c r="B64" s="56">
        <v>10851.35</v>
      </c>
      <c r="C64" s="57">
        <v>11118.1</v>
      </c>
      <c r="D64" s="56">
        <v>10585.65</v>
      </c>
      <c r="E64" s="58">
        <v>10792.5</v>
      </c>
    </row>
    <row r="65" ht="14.25" customHeight="1">
      <c r="A65" s="55">
        <v>43466.0</v>
      </c>
      <c r="B65" s="56">
        <v>10881.7</v>
      </c>
      <c r="C65" s="57">
        <v>10987.45</v>
      </c>
      <c r="D65" s="56">
        <v>10583.65</v>
      </c>
      <c r="E65" s="58">
        <v>10830.95</v>
      </c>
    </row>
    <row r="66" ht="14.25" customHeight="1">
      <c r="A66" s="55">
        <v>43435.0</v>
      </c>
      <c r="B66" s="56">
        <v>10930.7</v>
      </c>
      <c r="C66" s="57">
        <v>10985.15</v>
      </c>
      <c r="D66" s="56">
        <v>10333.85</v>
      </c>
      <c r="E66" s="58">
        <v>10862.55</v>
      </c>
    </row>
    <row r="67" ht="14.25" customHeight="1">
      <c r="A67" s="55">
        <v>43405.0</v>
      </c>
      <c r="B67" s="56">
        <v>10441.7</v>
      </c>
      <c r="C67" s="57">
        <v>10922.45</v>
      </c>
      <c r="D67" s="56">
        <v>10341.9</v>
      </c>
      <c r="E67" s="58">
        <v>10876.75</v>
      </c>
    </row>
    <row r="68" ht="14.25" customHeight="1">
      <c r="A68" s="55">
        <v>43374.0</v>
      </c>
      <c r="B68" s="56">
        <v>10930.9</v>
      </c>
      <c r="C68" s="57">
        <v>11035.65</v>
      </c>
      <c r="D68" s="56">
        <v>10004.55</v>
      </c>
      <c r="E68" s="58">
        <v>10386.6</v>
      </c>
    </row>
    <row r="69" ht="14.25" customHeight="1">
      <c r="A69" s="55">
        <v>43344.0</v>
      </c>
      <c r="B69" s="56">
        <v>11751.8</v>
      </c>
      <c r="C69" s="57">
        <v>11751.8</v>
      </c>
      <c r="D69" s="56">
        <v>10850.3</v>
      </c>
      <c r="E69" s="58">
        <v>10930.45</v>
      </c>
    </row>
    <row r="70" ht="14.25" customHeight="1">
      <c r="A70" s="55">
        <v>43313.0</v>
      </c>
      <c r="B70" s="56">
        <v>11359.8</v>
      </c>
      <c r="C70" s="57">
        <v>11760.2</v>
      </c>
      <c r="D70" s="56">
        <v>11234.95</v>
      </c>
      <c r="E70" s="58">
        <v>11680.5</v>
      </c>
    </row>
    <row r="71" ht="14.25" customHeight="1">
      <c r="A71" s="55">
        <v>43282.0</v>
      </c>
      <c r="B71" s="56">
        <v>10732.35</v>
      </c>
      <c r="C71" s="57">
        <v>11366.0</v>
      </c>
      <c r="D71" s="56">
        <v>10604.65</v>
      </c>
      <c r="E71" s="58">
        <v>11356.5</v>
      </c>
    </row>
    <row r="72" ht="14.25" customHeight="1">
      <c r="A72" s="55">
        <v>43252.0</v>
      </c>
      <c r="B72" s="56">
        <v>10738.45</v>
      </c>
      <c r="C72" s="57">
        <v>10893.25</v>
      </c>
      <c r="D72" s="56">
        <v>10550.9</v>
      </c>
      <c r="E72" s="58">
        <v>10714.3</v>
      </c>
    </row>
    <row r="73" ht="14.25" customHeight="1">
      <c r="A73" s="55">
        <v>43221.0</v>
      </c>
      <c r="B73" s="56">
        <v>10783.85</v>
      </c>
      <c r="C73" s="57">
        <v>10929.2</v>
      </c>
      <c r="D73" s="56">
        <v>10417.8</v>
      </c>
      <c r="E73" s="58">
        <v>10736.15</v>
      </c>
    </row>
    <row r="74" ht="14.25" customHeight="1">
      <c r="A74" s="55">
        <v>43191.0</v>
      </c>
      <c r="B74" s="56">
        <v>10151.65</v>
      </c>
      <c r="C74" s="57">
        <v>10759.0</v>
      </c>
      <c r="D74" s="56">
        <v>10111.3</v>
      </c>
      <c r="E74" s="58">
        <v>10739.35</v>
      </c>
    </row>
    <row r="75" ht="14.25" customHeight="1">
      <c r="A75" s="55">
        <v>43160.0</v>
      </c>
      <c r="B75" s="56">
        <v>10479.95</v>
      </c>
      <c r="C75" s="57">
        <v>10525.5</v>
      </c>
      <c r="D75" s="56">
        <v>9951.9</v>
      </c>
      <c r="E75" s="58">
        <v>10113.7</v>
      </c>
    </row>
    <row r="76" ht="14.25" customHeight="1">
      <c r="A76" s="55">
        <v>43132.0</v>
      </c>
      <c r="B76" s="56">
        <v>11044.55</v>
      </c>
      <c r="C76" s="57">
        <v>11117.35</v>
      </c>
      <c r="D76" s="56">
        <v>10276.3</v>
      </c>
      <c r="E76" s="58">
        <v>10492.85</v>
      </c>
    </row>
    <row r="77" ht="14.25" customHeight="1">
      <c r="A77" s="55">
        <v>43101.0</v>
      </c>
      <c r="B77" s="56">
        <v>10531.7</v>
      </c>
      <c r="C77" s="57">
        <v>11171.55</v>
      </c>
      <c r="D77" s="56">
        <v>10404.65</v>
      </c>
      <c r="E77" s="58">
        <v>11027.7</v>
      </c>
    </row>
    <row r="78" ht="14.25" customHeight="1">
      <c r="A78" s="55">
        <v>43070.0</v>
      </c>
      <c r="B78" s="56">
        <v>10263.7</v>
      </c>
      <c r="C78" s="57">
        <v>10552.4</v>
      </c>
      <c r="D78" s="56">
        <v>10033.35</v>
      </c>
      <c r="E78" s="58">
        <v>10530.7</v>
      </c>
    </row>
    <row r="79" ht="14.25" customHeight="1">
      <c r="A79" s="55">
        <v>43040.0</v>
      </c>
      <c r="B79" s="56">
        <v>10390.35</v>
      </c>
      <c r="C79" s="57">
        <v>10490.45</v>
      </c>
      <c r="D79" s="56">
        <v>10094.0</v>
      </c>
      <c r="E79" s="58">
        <v>10226.55</v>
      </c>
    </row>
    <row r="80" ht="14.25" customHeight="1">
      <c r="A80" s="55">
        <v>43009.0</v>
      </c>
      <c r="B80" s="56">
        <v>9893.3</v>
      </c>
      <c r="C80" s="57">
        <v>10384.5</v>
      </c>
      <c r="D80" s="56">
        <v>9831.05</v>
      </c>
      <c r="E80" s="58">
        <v>10335.3</v>
      </c>
    </row>
    <row r="81" ht="14.25" customHeight="1">
      <c r="A81" s="55">
        <v>42979.0</v>
      </c>
      <c r="B81" s="56">
        <v>9937.65</v>
      </c>
      <c r="C81" s="57">
        <v>10178.95</v>
      </c>
      <c r="D81" s="56">
        <v>9687.55</v>
      </c>
      <c r="E81" s="58">
        <v>9788.6</v>
      </c>
    </row>
    <row r="82" ht="14.25" customHeight="1">
      <c r="A82" s="55">
        <v>42948.0</v>
      </c>
      <c r="B82" s="56">
        <v>10101.05</v>
      </c>
      <c r="C82" s="57">
        <v>10137.85</v>
      </c>
      <c r="D82" s="56">
        <v>9685.55</v>
      </c>
      <c r="E82" s="58">
        <v>9917.9</v>
      </c>
    </row>
    <row r="83" ht="14.25" customHeight="1">
      <c r="A83" s="55">
        <v>42917.0</v>
      </c>
      <c r="B83" s="56">
        <v>9587.95</v>
      </c>
      <c r="C83" s="57">
        <v>10114.85</v>
      </c>
      <c r="D83" s="56">
        <v>9543.55</v>
      </c>
      <c r="E83" s="58">
        <v>10077.1</v>
      </c>
    </row>
    <row r="84" ht="14.25" customHeight="1">
      <c r="A84" s="55">
        <v>42887.0</v>
      </c>
      <c r="B84" s="56">
        <v>9603.55</v>
      </c>
      <c r="C84" s="57">
        <v>9709.3</v>
      </c>
      <c r="D84" s="56">
        <v>9448.75</v>
      </c>
      <c r="E84" s="58">
        <v>9520.9</v>
      </c>
    </row>
    <row r="85" ht="14.25" customHeight="1">
      <c r="A85" s="55">
        <v>42856.0</v>
      </c>
      <c r="B85" s="56">
        <v>9339.85</v>
      </c>
      <c r="C85" s="57">
        <v>9649.6</v>
      </c>
      <c r="D85" s="56">
        <v>9269.9</v>
      </c>
      <c r="E85" s="58">
        <v>9621.25</v>
      </c>
    </row>
    <row r="86" ht="14.25" customHeight="1">
      <c r="A86" s="55">
        <v>42826.0</v>
      </c>
      <c r="B86" s="56">
        <v>9220.6</v>
      </c>
      <c r="C86" s="57">
        <v>9367.15</v>
      </c>
      <c r="D86" s="56">
        <v>9075.15</v>
      </c>
      <c r="E86" s="58">
        <v>9304.05</v>
      </c>
    </row>
    <row r="87" ht="14.25" customHeight="1">
      <c r="A87" s="55">
        <v>42795.0</v>
      </c>
      <c r="B87" s="56">
        <v>8904.4</v>
      </c>
      <c r="C87" s="57">
        <v>9218.4</v>
      </c>
      <c r="D87" s="56">
        <v>8860.1</v>
      </c>
      <c r="E87" s="58">
        <v>9173.75</v>
      </c>
    </row>
    <row r="88" ht="14.25" customHeight="1">
      <c r="A88" s="55">
        <v>42767.0</v>
      </c>
      <c r="B88" s="56">
        <v>8570.35</v>
      </c>
      <c r="C88" s="57">
        <v>8982.15</v>
      </c>
      <c r="D88" s="56">
        <v>8537.5</v>
      </c>
      <c r="E88" s="58">
        <v>8879.6</v>
      </c>
    </row>
    <row r="89" ht="14.25" customHeight="1">
      <c r="A89" s="55">
        <v>42736.0</v>
      </c>
      <c r="B89" s="56">
        <v>8210.1</v>
      </c>
      <c r="C89" s="57">
        <v>8672.7</v>
      </c>
      <c r="D89" s="56">
        <v>8133.8</v>
      </c>
      <c r="E89" s="58">
        <v>8561.3</v>
      </c>
    </row>
    <row r="90" ht="14.25" customHeight="1">
      <c r="A90" s="55">
        <v>42705.0</v>
      </c>
      <c r="B90" s="56">
        <v>8244.0</v>
      </c>
      <c r="C90" s="57">
        <v>8274.95</v>
      </c>
      <c r="D90" s="56">
        <v>7893.8</v>
      </c>
      <c r="E90" s="58">
        <v>8185.8</v>
      </c>
    </row>
    <row r="91" ht="14.25" customHeight="1">
      <c r="A91" s="55">
        <v>42675.0</v>
      </c>
      <c r="B91" s="56">
        <v>8653.15</v>
      </c>
      <c r="C91" s="57">
        <v>8669.6</v>
      </c>
      <c r="D91" s="56">
        <v>7916.4</v>
      </c>
      <c r="E91" s="58">
        <v>8224.5</v>
      </c>
    </row>
    <row r="92" ht="14.25" customHeight="1">
      <c r="A92" s="55">
        <v>42644.0</v>
      </c>
      <c r="B92" s="56">
        <v>8666.15</v>
      </c>
      <c r="C92" s="57">
        <v>8806.95</v>
      </c>
      <c r="D92" s="56">
        <v>8506.15</v>
      </c>
      <c r="E92" s="58">
        <v>8625.7</v>
      </c>
    </row>
    <row r="93" ht="14.25" customHeight="1">
      <c r="A93" s="55">
        <v>42614.0</v>
      </c>
      <c r="B93" s="56">
        <v>8793.6</v>
      </c>
      <c r="C93" s="57">
        <v>8968.7</v>
      </c>
      <c r="D93" s="56">
        <v>8555.2</v>
      </c>
      <c r="E93" s="58">
        <v>8611.15</v>
      </c>
    </row>
    <row r="94" ht="14.25" customHeight="1">
      <c r="A94" s="55">
        <v>42583.0</v>
      </c>
      <c r="B94" s="56">
        <v>8654.3</v>
      </c>
      <c r="C94" s="57">
        <v>8819.2</v>
      </c>
      <c r="D94" s="56">
        <v>8518.15</v>
      </c>
      <c r="E94" s="58">
        <v>8786.2</v>
      </c>
    </row>
    <row r="95" ht="14.25" customHeight="1">
      <c r="A95" s="55">
        <v>42552.0</v>
      </c>
      <c r="B95" s="56">
        <v>8313.05</v>
      </c>
      <c r="C95" s="57">
        <v>8674.7</v>
      </c>
      <c r="D95" s="56">
        <v>8287.55</v>
      </c>
      <c r="E95" s="58">
        <v>8638.5</v>
      </c>
    </row>
    <row r="96" ht="14.25" customHeight="1">
      <c r="A96" s="55">
        <v>42522.0</v>
      </c>
      <c r="B96" s="56">
        <v>8179.2</v>
      </c>
      <c r="C96" s="57">
        <v>8308.15</v>
      </c>
      <c r="D96" s="56">
        <v>7927.05</v>
      </c>
      <c r="E96" s="58">
        <v>8287.75</v>
      </c>
    </row>
    <row r="97" ht="14.25" customHeight="1">
      <c r="A97" s="55">
        <v>42491.0</v>
      </c>
      <c r="B97" s="56">
        <v>7822.7</v>
      </c>
      <c r="C97" s="57">
        <v>8213.6</v>
      </c>
      <c r="D97" s="56">
        <v>7678.35</v>
      </c>
      <c r="E97" s="58">
        <v>8160.1</v>
      </c>
    </row>
    <row r="98" ht="14.25" customHeight="1">
      <c r="A98" s="55">
        <v>42461.0</v>
      </c>
      <c r="B98" s="56">
        <v>7718.05</v>
      </c>
      <c r="C98" s="57">
        <v>7992.0</v>
      </c>
      <c r="D98" s="56">
        <v>7516.85</v>
      </c>
      <c r="E98" s="58">
        <v>7849.8</v>
      </c>
    </row>
    <row r="99" ht="14.25" customHeight="1">
      <c r="A99" s="55">
        <v>42430.0</v>
      </c>
      <c r="B99" s="56">
        <v>7038.25</v>
      </c>
      <c r="C99" s="57">
        <v>7777.6</v>
      </c>
      <c r="D99" s="56">
        <v>7035.1</v>
      </c>
      <c r="E99" s="58">
        <v>7738.4</v>
      </c>
    </row>
    <row r="100" ht="14.25" customHeight="1">
      <c r="A100" s="55">
        <v>42401.0</v>
      </c>
      <c r="B100" s="56">
        <v>7589.5</v>
      </c>
      <c r="C100" s="57">
        <v>7600.45</v>
      </c>
      <c r="D100" s="56">
        <v>6825.8</v>
      </c>
      <c r="E100" s="58">
        <v>6987.05</v>
      </c>
    </row>
    <row r="101" ht="14.25" customHeight="1">
      <c r="A101" s="55">
        <v>42370.0</v>
      </c>
      <c r="B101" s="56">
        <v>7938.45</v>
      </c>
      <c r="C101" s="57">
        <v>7972.55</v>
      </c>
      <c r="D101" s="56">
        <v>7241.5</v>
      </c>
      <c r="E101" s="58">
        <v>7563.55</v>
      </c>
    </row>
    <row r="102" ht="14.25" customHeight="1">
      <c r="A102" s="55">
        <v>42339.0</v>
      </c>
      <c r="B102" s="56">
        <v>7958.15</v>
      </c>
      <c r="C102" s="57">
        <v>7979.3</v>
      </c>
      <c r="D102" s="56">
        <v>7551.05</v>
      </c>
      <c r="E102" s="58">
        <v>7946.35</v>
      </c>
    </row>
    <row r="103" ht="14.25" customHeight="1">
      <c r="A103" s="55">
        <v>42309.0</v>
      </c>
      <c r="B103" s="56">
        <v>8054.55</v>
      </c>
      <c r="C103" s="57">
        <v>8116.1</v>
      </c>
      <c r="D103" s="56">
        <v>7714.15</v>
      </c>
      <c r="E103" s="58">
        <v>7935.25</v>
      </c>
    </row>
    <row r="104" ht="14.25" customHeight="1">
      <c r="A104" s="55">
        <v>42278.0</v>
      </c>
      <c r="B104" s="56">
        <v>7992.05</v>
      </c>
      <c r="C104" s="57">
        <v>8336.3</v>
      </c>
      <c r="D104" s="56">
        <v>7930.65</v>
      </c>
      <c r="E104" s="58">
        <v>8065.8</v>
      </c>
    </row>
    <row r="105" ht="14.25" customHeight="1">
      <c r="A105" s="55">
        <v>42248.0</v>
      </c>
      <c r="B105" s="56">
        <v>7907.95</v>
      </c>
      <c r="C105" s="57">
        <v>8055.0</v>
      </c>
      <c r="D105" s="56">
        <v>7539.5</v>
      </c>
      <c r="E105" s="58">
        <v>7948.9</v>
      </c>
    </row>
    <row r="106" ht="14.25" customHeight="1">
      <c r="A106" s="55">
        <v>42217.0</v>
      </c>
      <c r="B106" s="56">
        <v>8510.65</v>
      </c>
      <c r="C106" s="57">
        <v>8621.55</v>
      </c>
      <c r="D106" s="56">
        <v>7667.25</v>
      </c>
      <c r="E106" s="58">
        <v>7971.3</v>
      </c>
    </row>
    <row r="107" ht="14.25" customHeight="1">
      <c r="A107" s="55">
        <v>42186.0</v>
      </c>
      <c r="B107" s="56">
        <v>8376.25</v>
      </c>
      <c r="C107" s="57">
        <v>8654.75</v>
      </c>
      <c r="D107" s="56">
        <v>8315.4</v>
      </c>
      <c r="E107" s="58">
        <v>8532.85</v>
      </c>
    </row>
    <row r="108" ht="14.25" customHeight="1">
      <c r="A108" s="55">
        <v>42156.0</v>
      </c>
      <c r="B108" s="56">
        <v>8417.25</v>
      </c>
      <c r="C108" s="57">
        <v>8467.15</v>
      </c>
      <c r="D108" s="56">
        <v>7940.3</v>
      </c>
      <c r="E108" s="58">
        <v>8368.5</v>
      </c>
    </row>
    <row r="109" ht="14.25" customHeight="1">
      <c r="A109" s="55">
        <v>42125.0</v>
      </c>
      <c r="B109" s="56">
        <v>8230.05</v>
      </c>
      <c r="C109" s="57">
        <v>8489.55</v>
      </c>
      <c r="D109" s="56">
        <v>7997.15</v>
      </c>
      <c r="E109" s="58">
        <v>8433.65</v>
      </c>
    </row>
    <row r="110" ht="14.25" customHeight="1">
      <c r="A110" s="55">
        <v>42095.0</v>
      </c>
      <c r="B110" s="56">
        <v>8483.7</v>
      </c>
      <c r="C110" s="57">
        <v>8844.8</v>
      </c>
      <c r="D110" s="56">
        <v>8144.75</v>
      </c>
      <c r="E110" s="58">
        <v>8181.5</v>
      </c>
    </row>
    <row r="111" ht="14.25" customHeight="1">
      <c r="A111" s="55">
        <v>42064.0</v>
      </c>
      <c r="B111" s="56">
        <v>8953.85</v>
      </c>
      <c r="C111" s="57">
        <v>9119.2</v>
      </c>
      <c r="D111" s="56">
        <v>8269.15</v>
      </c>
      <c r="E111" s="58">
        <v>8491.0</v>
      </c>
    </row>
    <row r="112" ht="14.25" customHeight="1">
      <c r="A112" s="55">
        <v>42036.0</v>
      </c>
      <c r="B112" s="56">
        <v>8802.5</v>
      </c>
      <c r="C112" s="57">
        <v>8941.1</v>
      </c>
      <c r="D112" s="56">
        <v>8470.5</v>
      </c>
      <c r="E112" s="58">
        <v>8901.85</v>
      </c>
    </row>
    <row r="113" ht="14.25" customHeight="1">
      <c r="A113" s="55">
        <v>42005.0</v>
      </c>
      <c r="B113" s="56">
        <v>8272.8</v>
      </c>
      <c r="C113" s="57">
        <v>8996.6</v>
      </c>
      <c r="D113" s="56">
        <v>8065.45</v>
      </c>
      <c r="E113" s="58">
        <v>8808.9</v>
      </c>
    </row>
    <row r="114" ht="14.25" customHeight="1">
      <c r="A114" s="55">
        <v>41974.0</v>
      </c>
      <c r="B114" s="56">
        <v>8605.1</v>
      </c>
      <c r="C114" s="57">
        <v>8626.95</v>
      </c>
      <c r="D114" s="56">
        <v>7961.35</v>
      </c>
      <c r="E114" s="58">
        <v>8282.7</v>
      </c>
    </row>
    <row r="115" ht="14.25" customHeight="1">
      <c r="A115" s="55">
        <v>41944.0</v>
      </c>
      <c r="B115" s="56">
        <v>8348.15</v>
      </c>
      <c r="C115" s="57">
        <v>8617.0</v>
      </c>
      <c r="D115" s="56">
        <v>8290.25</v>
      </c>
      <c r="E115" s="58">
        <v>8588.25</v>
      </c>
    </row>
    <row r="116" ht="14.25" customHeight="1">
      <c r="A116" s="55">
        <v>41913.0</v>
      </c>
      <c r="B116" s="56">
        <v>7960.5</v>
      </c>
      <c r="C116" s="57">
        <v>8330.75</v>
      </c>
      <c r="D116" s="56">
        <v>7723.85</v>
      </c>
      <c r="E116" s="58">
        <v>8322.2</v>
      </c>
    </row>
    <row r="117" ht="14.25" customHeight="1">
      <c r="A117" s="55">
        <v>41883.0</v>
      </c>
      <c r="B117" s="56">
        <v>7990.35</v>
      </c>
      <c r="C117" s="57">
        <v>8180.2</v>
      </c>
      <c r="D117" s="56">
        <v>7841.8</v>
      </c>
      <c r="E117" s="58">
        <v>7964.8</v>
      </c>
    </row>
    <row r="118" ht="14.25" customHeight="1">
      <c r="A118" s="55">
        <v>41852.0</v>
      </c>
      <c r="B118" s="56">
        <v>7662.5</v>
      </c>
      <c r="C118" s="57">
        <v>7968.25</v>
      </c>
      <c r="D118" s="56">
        <v>7540.1</v>
      </c>
      <c r="E118" s="58">
        <v>7954.35</v>
      </c>
    </row>
    <row r="119" ht="14.25" customHeight="1">
      <c r="A119" s="55">
        <v>41821.0</v>
      </c>
      <c r="B119" s="56">
        <v>7629.0</v>
      </c>
      <c r="C119" s="57">
        <v>7840.95</v>
      </c>
      <c r="D119" s="56">
        <v>7422.15</v>
      </c>
      <c r="E119" s="58">
        <v>7721.3</v>
      </c>
    </row>
    <row r="120" ht="14.25" customHeight="1">
      <c r="A120" s="55">
        <v>41791.0</v>
      </c>
      <c r="B120" s="56">
        <v>7264.05</v>
      </c>
      <c r="C120" s="57">
        <v>7700.05</v>
      </c>
      <c r="D120" s="56">
        <v>7239.5</v>
      </c>
      <c r="E120" s="58">
        <v>7611.35</v>
      </c>
    </row>
    <row r="121" ht="14.25" customHeight="1">
      <c r="A121" s="55">
        <v>41760.0</v>
      </c>
      <c r="B121" s="56">
        <v>6709.95</v>
      </c>
      <c r="C121" s="57">
        <v>7563.5</v>
      </c>
      <c r="D121" s="56">
        <v>6638.55</v>
      </c>
      <c r="E121" s="58">
        <v>7229.95</v>
      </c>
    </row>
    <row r="122" ht="14.25" customHeight="1">
      <c r="A122" s="55">
        <v>41730.0</v>
      </c>
      <c r="B122" s="56">
        <v>6729.5</v>
      </c>
      <c r="C122" s="57">
        <v>6869.85</v>
      </c>
      <c r="D122" s="56">
        <v>6650.4</v>
      </c>
      <c r="E122" s="58">
        <v>6696.4</v>
      </c>
    </row>
    <row r="123" ht="14.25" customHeight="1">
      <c r="A123" s="55">
        <v>41699.0</v>
      </c>
      <c r="B123" s="56">
        <v>6264.35</v>
      </c>
      <c r="C123" s="57">
        <v>6730.05</v>
      </c>
      <c r="D123" s="56">
        <v>6212.25</v>
      </c>
      <c r="E123" s="58">
        <v>6704.2</v>
      </c>
    </row>
    <row r="124" ht="14.25" customHeight="1">
      <c r="A124" s="55">
        <v>41671.0</v>
      </c>
      <c r="B124" s="56">
        <v>6058.8</v>
      </c>
      <c r="C124" s="57">
        <v>6282.7</v>
      </c>
      <c r="D124" s="56">
        <v>5933.3</v>
      </c>
      <c r="E124" s="58">
        <v>6276.95</v>
      </c>
    </row>
    <row r="125" ht="14.25" customHeight="1">
      <c r="A125" s="55">
        <v>41640.0</v>
      </c>
      <c r="B125" s="56">
        <v>6323.8</v>
      </c>
      <c r="C125" s="57">
        <v>6358.3</v>
      </c>
      <c r="D125" s="56">
        <v>6027.25</v>
      </c>
      <c r="E125" s="58">
        <v>6089.5</v>
      </c>
    </row>
    <row r="126" ht="14.25" customHeight="1">
      <c r="A126" s="55">
        <v>41609.0</v>
      </c>
      <c r="B126" s="56">
        <v>6171.15</v>
      </c>
      <c r="C126" s="57">
        <v>6415.25</v>
      </c>
      <c r="D126" s="56">
        <v>6129.95</v>
      </c>
      <c r="E126" s="58">
        <v>6304.0</v>
      </c>
    </row>
    <row r="127" ht="14.25" customHeight="1">
      <c r="A127" s="55">
        <v>41579.0</v>
      </c>
      <c r="B127" s="56">
        <v>6289.75</v>
      </c>
      <c r="C127" s="57">
        <v>6342.95</v>
      </c>
      <c r="D127" s="56">
        <v>5972.45</v>
      </c>
      <c r="E127" s="58">
        <v>6176.1</v>
      </c>
    </row>
    <row r="128" ht="14.25" customHeight="1">
      <c r="A128" s="55">
        <v>41548.0</v>
      </c>
      <c r="B128" s="56">
        <v>5756.1</v>
      </c>
      <c r="C128" s="57">
        <v>6309.05</v>
      </c>
      <c r="D128" s="56">
        <v>5700.95</v>
      </c>
      <c r="E128" s="58">
        <v>6299.15</v>
      </c>
    </row>
    <row r="129" ht="14.25" customHeight="1">
      <c r="A129" s="55">
        <v>41518.0</v>
      </c>
      <c r="B129" s="56">
        <v>5480.25</v>
      </c>
      <c r="C129" s="57">
        <v>6142.5</v>
      </c>
      <c r="D129" s="56">
        <v>5318.9</v>
      </c>
      <c r="E129" s="58">
        <v>5735.3</v>
      </c>
    </row>
    <row r="130" ht="14.25" customHeight="1">
      <c r="A130" s="55">
        <v>41487.0</v>
      </c>
      <c r="B130" s="56">
        <v>5776.9</v>
      </c>
      <c r="C130" s="57">
        <v>5808.5</v>
      </c>
      <c r="D130" s="56">
        <v>5118.85</v>
      </c>
      <c r="E130" s="58">
        <v>5471.8</v>
      </c>
    </row>
    <row r="131" ht="14.25" customHeight="1">
      <c r="A131" s="55">
        <v>41456.0</v>
      </c>
      <c r="B131" s="56">
        <v>5834.1</v>
      </c>
      <c r="C131" s="57">
        <v>6093.35</v>
      </c>
      <c r="D131" s="56">
        <v>5675.75</v>
      </c>
      <c r="E131" s="58">
        <v>5742.0</v>
      </c>
    </row>
    <row r="132" ht="14.25" customHeight="1">
      <c r="A132" s="55">
        <v>41426.0</v>
      </c>
      <c r="B132" s="56">
        <v>5997.35</v>
      </c>
      <c r="C132" s="57">
        <v>6011.0</v>
      </c>
      <c r="D132" s="56">
        <v>5566.25</v>
      </c>
      <c r="E132" s="58">
        <v>5842.2</v>
      </c>
    </row>
    <row r="133" ht="14.25" customHeight="1">
      <c r="A133" s="55">
        <v>41395.0</v>
      </c>
      <c r="B133" s="56">
        <v>5911.4</v>
      </c>
      <c r="C133" s="57">
        <v>6229.45</v>
      </c>
      <c r="D133" s="56">
        <v>5910.95</v>
      </c>
      <c r="E133" s="58">
        <v>5985.95</v>
      </c>
    </row>
    <row r="134" ht="14.25" customHeight="1">
      <c r="A134" s="55">
        <v>41365.0</v>
      </c>
      <c r="B134" s="56">
        <v>5697.35</v>
      </c>
      <c r="C134" s="57">
        <v>5962.3</v>
      </c>
      <c r="D134" s="56">
        <v>5477.2</v>
      </c>
      <c r="E134" s="58">
        <v>5930.2</v>
      </c>
    </row>
    <row r="135" ht="14.25" customHeight="1">
      <c r="A135" s="55">
        <v>41334.0</v>
      </c>
      <c r="B135" s="56">
        <v>5702.45</v>
      </c>
      <c r="C135" s="57">
        <v>5971.2</v>
      </c>
      <c r="D135" s="56">
        <v>5604.85</v>
      </c>
      <c r="E135" s="58">
        <v>5682.55</v>
      </c>
    </row>
    <row r="136" ht="14.25" customHeight="1">
      <c r="A136" s="55">
        <v>41306.0</v>
      </c>
      <c r="B136" s="56">
        <v>6040.95</v>
      </c>
      <c r="C136" s="57">
        <v>6052.95</v>
      </c>
      <c r="D136" s="56">
        <v>5671.9</v>
      </c>
      <c r="E136" s="58">
        <v>5693.05</v>
      </c>
    </row>
    <row r="137" ht="14.25" customHeight="1">
      <c r="A137" s="55">
        <v>41275.0</v>
      </c>
      <c r="B137" s="56">
        <v>5937.65</v>
      </c>
      <c r="C137" s="57">
        <v>6111.8</v>
      </c>
      <c r="D137" s="56">
        <v>5935.2</v>
      </c>
      <c r="E137" s="58">
        <v>6034.75</v>
      </c>
    </row>
    <row r="138" ht="14.25" customHeight="1">
      <c r="A138" s="55">
        <v>41244.0</v>
      </c>
      <c r="B138" s="56">
        <v>5878.25</v>
      </c>
      <c r="C138" s="57">
        <v>5965.15</v>
      </c>
      <c r="D138" s="56">
        <v>5823.15</v>
      </c>
      <c r="E138" s="58">
        <v>5905.1</v>
      </c>
    </row>
    <row r="139" ht="14.25" customHeight="1">
      <c r="A139" s="55">
        <v>41214.0</v>
      </c>
      <c r="B139" s="56">
        <v>5609.85</v>
      </c>
      <c r="C139" s="57">
        <v>5885.25</v>
      </c>
      <c r="D139" s="56">
        <v>5548.35</v>
      </c>
      <c r="E139" s="58">
        <v>5879.85</v>
      </c>
    </row>
    <row r="140" ht="14.25" customHeight="1">
      <c r="A140" s="55">
        <v>41183.0</v>
      </c>
      <c r="B140" s="56">
        <v>5704.75</v>
      </c>
      <c r="C140" s="57">
        <v>5815.35</v>
      </c>
      <c r="D140" s="56">
        <v>4888.2</v>
      </c>
      <c r="E140" s="58">
        <v>5619.7</v>
      </c>
    </row>
    <row r="141" ht="14.25" customHeight="1">
      <c r="A141" s="55">
        <v>41153.0</v>
      </c>
      <c r="B141" s="56">
        <v>5276.5</v>
      </c>
      <c r="C141" s="57">
        <v>5735.15</v>
      </c>
      <c r="D141" s="56">
        <v>5215.7</v>
      </c>
      <c r="E141" s="58">
        <v>5703.3</v>
      </c>
    </row>
    <row r="142" ht="14.25" customHeight="1">
      <c r="A142" s="55">
        <v>41122.0</v>
      </c>
      <c r="B142" s="56">
        <v>5220.7</v>
      </c>
      <c r="C142" s="57">
        <v>5448.6</v>
      </c>
      <c r="D142" s="56">
        <v>5164.65</v>
      </c>
      <c r="E142" s="58">
        <v>5258.5</v>
      </c>
    </row>
    <row r="143" ht="14.25" customHeight="1">
      <c r="A143" s="55">
        <v>41091.0</v>
      </c>
      <c r="B143" s="56">
        <v>5283.85</v>
      </c>
      <c r="C143" s="57">
        <v>5348.55</v>
      </c>
      <c r="D143" s="56">
        <v>5032.4</v>
      </c>
      <c r="E143" s="58">
        <v>5229.0</v>
      </c>
    </row>
    <row r="144" ht="14.25" customHeight="1">
      <c r="A144" s="55">
        <v>41061.0</v>
      </c>
      <c r="B144" s="56">
        <v>4910.85</v>
      </c>
      <c r="C144" s="57">
        <v>5286.25</v>
      </c>
      <c r="D144" s="56">
        <v>4770.35</v>
      </c>
      <c r="E144" s="58">
        <v>5278.9</v>
      </c>
    </row>
    <row r="145" ht="14.25" customHeight="1">
      <c r="A145" s="55">
        <v>41030.0</v>
      </c>
      <c r="B145" s="56">
        <v>5254.3</v>
      </c>
      <c r="C145" s="57">
        <v>5279.6</v>
      </c>
      <c r="D145" s="56">
        <v>4788.95</v>
      </c>
      <c r="E145" s="58">
        <v>4924.25</v>
      </c>
    </row>
    <row r="146" ht="14.25" customHeight="1">
      <c r="A146" s="55">
        <v>41000.0</v>
      </c>
      <c r="B146" s="56">
        <v>5296.35</v>
      </c>
      <c r="C146" s="57">
        <v>5378.75</v>
      </c>
      <c r="D146" s="56">
        <v>5154.3</v>
      </c>
      <c r="E146" s="58">
        <v>5248.15</v>
      </c>
    </row>
    <row r="147" ht="14.25" customHeight="1">
      <c r="A147" s="55">
        <v>40969.0</v>
      </c>
      <c r="B147" s="56">
        <v>5366.0</v>
      </c>
      <c r="C147" s="57">
        <v>5499.4</v>
      </c>
      <c r="D147" s="56">
        <v>5135.95</v>
      </c>
      <c r="E147" s="58">
        <v>5295.55</v>
      </c>
    </row>
    <row r="148" ht="14.25" customHeight="1">
      <c r="A148" s="55">
        <v>40940.0</v>
      </c>
      <c r="B148" s="56">
        <v>5198.15</v>
      </c>
      <c r="C148" s="57">
        <v>5629.95</v>
      </c>
      <c r="D148" s="56">
        <v>5159.0</v>
      </c>
      <c r="E148" s="58">
        <v>5385.2</v>
      </c>
    </row>
    <row r="149" ht="14.25" customHeight="1">
      <c r="A149" s="55">
        <v>40909.0</v>
      </c>
      <c r="B149" s="56">
        <v>4640.2</v>
      </c>
      <c r="C149" s="57">
        <v>5217.0</v>
      </c>
      <c r="D149" s="56">
        <v>4588.05</v>
      </c>
      <c r="E149" s="58">
        <v>5199.25</v>
      </c>
    </row>
    <row r="150" ht="14.25" customHeight="1">
      <c r="A150" s="55">
        <v>40878.0</v>
      </c>
      <c r="B150" s="56">
        <v>4970.85</v>
      </c>
      <c r="C150" s="57">
        <v>5099.25</v>
      </c>
      <c r="D150" s="56">
        <v>4531.15</v>
      </c>
      <c r="E150" s="58">
        <v>4624.3</v>
      </c>
    </row>
    <row r="151" ht="14.25" customHeight="1">
      <c r="A151" s="55">
        <v>40848.0</v>
      </c>
      <c r="B151" s="56">
        <v>5278.6</v>
      </c>
      <c r="C151" s="57">
        <v>5326.45</v>
      </c>
      <c r="D151" s="56">
        <v>4639.1</v>
      </c>
      <c r="E151" s="58">
        <v>4832.05</v>
      </c>
    </row>
    <row r="152" ht="14.25" customHeight="1">
      <c r="A152" s="55">
        <v>40817.0</v>
      </c>
      <c r="B152" s="56">
        <v>4874.4</v>
      </c>
      <c r="C152" s="57">
        <v>5399.7</v>
      </c>
      <c r="D152" s="56">
        <v>4728.3</v>
      </c>
      <c r="E152" s="58">
        <v>5326.6</v>
      </c>
    </row>
    <row r="153" ht="14.25" customHeight="1">
      <c r="A153" s="55">
        <v>40787.0</v>
      </c>
      <c r="B153" s="56">
        <v>5109.8</v>
      </c>
      <c r="C153" s="57">
        <v>5169.25</v>
      </c>
      <c r="D153" s="56">
        <v>4758.85</v>
      </c>
      <c r="E153" s="58">
        <v>4943.25</v>
      </c>
    </row>
    <row r="154" ht="14.25" customHeight="1">
      <c r="A154" s="55">
        <v>40756.0</v>
      </c>
      <c r="B154" s="56">
        <v>5527.5</v>
      </c>
      <c r="C154" s="57">
        <v>5551.9</v>
      </c>
      <c r="D154" s="56">
        <v>4720.0</v>
      </c>
      <c r="E154" s="58">
        <v>5001.0</v>
      </c>
    </row>
    <row r="155" ht="14.25" customHeight="1">
      <c r="A155" s="55">
        <v>40725.0</v>
      </c>
      <c r="B155" s="56">
        <v>5705.75</v>
      </c>
      <c r="C155" s="57">
        <v>5740.4</v>
      </c>
      <c r="D155" s="56">
        <v>5453.95</v>
      </c>
      <c r="E155" s="58">
        <v>5482.0</v>
      </c>
    </row>
    <row r="156" ht="14.25" customHeight="1">
      <c r="A156" s="55">
        <v>40695.0</v>
      </c>
      <c r="B156" s="56">
        <v>5561.05</v>
      </c>
      <c r="C156" s="57">
        <v>5657.9</v>
      </c>
      <c r="D156" s="56">
        <v>5195.9</v>
      </c>
      <c r="E156" s="58">
        <v>5647.4</v>
      </c>
    </row>
    <row r="157" ht="14.25" customHeight="1">
      <c r="A157" s="55">
        <v>40664.0</v>
      </c>
      <c r="B157" s="56">
        <v>5766.9</v>
      </c>
      <c r="C157" s="57">
        <v>5775.25</v>
      </c>
      <c r="D157" s="56">
        <v>5328.7</v>
      </c>
      <c r="E157" s="58">
        <v>5560.15</v>
      </c>
    </row>
    <row r="158" ht="14.25" customHeight="1">
      <c r="A158" s="55">
        <v>40634.0</v>
      </c>
      <c r="B158" s="56">
        <v>5835.0</v>
      </c>
      <c r="C158" s="57">
        <v>5944.45</v>
      </c>
      <c r="D158" s="56">
        <v>5693.25</v>
      </c>
      <c r="E158" s="58">
        <v>5749.5</v>
      </c>
    </row>
    <row r="159" ht="14.25" customHeight="1">
      <c r="A159" s="55">
        <v>40603.0</v>
      </c>
      <c r="B159" s="56">
        <v>5382.0</v>
      </c>
      <c r="C159" s="57">
        <v>5872.0</v>
      </c>
      <c r="D159" s="56">
        <v>5348.2</v>
      </c>
      <c r="E159" s="58">
        <v>5833.75</v>
      </c>
    </row>
    <row r="160" ht="14.25" customHeight="1">
      <c r="A160" s="55">
        <v>40575.0</v>
      </c>
      <c r="B160" s="56">
        <v>5537.3</v>
      </c>
      <c r="C160" s="57">
        <v>5599.25</v>
      </c>
      <c r="D160" s="56">
        <v>5177.7</v>
      </c>
      <c r="E160" s="58">
        <v>5333.25</v>
      </c>
    </row>
    <row r="161" ht="14.25" customHeight="1">
      <c r="A161" s="55">
        <v>40544.0</v>
      </c>
      <c r="B161" s="56">
        <v>6177.45</v>
      </c>
      <c r="C161" s="57">
        <v>6181.05</v>
      </c>
      <c r="D161" s="56">
        <v>5416.65</v>
      </c>
      <c r="E161" s="58">
        <v>5505.9</v>
      </c>
    </row>
    <row r="162" ht="14.25" customHeight="1">
      <c r="A162" s="55">
        <v>40513.0</v>
      </c>
      <c r="B162" s="56">
        <v>5871.0</v>
      </c>
      <c r="C162" s="57">
        <v>6147.3</v>
      </c>
      <c r="D162" s="56">
        <v>5721.15</v>
      </c>
      <c r="E162" s="58">
        <v>6134.5</v>
      </c>
    </row>
    <row r="163" ht="14.25" customHeight="1">
      <c r="A163" s="55">
        <v>40483.0</v>
      </c>
      <c r="B163" s="56">
        <v>6092.3</v>
      </c>
      <c r="C163" s="57">
        <v>6338.5</v>
      </c>
      <c r="D163" s="56">
        <v>5690.35</v>
      </c>
      <c r="E163" s="58">
        <v>5862.7</v>
      </c>
    </row>
    <row r="164" ht="14.25" customHeight="1">
      <c r="A164" s="55">
        <v>40452.0</v>
      </c>
      <c r="B164" s="56">
        <v>6030.3</v>
      </c>
      <c r="C164" s="57">
        <v>6284.1</v>
      </c>
      <c r="D164" s="56">
        <v>5937.1</v>
      </c>
      <c r="E164" s="58">
        <v>6017.7</v>
      </c>
    </row>
    <row r="165" ht="14.25" customHeight="1">
      <c r="A165" s="55">
        <v>40422.0</v>
      </c>
      <c r="B165" s="56">
        <v>5403.05</v>
      </c>
      <c r="C165" s="57">
        <v>6073.5</v>
      </c>
      <c r="D165" s="56">
        <v>5403.05</v>
      </c>
      <c r="E165" s="58">
        <v>6029.95</v>
      </c>
    </row>
    <row r="166" ht="14.25" customHeight="1">
      <c r="A166" s="55">
        <v>40391.0</v>
      </c>
      <c r="B166" s="56">
        <v>5369.55</v>
      </c>
      <c r="C166" s="57">
        <v>5549.8</v>
      </c>
      <c r="D166" s="56">
        <v>5348.9</v>
      </c>
      <c r="E166" s="58">
        <v>5402.4</v>
      </c>
    </row>
    <row r="167" ht="14.25" customHeight="1">
      <c r="A167" s="55">
        <v>40360.0</v>
      </c>
      <c r="B167" s="56">
        <v>5312.05</v>
      </c>
      <c r="C167" s="57">
        <v>5477.5</v>
      </c>
      <c r="D167" s="56">
        <v>5225.6</v>
      </c>
      <c r="E167" s="58">
        <v>5367.6</v>
      </c>
    </row>
    <row r="168" ht="14.25" customHeight="1">
      <c r="A168" s="55">
        <v>40330.0</v>
      </c>
      <c r="B168" s="56">
        <v>5086.25</v>
      </c>
      <c r="C168" s="57">
        <v>5366.75</v>
      </c>
      <c r="D168" s="56">
        <v>4961.05</v>
      </c>
      <c r="E168" s="58">
        <v>5312.5</v>
      </c>
    </row>
    <row r="169" ht="14.25" customHeight="1">
      <c r="A169" s="55">
        <v>40299.0</v>
      </c>
      <c r="B169" s="56">
        <v>5278.4</v>
      </c>
      <c r="C169" s="57">
        <v>5278.7</v>
      </c>
      <c r="D169" s="56">
        <v>4786.45</v>
      </c>
      <c r="E169" s="58">
        <v>5086.3</v>
      </c>
    </row>
    <row r="170" ht="14.25" customHeight="1">
      <c r="A170" s="55">
        <v>40269.0</v>
      </c>
      <c r="B170" s="56">
        <v>5249.2</v>
      </c>
      <c r="C170" s="57">
        <v>5399.65</v>
      </c>
      <c r="D170" s="56">
        <v>5160.9</v>
      </c>
      <c r="E170" s="58">
        <v>5278.0</v>
      </c>
    </row>
    <row r="171" ht="14.25" customHeight="1">
      <c r="A171" s="55">
        <v>40238.0</v>
      </c>
      <c r="B171" s="56">
        <v>4935.6</v>
      </c>
      <c r="C171" s="57">
        <v>5329.55</v>
      </c>
      <c r="D171" s="56">
        <v>4935.35</v>
      </c>
      <c r="E171" s="58">
        <v>5249.1</v>
      </c>
    </row>
    <row r="172" ht="14.25" customHeight="1">
      <c r="A172" s="55">
        <v>40210.0</v>
      </c>
      <c r="B172" s="56">
        <v>4882.05</v>
      </c>
      <c r="C172" s="57">
        <v>4992.0</v>
      </c>
      <c r="D172" s="56">
        <v>4675.4</v>
      </c>
      <c r="E172" s="58">
        <v>4922.3</v>
      </c>
    </row>
    <row r="173" ht="14.25" customHeight="1">
      <c r="A173" s="59">
        <v>40179.0</v>
      </c>
      <c r="B173" s="60">
        <v>5200.9</v>
      </c>
      <c r="C173" s="61">
        <v>5310.85</v>
      </c>
      <c r="D173" s="60">
        <v>4766.0</v>
      </c>
      <c r="E173" s="62">
        <v>4882.05</v>
      </c>
    </row>
  </sheetData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8.71"/>
    <col customWidth="1" min="4" max="4" width="20.29"/>
    <col customWidth="1" min="5" max="5" width="19.57"/>
    <col customWidth="1" min="6" max="6" width="8.71"/>
    <col customWidth="1" min="7" max="7" width="10.43"/>
    <col customWidth="1" min="8" max="8" width="12.0"/>
    <col customWidth="1" min="9" max="9" width="14.29"/>
    <col customWidth="1" min="10" max="10" width="8.71"/>
    <col customWidth="1" min="11" max="11" width="11.86"/>
    <col customWidth="1" min="12" max="12" width="13.86"/>
    <col customWidth="1" min="13" max="13" width="12.86"/>
    <col customWidth="1" min="14" max="14" width="8.71"/>
    <col customWidth="1" min="15" max="15" width="12.14"/>
    <col customWidth="1" min="16" max="16" width="13.0"/>
    <col customWidth="1" min="17" max="17" width="12.57"/>
  </cols>
  <sheetData>
    <row r="1" ht="14.25" customHeight="1">
      <c r="A1" s="27"/>
      <c r="B1" s="63">
        <v>44652.0</v>
      </c>
      <c r="C1" s="6" t="s">
        <v>54</v>
      </c>
      <c r="G1" s="6" t="s">
        <v>6</v>
      </c>
      <c r="H1" s="6" t="s">
        <v>7</v>
      </c>
      <c r="I1" s="6"/>
      <c r="K1" s="6" t="s">
        <v>6</v>
      </c>
      <c r="L1" s="6" t="s">
        <v>7</v>
      </c>
      <c r="M1" s="6"/>
      <c r="O1" s="6" t="s">
        <v>6</v>
      </c>
      <c r="P1" s="6" t="s">
        <v>7</v>
      </c>
      <c r="Q1" s="6"/>
    </row>
    <row r="2" ht="14.25" customHeight="1">
      <c r="C2" s="3" t="s">
        <v>1</v>
      </c>
      <c r="D2" s="4" t="s">
        <v>2</v>
      </c>
      <c r="E2" s="5" t="s">
        <v>3</v>
      </c>
      <c r="G2" s="15" t="s">
        <v>5</v>
      </c>
      <c r="H2" s="16">
        <v>40235.0</v>
      </c>
      <c r="K2" s="15" t="s">
        <v>23</v>
      </c>
      <c r="L2" s="16">
        <v>41830.0</v>
      </c>
      <c r="O2" s="15" t="s">
        <v>22</v>
      </c>
      <c r="P2" s="16">
        <v>43132.0</v>
      </c>
    </row>
    <row r="3" ht="14.25" customHeight="1">
      <c r="C3" s="7" t="s">
        <v>5</v>
      </c>
      <c r="D3" s="8">
        <v>40235.0</v>
      </c>
      <c r="E3" s="9" t="str">
        <f>CORREL('NSE MONEYCONTROL CORRELATION'!$G$5:$G$8,'NSE MONEYCONTROL CORRELATION'!$H$5:$H$8)</f>
        <v>0.4164665809</v>
      </c>
    </row>
    <row r="4" ht="14.25" customHeight="1">
      <c r="A4" s="27" t="e">
        <v>#REF!</v>
      </c>
      <c r="C4" s="7" t="s">
        <v>14</v>
      </c>
      <c r="D4" s="8">
        <v>40602.0</v>
      </c>
      <c r="E4" s="9" t="str">
        <f>CORREL('NSE MONEYCONTROL CORRELATION'!$G$14:$G$17,'NSE MONEYCONTROL CORRELATION'!$H$14:$H$17)</f>
        <v>-0.24690135</v>
      </c>
      <c r="G4" s="25" t="s">
        <v>20</v>
      </c>
      <c r="H4" s="26" t="s">
        <v>13</v>
      </c>
      <c r="I4" s="15" t="s">
        <v>3</v>
      </c>
      <c r="K4" s="25" t="s">
        <v>20</v>
      </c>
      <c r="L4" s="26" t="s">
        <v>13</v>
      </c>
      <c r="M4" s="15" t="s">
        <v>3</v>
      </c>
      <c r="O4" s="25" t="s">
        <v>20</v>
      </c>
      <c r="P4" s="26" t="s">
        <v>13</v>
      </c>
      <c r="Q4" s="15" t="s">
        <v>3</v>
      </c>
    </row>
    <row r="5" ht="14.25" customHeight="1">
      <c r="C5" s="7" t="s">
        <v>17</v>
      </c>
      <c r="D5" s="8">
        <v>40984.0</v>
      </c>
      <c r="E5" s="9" t="str">
        <f>CORREL('NSE MONEYCONTROL CORRELATION'!$G$23:$G$26,'NSE MONEYCONTROL CORRELATION'!$H$23:$H$26)</f>
        <v>-0.9977377244</v>
      </c>
      <c r="G5" s="20">
        <v>40179.0</v>
      </c>
      <c r="H5" s="51">
        <v>5310.85</v>
      </c>
      <c r="I5" s="15" t="str">
        <f>CORREL('NSE MONEYCONTROL CORRELATION'!$G$5:$G$8,'NSE MONEYCONTROL CORRELATION'!$H$5:$H$8)</f>
        <v>0.4164665809</v>
      </c>
      <c r="K5" s="20">
        <v>41791.0</v>
      </c>
      <c r="L5" s="51">
        <v>7700.05</v>
      </c>
      <c r="M5" s="15" t="str">
        <f>CORREL('NSE MONEYCONTROL CORRELATION'!$K$5:$K$8,'NSE MONEYCONTROL CORRELATION'!$L$5:$L$8)</f>
        <v>0.9934748741</v>
      </c>
      <c r="O5" s="20">
        <v>43101.0</v>
      </c>
      <c r="P5" s="51">
        <v>11171.55</v>
      </c>
      <c r="Q5" s="15" t="str">
        <f>CORREL('NSE MONEYCONTROL CORRELATION'!$O$5:$O$8,'NSE MONEYCONTROL CORRELATION'!$P$5:$P$8)</f>
        <v>-0.7600860611</v>
      </c>
    </row>
    <row r="6" ht="14.25" customHeight="1">
      <c r="C6" s="7" t="s">
        <v>19</v>
      </c>
      <c r="D6" s="8">
        <v>41333.0</v>
      </c>
      <c r="E6" s="9" t="str">
        <f>CORREL('NSE MONEYCONTROL CORRELATION'!$G$32:$G$35,'NSE MONEYCONTROL CORRELATION'!$H$32:$H$35)</f>
        <v>-0.9599023064</v>
      </c>
      <c r="G6" s="20">
        <v>40210.0</v>
      </c>
      <c r="H6" s="51">
        <v>4992.0</v>
      </c>
      <c r="I6" s="27"/>
      <c r="K6" s="20">
        <v>41821.0</v>
      </c>
      <c r="L6" s="51">
        <v>7840.95</v>
      </c>
      <c r="M6" s="27"/>
      <c r="O6" s="20">
        <v>43132.0</v>
      </c>
      <c r="P6" s="51">
        <v>11117.35</v>
      </c>
      <c r="Q6" s="27"/>
    </row>
    <row r="7" ht="14.25" customHeight="1">
      <c r="C7" s="7" t="s">
        <v>23</v>
      </c>
      <c r="D7" s="8">
        <v>41830.0</v>
      </c>
      <c r="E7" s="9" t="str">
        <f>CORREL('NSE MONEYCONTROL CORRELATION'!$K$5:$K$8,'NSE MONEYCONTROL CORRELATION'!$L$5:$L$8)</f>
        <v>0.9934748741</v>
      </c>
      <c r="G7" s="20">
        <v>40238.0</v>
      </c>
      <c r="H7" s="51">
        <v>5329.55</v>
      </c>
      <c r="I7" s="27"/>
      <c r="K7" s="20">
        <v>41852.0</v>
      </c>
      <c r="L7" s="51">
        <v>7968.25</v>
      </c>
      <c r="M7" s="27"/>
      <c r="O7" s="20">
        <v>43160.0</v>
      </c>
      <c r="P7" s="51">
        <v>10525.5</v>
      </c>
      <c r="Q7" s="27"/>
    </row>
    <row r="8" ht="14.25" customHeight="1">
      <c r="C8" s="7" t="s">
        <v>25</v>
      </c>
      <c r="D8" s="8">
        <v>42063.0</v>
      </c>
      <c r="E8" s="9" t="str">
        <f>CORREL('NSE MONEYCONTROL CORRELATION'!$K$14:$K$17,'NSE MONEYCONTROL CORRELATION'!$L$14:$L$17)</f>
        <v>-0.3280414061</v>
      </c>
      <c r="G8" s="20">
        <v>40269.0</v>
      </c>
      <c r="H8" s="51">
        <v>5399.65</v>
      </c>
      <c r="I8" s="27"/>
      <c r="K8" s="20">
        <v>41883.0</v>
      </c>
      <c r="L8" s="51">
        <v>8180.2</v>
      </c>
      <c r="M8" s="27"/>
      <c r="O8" s="20">
        <v>43191.0</v>
      </c>
      <c r="P8" s="51">
        <v>10759.0</v>
      </c>
      <c r="Q8" s="27"/>
    </row>
    <row r="9" ht="14.25" customHeight="1">
      <c r="C9" s="7" t="s">
        <v>16</v>
      </c>
      <c r="D9" s="8">
        <v>42429.0</v>
      </c>
      <c r="E9" s="9" t="str">
        <f>CORREL('NSE MONEYCONTROL CORRELATION'!$K$23:$K$26,'NSE MONEYCONTROL CORRELATION'!$L$23:$L$26)</f>
        <v>0.1602185601</v>
      </c>
    </row>
    <row r="10" ht="14.25" customHeight="1">
      <c r="C10" s="7" t="s">
        <v>18</v>
      </c>
      <c r="D10" s="8">
        <v>42767.0</v>
      </c>
      <c r="E10" s="9" t="str">
        <f>CORREL('NSE MONEYCONTROL CORRELATION'!$K$32:$K$35,'NSE MONEYCONTROL CORRELATION'!$L$32:$L$35)</f>
        <v>0.987871508</v>
      </c>
      <c r="G10" s="6" t="s">
        <v>6</v>
      </c>
      <c r="H10" s="6" t="s">
        <v>7</v>
      </c>
      <c r="I10" s="6"/>
      <c r="K10" s="6" t="s">
        <v>6</v>
      </c>
      <c r="L10" s="6" t="s">
        <v>7</v>
      </c>
      <c r="M10" s="6"/>
      <c r="O10" s="6" t="s">
        <v>6</v>
      </c>
      <c r="P10" s="6" t="s">
        <v>7</v>
      </c>
      <c r="Q10" s="6"/>
    </row>
    <row r="11" ht="14.25" customHeight="1">
      <c r="C11" s="7" t="s">
        <v>22</v>
      </c>
      <c r="D11" s="8">
        <v>43132.0</v>
      </c>
      <c r="E11" s="9" t="str">
        <f>CORREL('NSE MONEYCONTROL CORRELATION'!$O$5:$O$8,'NSE MONEYCONTROL CORRELATION'!$P$5:$P$8)</f>
        <v>-0.7600860611</v>
      </c>
      <c r="G11" s="15" t="s">
        <v>14</v>
      </c>
      <c r="H11" s="16">
        <v>40602.0</v>
      </c>
      <c r="K11" s="15" t="s">
        <v>25</v>
      </c>
      <c r="L11" s="16">
        <v>42063.0</v>
      </c>
      <c r="O11" s="15" t="s">
        <v>24</v>
      </c>
      <c r="P11" s="16">
        <v>43651.0</v>
      </c>
    </row>
    <row r="12" ht="14.25" customHeight="1">
      <c r="C12" s="7" t="s">
        <v>24</v>
      </c>
      <c r="D12" s="8">
        <v>43651.0</v>
      </c>
      <c r="E12" s="9" t="str">
        <f>CORREL('NSE MONEYCONTROL CORRELATION'!$O$14:$O$17,'NSE MONEYCONTROL CORRELATION'!$P$14:$P$17)</f>
        <v>-0.6363847492</v>
      </c>
    </row>
    <row r="13" ht="14.25" customHeight="1">
      <c r="C13" s="7" t="s">
        <v>26</v>
      </c>
      <c r="D13" s="8">
        <v>43862.0</v>
      </c>
      <c r="E13" s="9" t="str">
        <f>CORREL('NSE MONEYCONTROL CORRELATION'!$O$23:$O$26,'NSE MONEYCONTROL CORRELATION'!$P$23:$P$26)</f>
        <v>-0.9407630233</v>
      </c>
      <c r="G13" s="25" t="s">
        <v>20</v>
      </c>
      <c r="H13" s="26" t="s">
        <v>13</v>
      </c>
      <c r="I13" s="15" t="s">
        <v>3</v>
      </c>
      <c r="K13" s="25" t="s">
        <v>20</v>
      </c>
      <c r="L13" s="26" t="s">
        <v>13</v>
      </c>
      <c r="M13" s="15" t="s">
        <v>3</v>
      </c>
      <c r="O13" s="25" t="s">
        <v>20</v>
      </c>
      <c r="P13" s="26" t="s">
        <v>13</v>
      </c>
      <c r="Q13" s="15" t="s">
        <v>3</v>
      </c>
    </row>
    <row r="14" ht="14.25" customHeight="1">
      <c r="C14" s="7" t="s">
        <v>27</v>
      </c>
      <c r="D14" s="8">
        <v>44228.0</v>
      </c>
      <c r="E14" s="9" t="str">
        <f>CORREL('NSE MONEYCONTROL CORRELATION'!$O$32:$O$35,'NSE MONEYCONTROL CORRELATION'!$P$32:$P$35)</f>
        <v>0.3319010984</v>
      </c>
      <c r="G14" s="20">
        <v>40544.0</v>
      </c>
      <c r="H14" s="51">
        <v>6181.05</v>
      </c>
      <c r="I14" s="15" t="str">
        <f>CORREL('NSE MONEYCONTROL CORRELATION'!$G$14:$G$17,'NSE MONEYCONTROL CORRELATION'!$H$14:$H$17)</f>
        <v>-0.24690135</v>
      </c>
      <c r="K14" s="20">
        <v>42005.0</v>
      </c>
      <c r="L14" s="51">
        <v>8996.6</v>
      </c>
      <c r="M14" s="15" t="str">
        <f>CORREL('NSE MONEYCONTROL CORRELATION'!$K$14:$K$17,'NSE MONEYCONTROL CORRELATION'!$L$14:$L$17)</f>
        <v>-0.3280414061</v>
      </c>
      <c r="O14" s="20">
        <v>43617.0</v>
      </c>
      <c r="P14" s="51">
        <v>12103.05</v>
      </c>
      <c r="Q14" s="15" t="str">
        <f>CORREL('NSE MONEYCONTROL CORRELATION'!$O$14:$O$17,'NSE MONEYCONTROL CORRELATION'!$P$14:$P$17)</f>
        <v>-0.6363847492</v>
      </c>
    </row>
    <row r="15" ht="14.25" customHeight="1">
      <c r="C15" s="33" t="s">
        <v>28</v>
      </c>
      <c r="D15" s="34">
        <v>44593.0</v>
      </c>
      <c r="E15" s="30" t="str">
        <f>CORREL('NSE MONEYCONTROL CORRELATION'!$C$31:$C$34,'NSE MONEYCONTROL CORRELATION'!$D$31:$D$34)</f>
        <v>-0.3461117159</v>
      </c>
      <c r="G15" s="20">
        <v>40575.0</v>
      </c>
      <c r="H15" s="51">
        <v>5599.25</v>
      </c>
      <c r="I15" s="27"/>
      <c r="K15" s="20">
        <v>42036.0</v>
      </c>
      <c r="L15" s="51">
        <v>8941.1</v>
      </c>
      <c r="M15" s="27"/>
      <c r="O15" s="20">
        <v>43647.0</v>
      </c>
      <c r="P15" s="51">
        <v>11981.75</v>
      </c>
      <c r="Q15" s="27"/>
    </row>
    <row r="16" ht="14.25" customHeight="1">
      <c r="C16" s="33"/>
      <c r="D16" s="34"/>
      <c r="E16" s="51" t="str">
        <f>SUBTOTAL(101,'NSE MONEYCONTROL CORRELATION'!$E$3:$E$15)</f>
        <v>-0.1789227473</v>
      </c>
      <c r="G16" s="20">
        <v>40603.0</v>
      </c>
      <c r="H16" s="51">
        <v>5872.0</v>
      </c>
      <c r="I16" s="27"/>
      <c r="K16" s="20">
        <v>42064.0</v>
      </c>
      <c r="L16" s="51">
        <v>9119.2</v>
      </c>
      <c r="M16" s="27"/>
      <c r="O16" s="20">
        <v>43678.0</v>
      </c>
      <c r="P16" s="51">
        <v>11181.45</v>
      </c>
      <c r="Q16" s="27"/>
    </row>
    <row r="17" ht="14.25" customHeight="1">
      <c r="G17" s="20">
        <v>40634.0</v>
      </c>
      <c r="H17" s="51">
        <v>5944.45</v>
      </c>
      <c r="I17" s="27"/>
      <c r="K17" s="20">
        <v>42095.0</v>
      </c>
      <c r="L17" s="51">
        <v>8844.8</v>
      </c>
      <c r="M17" s="27"/>
      <c r="O17" s="20">
        <v>43709.0</v>
      </c>
      <c r="P17" s="51">
        <v>11694.85</v>
      </c>
      <c r="Q17" s="27"/>
    </row>
    <row r="18" ht="14.25" customHeight="1">
      <c r="C18" s="6" t="s">
        <v>6</v>
      </c>
      <c r="D18" s="6" t="s">
        <v>7</v>
      </c>
      <c r="E18" s="6"/>
    </row>
    <row r="19" ht="14.25" customHeight="1">
      <c r="C19" s="15"/>
      <c r="D19" s="16"/>
      <c r="G19" s="6" t="s">
        <v>6</v>
      </c>
      <c r="H19" s="6" t="s">
        <v>7</v>
      </c>
      <c r="I19" s="6"/>
      <c r="K19" s="6" t="s">
        <v>6</v>
      </c>
      <c r="L19" s="6" t="s">
        <v>7</v>
      </c>
      <c r="M19" s="6"/>
      <c r="O19" s="6" t="s">
        <v>6</v>
      </c>
      <c r="P19" s="6" t="s">
        <v>7</v>
      </c>
      <c r="Q19" s="6"/>
    </row>
    <row r="20" ht="14.25" customHeight="1">
      <c r="G20" s="15" t="s">
        <v>17</v>
      </c>
      <c r="H20" s="16">
        <v>40984.0</v>
      </c>
      <c r="K20" s="15" t="s">
        <v>16</v>
      </c>
      <c r="L20" s="16">
        <v>42429.0</v>
      </c>
      <c r="O20" s="15" t="s">
        <v>26</v>
      </c>
      <c r="P20" s="16">
        <v>43862.0</v>
      </c>
    </row>
    <row r="21" ht="14.25" customHeight="1">
      <c r="C21" s="25" t="s">
        <v>20</v>
      </c>
      <c r="D21" s="26" t="s">
        <v>13</v>
      </c>
      <c r="E21" s="15" t="s">
        <v>3</v>
      </c>
    </row>
    <row r="22" ht="14.25" customHeight="1">
      <c r="C22" s="20"/>
      <c r="D22" s="51"/>
      <c r="E22" s="15" t="str">
        <f>CORREL('NSE MONEYCONTROL CORRELATION'!$C$22:$C$25,'NSE MONEYCONTROL CORRELATION'!$D$22:$D$25)</f>
        <v>#DIV/0!</v>
      </c>
      <c r="G22" s="25" t="s">
        <v>20</v>
      </c>
      <c r="H22" s="26" t="s">
        <v>13</v>
      </c>
      <c r="I22" s="15" t="s">
        <v>3</v>
      </c>
      <c r="K22" s="25" t="s">
        <v>20</v>
      </c>
      <c r="L22" s="26" t="s">
        <v>13</v>
      </c>
      <c r="M22" s="15" t="s">
        <v>3</v>
      </c>
      <c r="O22" s="25" t="s">
        <v>20</v>
      </c>
      <c r="P22" s="26" t="s">
        <v>13</v>
      </c>
      <c r="Q22" s="15" t="s">
        <v>3</v>
      </c>
    </row>
    <row r="23" ht="14.25" customHeight="1">
      <c r="C23" s="20"/>
      <c r="D23" s="51"/>
      <c r="E23" s="27"/>
      <c r="G23" s="20">
        <v>40940.0</v>
      </c>
      <c r="H23" s="51">
        <v>5629.95</v>
      </c>
      <c r="I23" s="15" t="str">
        <f>CORREL('NSE MONEYCONTROL CORRELATION'!$G$23:$G$26,'NSE MONEYCONTROL CORRELATION'!$H$23:$H$26)</f>
        <v>-0.9977377244</v>
      </c>
      <c r="K23" s="20">
        <v>42370.0</v>
      </c>
      <c r="L23" s="51">
        <v>7972.55</v>
      </c>
      <c r="M23" s="15" t="str">
        <f>CORREL('NSE MONEYCONTROL CORRELATION'!$K$23:$K$26,'NSE MONEYCONTROL CORRELATION'!$L$23:$L$26)</f>
        <v>0.1602185601</v>
      </c>
      <c r="O23" s="20">
        <v>43831.0</v>
      </c>
      <c r="P23" s="51">
        <v>12430.5</v>
      </c>
      <c r="Q23" s="15" t="str">
        <f>CORREL('NSE MONEYCONTROL CORRELATION'!$O$23:$O$26,'NSE MONEYCONTROL CORRELATION'!$P$23:$P$26)</f>
        <v>-0.9407630233</v>
      </c>
    </row>
    <row r="24" ht="14.25" customHeight="1">
      <c r="C24" s="20"/>
      <c r="D24" s="51"/>
      <c r="E24" s="27"/>
      <c r="G24" s="20">
        <v>40969.0</v>
      </c>
      <c r="H24" s="51">
        <v>5499.4</v>
      </c>
      <c r="I24" s="27"/>
      <c r="K24" s="20">
        <v>42401.0</v>
      </c>
      <c r="L24" s="51">
        <v>7600.45</v>
      </c>
      <c r="M24" s="27"/>
      <c r="O24" s="20">
        <v>43862.0</v>
      </c>
      <c r="P24" s="51">
        <v>12246.7</v>
      </c>
      <c r="Q24" s="27"/>
    </row>
    <row r="25" ht="14.25" customHeight="1">
      <c r="C25" s="20"/>
      <c r="D25" s="51"/>
      <c r="E25" s="27"/>
      <c r="G25" s="20">
        <v>41000.0</v>
      </c>
      <c r="H25" s="51">
        <v>5378.75</v>
      </c>
      <c r="I25" s="27"/>
      <c r="K25" s="20">
        <v>42430.0</v>
      </c>
      <c r="L25" s="51">
        <v>7777.6</v>
      </c>
      <c r="M25" s="27"/>
      <c r="O25" s="20">
        <v>43891.0</v>
      </c>
      <c r="P25" s="51">
        <v>11433.0</v>
      </c>
      <c r="Q25" s="27"/>
    </row>
    <row r="26" ht="14.25" customHeight="1">
      <c r="G26" s="20">
        <v>41030.0</v>
      </c>
      <c r="H26" s="51">
        <v>5279.6</v>
      </c>
      <c r="I26" s="27"/>
      <c r="K26" s="20">
        <v>42461.0</v>
      </c>
      <c r="L26" s="51">
        <v>7992.0</v>
      </c>
      <c r="M26" s="27"/>
      <c r="O26" s="20">
        <v>43922.0</v>
      </c>
      <c r="P26" s="51">
        <v>9889.05</v>
      </c>
      <c r="Q26" s="27"/>
    </row>
    <row r="27" ht="14.25" customHeight="1">
      <c r="C27" s="6" t="s">
        <v>6</v>
      </c>
      <c r="D27" s="6" t="s">
        <v>7</v>
      </c>
      <c r="E27" s="6"/>
    </row>
    <row r="28" ht="14.25" customHeight="1">
      <c r="C28" s="15" t="s">
        <v>28</v>
      </c>
      <c r="D28" s="16">
        <v>44593.0</v>
      </c>
      <c r="G28" s="6" t="s">
        <v>6</v>
      </c>
      <c r="H28" s="6" t="s">
        <v>7</v>
      </c>
      <c r="I28" s="6"/>
      <c r="K28" s="6" t="s">
        <v>6</v>
      </c>
      <c r="L28" s="6" t="s">
        <v>7</v>
      </c>
      <c r="M28" s="6"/>
      <c r="O28" s="6" t="s">
        <v>6</v>
      </c>
      <c r="P28" s="6" t="s">
        <v>7</v>
      </c>
      <c r="Q28" s="6"/>
    </row>
    <row r="29" ht="14.25" customHeight="1">
      <c r="G29" s="15" t="s">
        <v>19</v>
      </c>
      <c r="H29" s="16">
        <v>41333.0</v>
      </c>
      <c r="K29" s="15" t="s">
        <v>18</v>
      </c>
      <c r="L29" s="16">
        <v>42767.0</v>
      </c>
      <c r="O29" s="15" t="s">
        <v>27</v>
      </c>
      <c r="P29" s="16">
        <v>44228.0</v>
      </c>
    </row>
    <row r="30" ht="14.25" customHeight="1">
      <c r="C30" s="25" t="s">
        <v>20</v>
      </c>
      <c r="D30" s="26" t="s">
        <v>13</v>
      </c>
      <c r="E30" s="15" t="s">
        <v>3</v>
      </c>
    </row>
    <row r="31" ht="14.25" customHeight="1">
      <c r="C31" s="20">
        <v>44562.0</v>
      </c>
      <c r="D31" s="51">
        <v>18350.95</v>
      </c>
      <c r="E31" s="15" t="str">
        <f>CORREL('NSE MONEYCONTROL CORRELATION'!$C$31:$C$34,'NSE MONEYCONTROL CORRELATION'!$D$31:$D$34)</f>
        <v>-0.3461117159</v>
      </c>
      <c r="G31" s="25" t="s">
        <v>20</v>
      </c>
      <c r="H31" s="26" t="s">
        <v>13</v>
      </c>
      <c r="I31" s="15" t="s">
        <v>3</v>
      </c>
      <c r="K31" s="25" t="s">
        <v>20</v>
      </c>
      <c r="L31" s="26" t="s">
        <v>13</v>
      </c>
      <c r="M31" s="15" t="s">
        <v>3</v>
      </c>
      <c r="O31" s="25" t="s">
        <v>20</v>
      </c>
      <c r="P31" s="26" t="s">
        <v>13</v>
      </c>
      <c r="Q31" s="15" t="s">
        <v>3</v>
      </c>
    </row>
    <row r="32" ht="14.25" customHeight="1">
      <c r="C32" s="20">
        <v>44593.0</v>
      </c>
      <c r="D32" s="51">
        <v>17794.6</v>
      </c>
      <c r="E32" s="27"/>
      <c r="G32" s="20">
        <v>41275.0</v>
      </c>
      <c r="H32" s="51">
        <v>6111.8</v>
      </c>
      <c r="I32" s="15" t="str">
        <f>CORREL('NSE MONEYCONTROL CORRELATION'!$G$32:$G$35,'NSE MONEYCONTROL CORRELATION'!$H$32:$H$35)</f>
        <v>-0.9599023064</v>
      </c>
      <c r="K32" s="20">
        <v>42736.0</v>
      </c>
      <c r="L32" s="51">
        <v>8672.7</v>
      </c>
      <c r="M32" s="15" t="str">
        <f>CORREL('NSE MONEYCONTROL CORRELATION'!$K$32:$K$35,'NSE MONEYCONTROL CORRELATION'!$L$32:$L$35)</f>
        <v>0.987871508</v>
      </c>
      <c r="O32" s="20">
        <v>44197.0</v>
      </c>
      <c r="P32" s="51">
        <v>14753.55</v>
      </c>
      <c r="Q32" s="15" t="str">
        <f>CORREL('NSE MONEYCONTROL CORRELATION'!$O$32:$O$35,'NSE MONEYCONTROL CORRELATION'!$P$32:$P$35)</f>
        <v>0.3319010984</v>
      </c>
    </row>
    <row r="33" ht="14.25" customHeight="1">
      <c r="C33" s="20">
        <v>44621.0</v>
      </c>
      <c r="D33" s="51">
        <v>17559.8</v>
      </c>
      <c r="E33" s="27"/>
      <c r="G33" s="20">
        <v>41306.0</v>
      </c>
      <c r="H33" s="51">
        <v>6052.95</v>
      </c>
      <c r="I33" s="27"/>
      <c r="K33" s="20">
        <v>42767.0</v>
      </c>
      <c r="L33" s="51">
        <v>8982.15</v>
      </c>
      <c r="M33" s="27"/>
      <c r="O33" s="20">
        <v>44228.0</v>
      </c>
      <c r="P33" s="51">
        <v>15431.75</v>
      </c>
      <c r="Q33" s="27"/>
    </row>
    <row r="34" ht="14.25" customHeight="1">
      <c r="C34" s="20">
        <v>44652.0</v>
      </c>
      <c r="D34" s="51">
        <v>18114.65</v>
      </c>
      <c r="E34" s="27"/>
      <c r="G34" s="20">
        <v>41334.0</v>
      </c>
      <c r="H34" s="51">
        <v>5971.2</v>
      </c>
      <c r="I34" s="27"/>
      <c r="K34" s="20">
        <v>42795.0</v>
      </c>
      <c r="L34" s="51">
        <v>9218.4</v>
      </c>
      <c r="M34" s="27"/>
      <c r="O34" s="20">
        <v>44256.0</v>
      </c>
      <c r="P34" s="51">
        <v>15336.3</v>
      </c>
      <c r="Q34" s="27"/>
    </row>
    <row r="35" ht="14.25" customHeight="1">
      <c r="G35" s="20">
        <v>41365.0</v>
      </c>
      <c r="H35" s="51">
        <v>5962.3</v>
      </c>
      <c r="I35" s="27"/>
      <c r="K35" s="20">
        <v>42826.0</v>
      </c>
      <c r="L35" s="51">
        <v>9367.15</v>
      </c>
      <c r="M35" s="27"/>
      <c r="O35" s="20">
        <v>44287.0</v>
      </c>
      <c r="P35" s="51">
        <v>15044.35</v>
      </c>
      <c r="Q35" s="27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C1:E1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BSE DATA AND CORRELATION</vt:lpstr>
      <vt:lpstr>BSE CORRELATION WITH PIVOTTABLE</vt:lpstr>
      <vt:lpstr>NSE DATA</vt:lpstr>
      <vt:lpstr>NSE CORRELATION WITH PIVOTTABLE</vt:lpstr>
      <vt:lpstr>NSE MONEYCONTROL DATA</vt:lpstr>
      <vt:lpstr>NSE MONEYCONTROL CORRELATION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2024-04-09T13:07:39Z</dcterms:created>
  <dc:creator>kc</dc:creator>
  <cp:lastModifiedBy>kc</cp:lastModifiedBy>
  <dcterms:modified xsi:type="dcterms:W3CDTF">2024-04-10T05:54:20Z</dcterms:modified>
</cp:coreProperties>
</file>